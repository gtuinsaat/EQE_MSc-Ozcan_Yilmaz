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755FE3EA-8AF7-4F3E-848B-5484EAA5A20F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<sst xmlns="http://schemas.openxmlformats.org/spreadsheetml/2006/main" count="23532" uniqueCount="955">
  <si>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</si>
  <si>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</si>
  <si>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</si>
  <si>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</si>
  <si>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</si>
  <si>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</si>
  <si>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</si>
  <si>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</si>
  <si>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</si>
  <si>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</si>
  <si>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</si>
  <si>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</si>
  <si>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</si>
  <si>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</si>
  <si>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</si>
  <si>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</si>
  <si>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</si>
  <si>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</si>
  <si>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</si>
  <si>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</si>
  <si>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</si>
  <si>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</si>
  <si>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</si>
  <si>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</si>
  <si>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</si>
  <si>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</si>
  <si>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</si>
  <si>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</si>
  <si>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</si>
  <si>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</si>
  <si>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</si>
  <si>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</si>
  <si>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</si>
  <si>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</si>
  <si>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</si>
  <si>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</si>
  <si>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</si>
  <si>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</si>
  <si>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</si>
  <si>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</si>
  <si>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</si>
  <si>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</si>
  <si>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</si>
  <si>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</si>
  <si>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</si>
  <si>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</si>
  <si>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</si>
  <si>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</si>
  <si>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</si>
  <si>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</si>
  <si>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</si>
  <si>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</si>
  <si>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</si>
  <si>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</si>
  <si>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</si>
  <si>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</si>
  <si>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</si>
  <si>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</si>
  <si>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</si>
  <si>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</si>
  <si>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</si>
  <si>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</si>
  <si>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</si>
  <si>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</si>
  <si>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</si>
  <si>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</si>
  <si>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</si>
  <si>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</si>
  <si>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</si>
  <si>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</si>
  <si>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</si>
  <si>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</si>
  <si>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</si>
  <si>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</si>
  <si>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</si>
  <si>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</si>
  <si>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</si>
  <si>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</si>
  <si>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</si>
  <si>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</si>
  <si>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</si>
  <si>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</si>
  <si>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</si>
  <si>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</si>
  <si>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</si>
  <si>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</si>
  <si>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</si>
  <si>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</si>
  <si>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</si>
  <si>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</si>
  <si>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</si>
  <si>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</si>
  <si>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</si>
  <si>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</si>
  <si>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</si>
  <si>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</si>
  <si>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</si>
  <si>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</si>
  <si>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</si>
  <si>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</si>
  <si>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</si>
  <si>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</si>
  <si>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</si>
  <si>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</si>
  <si>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</si>
  <si>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</si>
  <si>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</si>
  <si>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</si>
  <si>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</si>
  <si>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</si>
  <si>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</si>
  <si>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</si>
  <si>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</si>
  <si>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</si>
  <si>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</si>
  <si>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</si>
  <si>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</si>
  <si>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</si>
  <si>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</si>
  <si>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</si>
  <si>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</si>
  <si>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</si>
  <si>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</si>
  <si>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</si>
  <si>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</si>
  <si>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</si>
  <si>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</si>
  <si>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C30x30</t>
  </si>
  <si>
    <t>C30x70</t>
  </si>
  <si>
    <t>C70x30</t>
  </si>
  <si>
    <t>C30x30_Story1</t>
  </si>
  <si>
    <t>C30x70_Story1</t>
  </si>
  <si>
    <t>C70x30_Story1</t>
  </si>
  <si>
    <t>C:\Users\doyil\Desktop\TEZ\Analizler\5 Katlı_DD3_ZayıfZeminKat\S-5k-7-DTS1-ZA-Tasarim_overwrite-NL_New_DD3_ZayifZeminKat.EDB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</si>
  <si>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</si>
  <si>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</si>
  <si>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</si>
  <si>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</si>
  <si>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</si>
  <si>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</si>
  <si>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</si>
  <si>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</si>
  <si>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</si>
  <si>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</si>
  <si>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</si>
  <si>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</si>
  <si>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</si>
  <si>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</si>
  <si>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</si>
  <si>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</si>
  <si>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</si>
  <si>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</si>
  <si>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</si>
  <si>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</si>
  <si>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</si>
  <si>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</si>
  <si>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</si>
  <si>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</si>
  <si>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</si>
  <si>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</si>
  <si>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</si>
  <si>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</si>
  <si>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</si>
  <si>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</si>
  <si>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</si>
  <si>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</si>
  <si>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</si>
  <si>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</si>
  <si>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</si>
  <si>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</si>
  <si>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</si>
  <si>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</si>
  <si>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</si>
  <si>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</si>
  <si>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</si>
  <si>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</si>
  <si>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</si>
  <si>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</si>
  <si>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</si>
  <si>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</si>
  <si>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</si>
  <si>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</si>
  <si>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</si>
  <si>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</si>
  <si>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</si>
  <si>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</si>
  <si>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</si>
  <si>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</si>
  <si>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</si>
  <si>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</si>
  <si>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</si>
  <si>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</si>
  <si>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</si>
  <si>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</si>
  <si>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</si>
  <si>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</si>
  <si>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</si>
  <si>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</si>
  <si>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</si>
  <si>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</si>
  <si>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</si>
  <si>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</si>
  <si>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</si>
  <si>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</si>
  <si>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</si>
  <si>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</si>
  <si>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</si>
  <si>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</si>
  <si>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</si>
  <si>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</si>
  <si>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</si>
  <si>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</si>
  <si>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</si>
  <si>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</si>
  <si>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</si>
  <si>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</si>
  <si>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</si>
  <si>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</si>
  <si>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</si>
  <si>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</si>
  <si>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</si>
  <si>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</si>
  <si>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</si>
  <si>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</si>
  <si>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</si>
  <si>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</si>
  <si>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</si>
  <si>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</si>
  <si>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</si>
  <si>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</si>
  <si>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</si>
  <si>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</si>
  <si>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</si>
  <si>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</si>
  <si>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</si>
  <si>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</si>
  <si>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</si>
  <si>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</si>
  <si>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</si>
  <si>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</si>
  <si>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</si>
  <si>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</si>
  <si>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</si>
  <si>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</si>
  <si>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</si>
  <si>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</si>
  <si>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</si>
  <si>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</si>
  <si>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</si>
  <si>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</si>
  <si>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</si>
  <si>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</si>
  <si>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</si>
  <si>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</si>
  <si>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</si>
  <si>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</si>
  <si>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</si>
  <si>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</si>
  <si>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</si>
  <si>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</si>
  <si>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</si>
  <si>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</si>
  <si>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</si>
  <si>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</si>
  <si>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</si>
  <si>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</si>
  <si>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</si>
  <si>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</si>
  <si>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</si>
  <si>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</si>
  <si>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</si>
  <si>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</si>
  <si>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</si>
  <si>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</si>
  <si>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</si>
  <si>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</si>
  <si>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</si>
  <si>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</si>
  <si>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</si>
  <si>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</si>
  <si>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</si>
  <si>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</si>
  <si>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</si>
  <si>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</si>
  <si>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</si>
  <si>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</si>
  <si>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</si>
  <si>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</si>
  <si>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</si>
  <si>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</si>
  <si>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</si>
  <si>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</si>
  <si>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</si>
  <si>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</si>
  <si>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</si>
  <si>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</si>
  <si>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</si>
  <si>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</si>
  <si>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</si>
  <si>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</si>
  <si>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</si>
  <si>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</si>
  <si>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</si>
  <si>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</si>
  <si>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</si>
  <si>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</si>
  <si>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</si>
  <si>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</si>
  <si>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</si>
  <si>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</si>
  <si>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</si>
  <si>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</si>
  <si>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</si>
  <si>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</si>
  <si>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</si>
  <si>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</si>
  <si>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</si>
  <si>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</si>
  <si>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</si>
  <si>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</si>
  <si>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</si>
  <si>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</si>
  <si>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</si>
  <si>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</si>
  <si>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</si>
  <si>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</si>
  <si>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</si>
  <si>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</si>
  <si>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</si>
  <si>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</si>
  <si>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</si>
  <si>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</si>
  <si>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</si>
  <si>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</si>
  <si>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</si>
  <si>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</si>
  <si>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</si>
  <si>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</si>
  <si>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</si>
  <si>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</si>
  <si>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</si>
  <si>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</si>
  <si>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</si>
  <si>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</si>
  <si>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</si>
  <si>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</si>
  <si>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</si>
  <si>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</si>
  <si>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</si>
  <si>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</si>
  <si>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</si>
  <si>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</si>
  <si>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</si>
  <si>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</si>
  <si>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</si>
  <si>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</si>
  <si>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</si>
  <si>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</si>
  <si>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</si>
  <si>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</si>
  <si>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</si>
  <si>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</si>
  <si>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</si>
  <si>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</si>
  <si>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</si>
  <si>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</si>
  <si>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</si>
  <si>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</si>
  <si>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</si>
  <si>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</si>
  <si>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</si>
  <si>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</si>
  <si>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</si>
  <si>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</si>
  <si>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</si>
  <si>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</si>
  <si>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</si>
  <si>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</si>
  <si>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</si>
  <si>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AdaptivePushover_PX-5</t>
  </si>
  <si>
    <t>AdaptivePushover_PY-5</t>
  </si>
  <si>
    <t>B30x50-Story5-A-F</t>
  </si>
  <si>
    <t>229-Left</t>
  </si>
  <si>
    <t>Sol Uç</t>
  </si>
  <si>
    <t>229-Right</t>
  </si>
  <si>
    <t>Sağ Uç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</si>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</sst>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8.0857069182295652E-7</c:v>
                </c:pt>
                <c:pt idx="1">
                  <c:v>5.0475553294945189E-4</c:v>
                </c:pt>
                <c:pt idx="2">
                  <c:v>1.0087024952070808E-3</c:v>
                </c:pt>
                <c:pt idx="3">
                  <c:v>1.51264945746471E-3</c:v>
                </c:pt>
                <c:pt idx="4">
                  <c:v>2.0165964197223392E-3</c:v>
                </c:pt>
                <c:pt idx="5">
                  <c:v>2.5205433819799677E-3</c:v>
                </c:pt>
                <c:pt idx="6">
                  <c:v>3.0244903442375971E-3</c:v>
                </c:pt>
                <c:pt idx="7">
                  <c:v>3.5284373064952265E-3</c:v>
                </c:pt>
                <c:pt idx="8">
                  <c:v>4.032384268752855E-3</c:v>
                </c:pt>
                <c:pt idx="9">
                  <c:v>4.5363312310104835E-3</c:v>
                </c:pt>
                <c:pt idx="10">
                  <c:v>5.0402781932681129E-3</c:v>
                </c:pt>
                <c:pt idx="11">
                  <c:v>5.5442251555257414E-3</c:v>
                </c:pt>
                <c:pt idx="12">
                  <c:v>6.0481721177833708E-3</c:v>
                </c:pt>
                <c:pt idx="13">
                  <c:v>6.5521190800410002E-3</c:v>
                </c:pt>
                <c:pt idx="14">
                  <c:v>7.0560660422986296E-3</c:v>
                </c:pt>
                <c:pt idx="15">
                  <c:v>7.5600130045562581E-3</c:v>
                </c:pt>
                <c:pt idx="16">
                  <c:v>8.0639599668138884E-3</c:v>
                </c:pt>
                <c:pt idx="17">
                  <c:v>8.567906929071516E-3</c:v>
                </c:pt>
                <c:pt idx="18">
                  <c:v>9.0718538913291437E-3</c:v>
                </c:pt>
                <c:pt idx="19">
                  <c:v>9.5758008535867731E-3</c:v>
                </c:pt>
                <c:pt idx="20">
                  <c:v>1.0079747815844402E-2</c:v>
                </c:pt>
                <c:pt idx="21">
                  <c:v>1.0583694778102032E-2</c:v>
                </c:pt>
                <c:pt idx="22">
                  <c:v>1.1087641740359661E-2</c:v>
                </c:pt>
                <c:pt idx="23">
                  <c:v>1.1591588702617289E-2</c:v>
                </c:pt>
                <c:pt idx="24">
                  <c:v>1.2095535664874918E-2</c:v>
                </c:pt>
                <c:pt idx="25">
                  <c:v>1.2599482627132549E-2</c:v>
                </c:pt>
                <c:pt idx="26">
                  <c:v>1.3103429589390179E-2</c:v>
                </c:pt>
                <c:pt idx="27">
                  <c:v>1.360737655164781E-2</c:v>
                </c:pt>
                <c:pt idx="28">
                  <c:v>1.4111323513905439E-2</c:v>
                </c:pt>
                <c:pt idx="29">
                  <c:v>1.4615270476163069E-2</c:v>
                </c:pt>
                <c:pt idx="30">
                  <c:v>1.51192174384207E-2</c:v>
                </c:pt>
                <c:pt idx="31">
                  <c:v>1.5623164400678329E-2</c:v>
                </c:pt>
                <c:pt idx="32">
                  <c:v>1.6127111362935962E-2</c:v>
                </c:pt>
                <c:pt idx="33">
                  <c:v>1.6631058325193591E-2</c:v>
                </c:pt>
                <c:pt idx="34">
                  <c:v>1.7135005287451221E-2</c:v>
                </c:pt>
                <c:pt idx="35">
                  <c:v>1.763895224970885E-2</c:v>
                </c:pt>
                <c:pt idx="36">
                  <c:v>1.8142899211966483E-2</c:v>
                </c:pt>
                <c:pt idx="37">
                  <c:v>1.8646846174224112E-2</c:v>
                </c:pt>
                <c:pt idx="38">
                  <c:v>1.9150793136481742E-2</c:v>
                </c:pt>
                <c:pt idx="39">
                  <c:v>1.9654740098739371E-2</c:v>
                </c:pt>
                <c:pt idx="40">
                  <c:v>2.0158687060997001E-2</c:v>
                </c:pt>
                <c:pt idx="41">
                  <c:v>2.0662634023254633E-2</c:v>
                </c:pt>
                <c:pt idx="42">
                  <c:v>2.1166580985512263E-2</c:v>
                </c:pt>
                <c:pt idx="43">
                  <c:v>2.1670527947769892E-2</c:v>
                </c:pt>
                <c:pt idx="44">
                  <c:v>2.2174474910027522E-2</c:v>
                </c:pt>
                <c:pt idx="45">
                  <c:v>2.2678421872285155E-2</c:v>
                </c:pt>
                <c:pt idx="46">
                  <c:v>2.3182368834542787E-2</c:v>
                </c:pt>
                <c:pt idx="47">
                  <c:v>2.3686315796800413E-2</c:v>
                </c:pt>
                <c:pt idx="48">
                  <c:v>2.4190262759058039E-2</c:v>
                </c:pt>
                <c:pt idx="49">
                  <c:v>2.4694209721315672E-2</c:v>
                </c:pt>
                <c:pt idx="50">
                  <c:v>2.5198156683573298E-2</c:v>
                </c:pt>
                <c:pt idx="51">
                  <c:v>2.5702103645830924E-2</c:v>
                </c:pt>
                <c:pt idx="52">
                  <c:v>2.620605060808855E-2</c:v>
                </c:pt>
                <c:pt idx="53">
                  <c:v>2.6709997570346176E-2</c:v>
                </c:pt>
                <c:pt idx="54">
                  <c:v>2.7213944532603809E-2</c:v>
                </c:pt>
                <c:pt idx="55">
                  <c:v>2.7717891494861435E-2</c:v>
                </c:pt>
                <c:pt idx="56">
                  <c:v>2.822183845711906E-2</c:v>
                </c:pt>
                <c:pt idx="57">
                  <c:v>2.8725785419376686E-2</c:v>
                </c:pt>
                <c:pt idx="58">
                  <c:v>2.9229732381634319E-2</c:v>
                </c:pt>
                <c:pt idx="59">
                  <c:v>2.9733679343891945E-2</c:v>
                </c:pt>
                <c:pt idx="60">
                  <c:v>3.0237626306149564E-2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7.4324389504161095E-16</c:v>
                </c:pt>
                <c:pt idx="1">
                  <c:v>1.1526786000959157E-2</c:v>
                </c:pt>
                <c:pt idx="2">
                  <c:v>2.3077481830950243E-2</c:v>
                </c:pt>
                <c:pt idx="3">
                  <c:v>3.4616405275877456E-2</c:v>
                </c:pt>
                <c:pt idx="4">
                  <c:v>4.6155336912738903E-2</c:v>
                </c:pt>
                <c:pt idx="5">
                  <c:v>5.7694097146379637E-2</c:v>
                </c:pt>
                <c:pt idx="6">
                  <c:v>6.9228470990362348E-2</c:v>
                </c:pt>
                <c:pt idx="7">
                  <c:v>8.0764299320354796E-2</c:v>
                </c:pt>
                <c:pt idx="8">
                  <c:v>9.2299310174618468E-2</c:v>
                </c:pt>
                <c:pt idx="9">
                  <c:v>0.10383459557556812</c:v>
                </c:pt>
                <c:pt idx="10">
                  <c:v>0.11536988104603746</c:v>
                </c:pt>
                <c:pt idx="11">
                  <c:v>0.12690301622816982</c:v>
                </c:pt>
                <c:pt idx="12">
                  <c:v>0.13843440343355021</c:v>
                </c:pt>
                <c:pt idx="13">
                  <c:v>0.14996546805870584</c:v>
                </c:pt>
                <c:pt idx="14">
                  <c:v>0.16149480218731402</c:v>
                </c:pt>
                <c:pt idx="15">
                  <c:v>0.17302160080266055</c:v>
                </c:pt>
                <c:pt idx="16">
                  <c:v>0.18454943744005575</c:v>
                </c:pt>
                <c:pt idx="17">
                  <c:v>0.19607734093977891</c:v>
                </c:pt>
                <c:pt idx="18">
                  <c:v>0.20760260663919672</c:v>
                </c:pt>
                <c:pt idx="19">
                  <c:v>0.21913201925560541</c:v>
                </c:pt>
                <c:pt idx="20">
                  <c:v>0.23065843592821117</c:v>
                </c:pt>
                <c:pt idx="21">
                  <c:v>0.24218427596618425</c:v>
                </c:pt>
                <c:pt idx="22">
                  <c:v>0.253710989035557</c:v>
                </c:pt>
                <c:pt idx="23">
                  <c:v>0.26523290817916773</c:v>
                </c:pt>
                <c:pt idx="24">
                  <c:v>0.2767579255172013</c:v>
                </c:pt>
                <c:pt idx="25">
                  <c:v>0.28828155575866454</c:v>
                </c:pt>
                <c:pt idx="26">
                  <c:v>0.29980549309726778</c:v>
                </c:pt>
                <c:pt idx="27">
                  <c:v>0.31132870751115077</c:v>
                </c:pt>
                <c:pt idx="28">
                  <c:v>0.32282688383982788</c:v>
                </c:pt>
                <c:pt idx="29">
                  <c:v>0.33433391086970227</c:v>
                </c:pt>
                <c:pt idx="30">
                  <c:v>0.34583842828897954</c:v>
                </c:pt>
                <c:pt idx="31">
                  <c:v>0.35734506989639231</c:v>
                </c:pt>
                <c:pt idx="32">
                  <c:v>0.36885098349436557</c:v>
                </c:pt>
                <c:pt idx="33">
                  <c:v>0.38035617909420738</c:v>
                </c:pt>
                <c:pt idx="34">
                  <c:v>0.3918393470055459</c:v>
                </c:pt>
                <c:pt idx="35">
                  <c:v>0.40332946978355022</c:v>
                </c:pt>
                <c:pt idx="36">
                  <c:v>0.41481998129975761</c:v>
                </c:pt>
                <c:pt idx="37">
                  <c:v>0.42623671876305308</c:v>
                </c:pt>
                <c:pt idx="38">
                  <c:v>0.43768955502740042</c:v>
                </c:pt>
                <c:pt idx="39">
                  <c:v>0.44913345065019894</c:v>
                </c:pt>
                <c:pt idx="40">
                  <c:v>0.4605313933190005</c:v>
                </c:pt>
                <c:pt idx="41">
                  <c:v>0.47178790423980332</c:v>
                </c:pt>
                <c:pt idx="42">
                  <c:v>0.48311578720704429</c:v>
                </c:pt>
                <c:pt idx="43">
                  <c:v>0.49444233407293636</c:v>
                </c:pt>
                <c:pt idx="44">
                  <c:v>0.50536924725185273</c:v>
                </c:pt>
                <c:pt idx="45">
                  <c:v>0.5164057643449308</c:v>
                </c:pt>
                <c:pt idx="46">
                  <c:v>0.52746679219491444</c:v>
                </c:pt>
                <c:pt idx="47">
                  <c:v>0.53852829767264498</c:v>
                </c:pt>
                <c:pt idx="48">
                  <c:v>0.5495902561544751</c:v>
                </c:pt>
                <c:pt idx="49">
                  <c:v>0.56064995112086879</c:v>
                </c:pt>
                <c:pt idx="50">
                  <c:v>0.57171003511907681</c:v>
                </c:pt>
                <c:pt idx="51">
                  <c:v>0.58276957919530503</c:v>
                </c:pt>
                <c:pt idx="52">
                  <c:v>0.59382797295424139</c:v>
                </c:pt>
                <c:pt idx="53">
                  <c:v>0.60406122426750908</c:v>
                </c:pt>
                <c:pt idx="54">
                  <c:v>0.61458988734646147</c:v>
                </c:pt>
                <c:pt idx="55">
                  <c:v>0.62514636532505841</c:v>
                </c:pt>
                <c:pt idx="56">
                  <c:v>0.63570484500315938</c:v>
                </c:pt>
                <c:pt idx="57">
                  <c:v>0.64625748032832597</c:v>
                </c:pt>
                <c:pt idx="58">
                  <c:v>0.65681121412122279</c:v>
                </c:pt>
                <c:pt idx="59">
                  <c:v>0.66736702661503</c:v>
                </c:pt>
                <c:pt idx="60">
                  <c:v>0.67789867042988916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(+X)'!$S$6:$S$60</c:f>
              <c:numCache>
                <c:formatCode>0.000</c:formatCode>
                <c:ptCount val="55"/>
                <c:pt idx="0">
                  <c:v>8.0857069182295652E-7</c:v>
                </c:pt>
                <c:pt idx="1">
                  <c:v>6.055449401527952E-4</c:v>
                </c:pt>
                <c:pt idx="2">
                  <c:v>1.2102813096137675E-3</c:v>
                </c:pt>
                <c:pt idx="3">
                  <c:v>1.8150176790747395E-3</c:v>
                </c:pt>
                <c:pt idx="4">
                  <c:v>2.419754048535712E-3</c:v>
                </c:pt>
                <c:pt idx="5">
                  <c:v>3.0244904179966845E-3</c:v>
                </c:pt>
                <c:pt idx="6">
                  <c:v>3.6292267874576565E-3</c:v>
                </c:pt>
                <c:pt idx="7">
                  <c:v>4.2339631569186286E-3</c:v>
                </c:pt>
                <c:pt idx="8">
                  <c:v>4.8386995263796006E-3</c:v>
                </c:pt>
                <c:pt idx="9">
                  <c:v>5.4434358958405735E-3</c:v>
                </c:pt>
                <c:pt idx="10">
                  <c:v>6.0481722653015456E-3</c:v>
                </c:pt>
                <c:pt idx="11">
                  <c:v>6.0481722653015456E-3</c:v>
                </c:pt>
                <c:pt idx="12">
                  <c:v>6.6529086347625176E-3</c:v>
                </c:pt>
                <c:pt idx="13">
                  <c:v>7.2576450042234897E-3</c:v>
                </c:pt>
                <c:pt idx="14">
                  <c:v>7.8623813736844617E-3</c:v>
                </c:pt>
                <c:pt idx="15">
                  <c:v>8.4671177431454338E-3</c:v>
                </c:pt>
                <c:pt idx="16">
                  <c:v>9.0718541126064058E-3</c:v>
                </c:pt>
                <c:pt idx="17">
                  <c:v>9.6765904820673779E-3</c:v>
                </c:pt>
                <c:pt idx="18">
                  <c:v>1.0281326851528352E-2</c:v>
                </c:pt>
                <c:pt idx="19">
                  <c:v>1.0886063220989324E-2</c:v>
                </c:pt>
                <c:pt idx="20">
                  <c:v>1.1490799590450296E-2</c:v>
                </c:pt>
                <c:pt idx="21">
                  <c:v>1.2095535959911266E-2</c:v>
                </c:pt>
                <c:pt idx="22">
                  <c:v>1.2095535959911266E-2</c:v>
                </c:pt>
                <c:pt idx="23">
                  <c:v>1.270027232937224E-2</c:v>
                </c:pt>
                <c:pt idx="24">
                  <c:v>1.330500869883321E-2</c:v>
                </c:pt>
                <c:pt idx="25">
                  <c:v>1.3909745068294184E-2</c:v>
                </c:pt>
                <c:pt idx="26">
                  <c:v>1.4514481437755154E-2</c:v>
                </c:pt>
                <c:pt idx="27">
                  <c:v>1.5119217807216128E-2</c:v>
                </c:pt>
                <c:pt idx="28">
                  <c:v>1.5723954176677098E-2</c:v>
                </c:pt>
                <c:pt idx="29">
                  <c:v>1.6328690546138072E-2</c:v>
                </c:pt>
                <c:pt idx="30">
                  <c:v>1.6933426915599042E-2</c:v>
                </c:pt>
                <c:pt idx="31">
                  <c:v>1.7538163285060016E-2</c:v>
                </c:pt>
                <c:pt idx="32">
                  <c:v>1.814289965452099E-2</c:v>
                </c:pt>
                <c:pt idx="33">
                  <c:v>1.814289965452099E-2</c:v>
                </c:pt>
                <c:pt idx="34">
                  <c:v>1.874763602398196E-2</c:v>
                </c:pt>
                <c:pt idx="35">
                  <c:v>1.9352372393442934E-2</c:v>
                </c:pt>
                <c:pt idx="36">
                  <c:v>1.9957108762903908E-2</c:v>
                </c:pt>
                <c:pt idx="37">
                  <c:v>2.0561845132364878E-2</c:v>
                </c:pt>
                <c:pt idx="38">
                  <c:v>2.1166581501825852E-2</c:v>
                </c:pt>
                <c:pt idx="39">
                  <c:v>2.1771317871286822E-2</c:v>
                </c:pt>
                <c:pt idx="40">
                  <c:v>2.2376054240747796E-2</c:v>
                </c:pt>
                <c:pt idx="41">
                  <c:v>2.2980790610208766E-2</c:v>
                </c:pt>
                <c:pt idx="42">
                  <c:v>2.3585526979669737E-2</c:v>
                </c:pt>
                <c:pt idx="43">
                  <c:v>2.419026334913071E-2</c:v>
                </c:pt>
                <c:pt idx="44">
                  <c:v>2.419026334913071E-2</c:v>
                </c:pt>
                <c:pt idx="45">
                  <c:v>2.4794999718591684E-2</c:v>
                </c:pt>
                <c:pt idx="46">
                  <c:v>2.5399736088052658E-2</c:v>
                </c:pt>
                <c:pt idx="47">
                  <c:v>2.6004472457513625E-2</c:v>
                </c:pt>
                <c:pt idx="48">
                  <c:v>2.6609208826974595E-2</c:v>
                </c:pt>
                <c:pt idx="49">
                  <c:v>2.7213945196435562E-2</c:v>
                </c:pt>
                <c:pt idx="50">
                  <c:v>2.7818681565896536E-2</c:v>
                </c:pt>
                <c:pt idx="51">
                  <c:v>2.8423417935357503E-2</c:v>
                </c:pt>
                <c:pt idx="52">
                  <c:v>2.9028154304818476E-2</c:v>
                </c:pt>
                <c:pt idx="53">
                  <c:v>2.963289067427945E-2</c:v>
                </c:pt>
                <c:pt idx="54">
                  <c:v>3.0237627043740424E-2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7.4324389504161095E-16</c:v>
                </c:pt>
                <c:pt idx="1">
                  <c:v>1.3832143538650383E-2</c:v>
                </c:pt>
                <c:pt idx="2">
                  <c:v>2.7692941029227185E-2</c:v>
                </c:pt>
                <c:pt idx="3">
                  <c:v>4.1539771421552345E-2</c:v>
                </c:pt>
                <c:pt idx="4">
                  <c:v>5.53863110524732E-2</c:v>
                </c:pt>
                <c:pt idx="5">
                  <c:v>6.9228452099538651E-2</c:v>
                </c:pt>
                <c:pt idx="6">
                  <c:v>8.3071465467824943E-2</c:v>
                </c:pt>
                <c:pt idx="7">
                  <c:v>9.6913406113427539E-2</c:v>
                </c:pt>
                <c:pt idx="8">
                  <c:v>0.11075574896363867</c:v>
                </c:pt>
                <c:pt idx="9">
                  <c:v>0.12459659759175733</c:v>
                </c:pt>
                <c:pt idx="10">
                  <c:v>0.1384343862164181</c:v>
                </c:pt>
                <c:pt idx="11">
                  <c:v>0.1384343862164181</c:v>
                </c:pt>
                <c:pt idx="12">
                  <c:v>0.15228294045908861</c:v>
                </c:pt>
                <c:pt idx="13">
                  <c:v>0.16612881287330633</c:v>
                </c:pt>
                <c:pt idx="14">
                  <c:v>0.17997171714100768</c:v>
                </c:pt>
                <c:pt idx="15">
                  <c:v>0.19381632331144102</c:v>
                </c:pt>
                <c:pt idx="16">
                  <c:v>0.20765791950008869</c:v>
                </c:pt>
                <c:pt idx="17">
                  <c:v>0.22150438382608523</c:v>
                </c:pt>
                <c:pt idx="18">
                  <c:v>0.23534702087687429</c:v>
                </c:pt>
                <c:pt idx="19">
                  <c:v>0.24918924853759253</c:v>
                </c:pt>
                <c:pt idx="20">
                  <c:v>0.26303234103569506</c:v>
                </c:pt>
                <c:pt idx="21">
                  <c:v>0.27686918203886973</c:v>
                </c:pt>
                <c:pt idx="22">
                  <c:v>0.27686918203886973</c:v>
                </c:pt>
                <c:pt idx="23">
                  <c:v>0.29070781073974111</c:v>
                </c:pt>
                <c:pt idx="24">
                  <c:v>0.30454687737167441</c:v>
                </c:pt>
                <c:pt idx="25">
                  <c:v>0.31838481229552368</c:v>
                </c:pt>
                <c:pt idx="26">
                  <c:v>0.33218380176774898</c:v>
                </c:pt>
                <c:pt idx="27">
                  <c:v>0.34600089256501204</c:v>
                </c:pt>
                <c:pt idx="28">
                  <c:v>0.35981897205374358</c:v>
                </c:pt>
                <c:pt idx="29">
                  <c:v>0.37363615665674565</c:v>
                </c:pt>
                <c:pt idx="30">
                  <c:v>0.38744049295293309</c:v>
                </c:pt>
                <c:pt idx="31">
                  <c:v>0.40123528477622217</c:v>
                </c:pt>
                <c:pt idx="32">
                  <c:v>0.41503329521173776</c:v>
                </c:pt>
                <c:pt idx="33">
                  <c:v>0.41503329521173776</c:v>
                </c:pt>
                <c:pt idx="34">
                  <c:v>0.42880013600388384</c:v>
                </c:pt>
                <c:pt idx="35">
                  <c:v>0.44257875541704128</c:v>
                </c:pt>
                <c:pt idx="36">
                  <c:v>0.45630959762821</c:v>
                </c:pt>
                <c:pt idx="37">
                  <c:v>0.46991259897046833</c:v>
                </c:pt>
                <c:pt idx="38">
                  <c:v>0.48353990199074065</c:v>
                </c:pt>
                <c:pt idx="39">
                  <c:v>0.49716604341889559</c:v>
                </c:pt>
                <c:pt idx="40">
                  <c:v>0.51027386046490131</c:v>
                </c:pt>
                <c:pt idx="41">
                  <c:v>0.52357981798142439</c:v>
                </c:pt>
                <c:pt idx="42">
                  <c:v>0.53688642908169715</c:v>
                </c:pt>
                <c:pt idx="43">
                  <c:v>0.5501937194303641</c:v>
                </c:pt>
                <c:pt idx="44">
                  <c:v>0.5501937194303641</c:v>
                </c:pt>
                <c:pt idx="45">
                  <c:v>0.56360898896500744</c:v>
                </c:pt>
                <c:pt idx="46">
                  <c:v>0.57702408506535252</c:v>
                </c:pt>
                <c:pt idx="47">
                  <c:v>0.59043799328066537</c:v>
                </c:pt>
                <c:pt idx="48">
                  <c:v>0.60308918830682889</c:v>
                </c:pt>
                <c:pt idx="49">
                  <c:v>0.61586512964296403</c:v>
                </c:pt>
                <c:pt idx="50">
                  <c:v>0.62866517922478415</c:v>
                </c:pt>
                <c:pt idx="51">
                  <c:v>0.64146754469536504</c:v>
                </c:pt>
                <c:pt idx="52">
                  <c:v>0.65426119026059404</c:v>
                </c:pt>
                <c:pt idx="53">
                  <c:v>0.66706029387830112</c:v>
                </c:pt>
                <c:pt idx="54">
                  <c:v>0.67983293849406001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3.0236817828442623E-2</c:v>
                </c:pt>
                <c:pt idx="2">
                  <c:v>3.0236817828442623E-2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0.69681237793384743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2.8691630166360924E-7</c:v>
                </c:pt>
                <c:pt idx="1">
                  <c:v>5.0523938126411337E-4</c:v>
                </c:pt>
                <c:pt idx="2">
                  <c:v>1.0101918462265629E-3</c:v>
                </c:pt>
                <c:pt idx="3">
                  <c:v>1.5151443111890124E-3</c:v>
                </c:pt>
                <c:pt idx="4">
                  <c:v>2.020096776151462E-3</c:v>
                </c:pt>
                <c:pt idx="5">
                  <c:v>2.525049241113912E-3</c:v>
                </c:pt>
                <c:pt idx="6">
                  <c:v>3.0300017060763615E-3</c:v>
                </c:pt>
                <c:pt idx="7">
                  <c:v>3.534954171038811E-3</c:v>
                </c:pt>
                <c:pt idx="8">
                  <c:v>4.0399066360012614E-3</c:v>
                </c:pt>
                <c:pt idx="9">
                  <c:v>4.5448591009637105E-3</c:v>
                </c:pt>
                <c:pt idx="10">
                  <c:v>5.0498115659261614E-3</c:v>
                </c:pt>
                <c:pt idx="11">
                  <c:v>5.5547640308886105E-3</c:v>
                </c:pt>
                <c:pt idx="12">
                  <c:v>6.0597164958510596E-3</c:v>
                </c:pt>
                <c:pt idx="13">
                  <c:v>6.5646689608135104E-3</c:v>
                </c:pt>
                <c:pt idx="14">
                  <c:v>7.0696214257759604E-3</c:v>
                </c:pt>
                <c:pt idx="15">
                  <c:v>7.5745738907384104E-3</c:v>
                </c:pt>
                <c:pt idx="16">
                  <c:v>8.0795263557008595E-3</c:v>
                </c:pt>
                <c:pt idx="17">
                  <c:v>8.5844788206633094E-3</c:v>
                </c:pt>
                <c:pt idx="18">
                  <c:v>9.0894312856257594E-3</c:v>
                </c:pt>
                <c:pt idx="19">
                  <c:v>9.5943837505882111E-3</c:v>
                </c:pt>
                <c:pt idx="20">
                  <c:v>1.0099336215550659E-2</c:v>
                </c:pt>
                <c:pt idx="21">
                  <c:v>1.0604288680513109E-2</c:v>
                </c:pt>
                <c:pt idx="22">
                  <c:v>1.1109241145475559E-2</c:v>
                </c:pt>
                <c:pt idx="23">
                  <c:v>1.1614193610438009E-2</c:v>
                </c:pt>
                <c:pt idx="24">
                  <c:v>1.2119146075400459E-2</c:v>
                </c:pt>
                <c:pt idx="25">
                  <c:v>1.2624098540362907E-2</c:v>
                </c:pt>
                <c:pt idx="26">
                  <c:v>1.3129051005325357E-2</c:v>
                </c:pt>
                <c:pt idx="27">
                  <c:v>1.3634003470287807E-2</c:v>
                </c:pt>
                <c:pt idx="28">
                  <c:v>1.4138955935250257E-2</c:v>
                </c:pt>
                <c:pt idx="29">
                  <c:v>1.4643908400212707E-2</c:v>
                </c:pt>
                <c:pt idx="30">
                  <c:v>1.5148860865175159E-2</c:v>
                </c:pt>
                <c:pt idx="31">
                  <c:v>1.5653813330137607E-2</c:v>
                </c:pt>
                <c:pt idx="32">
                  <c:v>1.6158765795100057E-2</c:v>
                </c:pt>
                <c:pt idx="33">
                  <c:v>1.6663718260062507E-2</c:v>
                </c:pt>
                <c:pt idx="34">
                  <c:v>1.7168670725024957E-2</c:v>
                </c:pt>
                <c:pt idx="35">
                  <c:v>1.7673623189987407E-2</c:v>
                </c:pt>
                <c:pt idx="36">
                  <c:v>1.8178575654949857E-2</c:v>
                </c:pt>
                <c:pt idx="37">
                  <c:v>1.8683528119912307E-2</c:v>
                </c:pt>
                <c:pt idx="38">
                  <c:v>1.9188480584874757E-2</c:v>
                </c:pt>
                <c:pt idx="39">
                  <c:v>1.9693433049837207E-2</c:v>
                </c:pt>
                <c:pt idx="40">
                  <c:v>2.0198385514799657E-2</c:v>
                </c:pt>
                <c:pt idx="41">
                  <c:v>2.0703337979762107E-2</c:v>
                </c:pt>
                <c:pt idx="42">
                  <c:v>2.1208290444724557E-2</c:v>
                </c:pt>
                <c:pt idx="43">
                  <c:v>2.1713242909687007E-2</c:v>
                </c:pt>
                <c:pt idx="44">
                  <c:v>2.2218195374649457E-2</c:v>
                </c:pt>
                <c:pt idx="45">
                  <c:v>2.2723147839611907E-2</c:v>
                </c:pt>
                <c:pt idx="46">
                  <c:v>2.3228100304574353E-2</c:v>
                </c:pt>
                <c:pt idx="47">
                  <c:v>2.3733052769536803E-2</c:v>
                </c:pt>
                <c:pt idx="48">
                  <c:v>2.423800523449925E-2</c:v>
                </c:pt>
                <c:pt idx="49">
                  <c:v>2.4742957699461696E-2</c:v>
                </c:pt>
                <c:pt idx="50">
                  <c:v>2.5247910164424146E-2</c:v>
                </c:pt>
                <c:pt idx="51">
                  <c:v>2.5752862629386593E-2</c:v>
                </c:pt>
                <c:pt idx="52">
                  <c:v>2.6257815094349043E-2</c:v>
                </c:pt>
                <c:pt idx="53">
                  <c:v>2.6762767559311489E-2</c:v>
                </c:pt>
                <c:pt idx="54">
                  <c:v>2.7267720024273936E-2</c:v>
                </c:pt>
                <c:pt idx="55">
                  <c:v>2.7772672489236386E-2</c:v>
                </c:pt>
                <c:pt idx="56">
                  <c:v>2.8277624954198832E-2</c:v>
                </c:pt>
                <c:pt idx="57">
                  <c:v>2.8782577419161275E-2</c:v>
                </c:pt>
                <c:pt idx="58">
                  <c:v>2.9287529884123722E-2</c:v>
                </c:pt>
                <c:pt idx="59">
                  <c:v>2.9792482349086172E-2</c:v>
                </c:pt>
                <c:pt idx="60">
                  <c:v>3.0297434814048618E-2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1.720326666767533E-14</c:v>
                </c:pt>
                <c:pt idx="1">
                  <c:v>1.1502449563861396E-2</c:v>
                </c:pt>
                <c:pt idx="2">
                  <c:v>2.3029085140443484E-2</c:v>
                </c:pt>
                <c:pt idx="3">
                  <c:v>3.4543563901974536E-2</c:v>
                </c:pt>
                <c:pt idx="4">
                  <c:v>4.6058108605560907E-2</c:v>
                </c:pt>
                <c:pt idx="5">
                  <c:v>5.7572870146306493E-2</c:v>
                </c:pt>
                <c:pt idx="6">
                  <c:v>6.9086917856174157E-2</c:v>
                </c:pt>
                <c:pt idx="7">
                  <c:v>8.0598495147967228E-2</c:v>
                </c:pt>
                <c:pt idx="8">
                  <c:v>9.2110350064944738E-2</c:v>
                </c:pt>
                <c:pt idx="9">
                  <c:v>0.10361724625028822</c:v>
                </c:pt>
                <c:pt idx="10">
                  <c:v>0.11512500618136161</c:v>
                </c:pt>
                <c:pt idx="11">
                  <c:v>0.12662917130222168</c:v>
                </c:pt>
                <c:pt idx="12">
                  <c:v>0.13813245452594736</c:v>
                </c:pt>
                <c:pt idx="13">
                  <c:v>0.14963531013120004</c:v>
                </c:pt>
                <c:pt idx="14">
                  <c:v>0.16113764110435524</c:v>
                </c:pt>
                <c:pt idx="15">
                  <c:v>0.1726383100126607</c:v>
                </c:pt>
                <c:pt idx="16">
                  <c:v>0.18413504322517435</c:v>
                </c:pt>
                <c:pt idx="17">
                  <c:v>0.19562825047811996</c:v>
                </c:pt>
                <c:pt idx="18">
                  <c:v>0.2071238517283546</c:v>
                </c:pt>
                <c:pt idx="19">
                  <c:v>0.21861937052847513</c:v>
                </c:pt>
                <c:pt idx="20">
                  <c:v>0.23011512642155496</c:v>
                </c:pt>
                <c:pt idx="21">
                  <c:v>0.24161121995745599</c:v>
                </c:pt>
                <c:pt idx="22">
                  <c:v>0.25310761781974883</c:v>
                </c:pt>
                <c:pt idx="23">
                  <c:v>0.26460423704269975</c:v>
                </c:pt>
                <c:pt idx="24">
                  <c:v>0.27610070263231695</c:v>
                </c:pt>
                <c:pt idx="25">
                  <c:v>0.28759875298732274</c:v>
                </c:pt>
                <c:pt idx="26">
                  <c:v>0.29910022037159023</c:v>
                </c:pt>
                <c:pt idx="27">
                  <c:v>0.3105998439348982</c:v>
                </c:pt>
                <c:pt idx="28">
                  <c:v>0.32209897062697745</c:v>
                </c:pt>
                <c:pt idx="29">
                  <c:v>0.33360000510976662</c:v>
                </c:pt>
                <c:pt idx="30">
                  <c:v>0.34510468733048549</c:v>
                </c:pt>
                <c:pt idx="31">
                  <c:v>0.35660814901398846</c:v>
                </c:pt>
                <c:pt idx="32">
                  <c:v>0.36811186246168132</c:v>
                </c:pt>
                <c:pt idx="33">
                  <c:v>0.37960280197869128</c:v>
                </c:pt>
                <c:pt idx="34">
                  <c:v>0.39110465946990103</c:v>
                </c:pt>
                <c:pt idx="35">
                  <c:v>0.40259988059997076</c:v>
                </c:pt>
                <c:pt idx="36">
                  <c:v>0.41407934922401041</c:v>
                </c:pt>
                <c:pt idx="37">
                  <c:v>0.42554255080487563</c:v>
                </c:pt>
                <c:pt idx="38">
                  <c:v>0.43698918574788237</c:v>
                </c:pt>
                <c:pt idx="39">
                  <c:v>0.44844457690796424</c:v>
                </c:pt>
                <c:pt idx="40">
                  <c:v>0.45988680552688094</c:v>
                </c:pt>
                <c:pt idx="41">
                  <c:v>0.47133238715209813</c:v>
                </c:pt>
                <c:pt idx="42">
                  <c:v>0.48273853385562476</c:v>
                </c:pt>
                <c:pt idx="43">
                  <c:v>0.49416816204939107</c:v>
                </c:pt>
                <c:pt idx="44">
                  <c:v>0.50557098640193154</c:v>
                </c:pt>
                <c:pt idx="45">
                  <c:v>0.51697308541011822</c:v>
                </c:pt>
                <c:pt idx="46">
                  <c:v>0.5283096150383908</c:v>
                </c:pt>
                <c:pt idx="47">
                  <c:v>0.53946767917204852</c:v>
                </c:pt>
                <c:pt idx="48">
                  <c:v>0.55065576215691636</c:v>
                </c:pt>
                <c:pt idx="49">
                  <c:v>0.56169322341763339</c:v>
                </c:pt>
                <c:pt idx="50">
                  <c:v>0.57230656138682046</c:v>
                </c:pt>
                <c:pt idx="51">
                  <c:v>0.58301417378812137</c:v>
                </c:pt>
                <c:pt idx="52">
                  <c:v>0.59375658776760498</c:v>
                </c:pt>
                <c:pt idx="53">
                  <c:v>0.60449896816744753</c:v>
                </c:pt>
                <c:pt idx="54">
                  <c:v>0.61524063630914272</c:v>
                </c:pt>
                <c:pt idx="55">
                  <c:v>0.62598232476698668</c:v>
                </c:pt>
                <c:pt idx="56">
                  <c:v>0.63672371158432417</c:v>
                </c:pt>
                <c:pt idx="57">
                  <c:v>0.6474626095795224</c:v>
                </c:pt>
                <c:pt idx="58">
                  <c:v>0.65813024664767295</c:v>
                </c:pt>
                <c:pt idx="59">
                  <c:v>0.66804733113825754</c:v>
                </c:pt>
                <c:pt idx="60">
                  <c:v>0.67828741925766445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(+Y)'!$S$6:$S$60</c:f>
              <c:numCache>
                <c:formatCode>0.000</c:formatCode>
                <c:ptCount val="55"/>
                <c:pt idx="0">
                  <c:v>2.8691630166360924E-7</c:v>
                </c:pt>
                <c:pt idx="1">
                  <c:v>6.0622987425660321E-4</c:v>
                </c:pt>
                <c:pt idx="2">
                  <c:v>1.2121728322115428E-3</c:v>
                </c:pt>
                <c:pt idx="3">
                  <c:v>1.8181157901664827E-3</c:v>
                </c:pt>
                <c:pt idx="4">
                  <c:v>2.4240587481214222E-3</c:v>
                </c:pt>
                <c:pt idx="5">
                  <c:v>3.0300017060763615E-3</c:v>
                </c:pt>
                <c:pt idx="6">
                  <c:v>3.6359446640313003E-3</c:v>
                </c:pt>
                <c:pt idx="7">
                  <c:v>4.24188762198624E-3</c:v>
                </c:pt>
                <c:pt idx="8">
                  <c:v>4.8478305799411802E-3</c:v>
                </c:pt>
                <c:pt idx="9">
                  <c:v>5.4537735378961186E-3</c:v>
                </c:pt>
                <c:pt idx="10">
                  <c:v>6.0597164958510587E-3</c:v>
                </c:pt>
                <c:pt idx="11">
                  <c:v>6.0597164958510587E-3</c:v>
                </c:pt>
                <c:pt idx="12">
                  <c:v>6.6656594538059988E-3</c:v>
                </c:pt>
                <c:pt idx="13">
                  <c:v>7.2716024117609381E-3</c:v>
                </c:pt>
                <c:pt idx="14">
                  <c:v>7.8775453697158774E-3</c:v>
                </c:pt>
                <c:pt idx="15">
                  <c:v>8.4834883276708167E-3</c:v>
                </c:pt>
                <c:pt idx="16">
                  <c:v>9.0894312856257559E-3</c:v>
                </c:pt>
                <c:pt idx="17">
                  <c:v>9.6953742435806952E-3</c:v>
                </c:pt>
                <c:pt idx="18">
                  <c:v>1.0301317201535634E-2</c:v>
                </c:pt>
                <c:pt idx="19">
                  <c:v>1.0907260159490575E-2</c:v>
                </c:pt>
                <c:pt idx="20">
                  <c:v>1.1513203117445513E-2</c:v>
                </c:pt>
                <c:pt idx="21">
                  <c:v>1.2119146075400454E-2</c:v>
                </c:pt>
                <c:pt idx="22">
                  <c:v>1.2119146075400454E-2</c:v>
                </c:pt>
                <c:pt idx="23">
                  <c:v>1.2725089033355392E-2</c:v>
                </c:pt>
                <c:pt idx="24">
                  <c:v>1.3331031991310333E-2</c:v>
                </c:pt>
                <c:pt idx="25">
                  <c:v>1.393697494926527E-2</c:v>
                </c:pt>
                <c:pt idx="26">
                  <c:v>1.4542917907220211E-2</c:v>
                </c:pt>
                <c:pt idx="27">
                  <c:v>1.514886086517515E-2</c:v>
                </c:pt>
                <c:pt idx="28">
                  <c:v>1.575480382313009E-2</c:v>
                </c:pt>
                <c:pt idx="29">
                  <c:v>1.6360746781085029E-2</c:v>
                </c:pt>
                <c:pt idx="30">
                  <c:v>1.6966689739039968E-2</c:v>
                </c:pt>
                <c:pt idx="31">
                  <c:v>1.7572632696994907E-2</c:v>
                </c:pt>
                <c:pt idx="32">
                  <c:v>1.8178575654949847E-2</c:v>
                </c:pt>
                <c:pt idx="33">
                  <c:v>1.8178575654949847E-2</c:v>
                </c:pt>
                <c:pt idx="34">
                  <c:v>1.8784518612904786E-2</c:v>
                </c:pt>
                <c:pt idx="35">
                  <c:v>1.9390461570859725E-2</c:v>
                </c:pt>
                <c:pt idx="36">
                  <c:v>1.9996404528814665E-2</c:v>
                </c:pt>
                <c:pt idx="37">
                  <c:v>2.0602347486769604E-2</c:v>
                </c:pt>
                <c:pt idx="38">
                  <c:v>2.1208290444724543E-2</c:v>
                </c:pt>
                <c:pt idx="39">
                  <c:v>2.1814233402679482E-2</c:v>
                </c:pt>
                <c:pt idx="40">
                  <c:v>2.2420176360634422E-2</c:v>
                </c:pt>
                <c:pt idx="41">
                  <c:v>2.3026119318589364E-2</c:v>
                </c:pt>
                <c:pt idx="42">
                  <c:v>2.3632062276544304E-2</c:v>
                </c:pt>
                <c:pt idx="43">
                  <c:v>2.4238005234499239E-2</c:v>
                </c:pt>
                <c:pt idx="44">
                  <c:v>2.4238005234499239E-2</c:v>
                </c:pt>
                <c:pt idx="45">
                  <c:v>2.4843948192454182E-2</c:v>
                </c:pt>
                <c:pt idx="46">
                  <c:v>2.5449891150409125E-2</c:v>
                </c:pt>
                <c:pt idx="47">
                  <c:v>2.6055834108364068E-2</c:v>
                </c:pt>
                <c:pt idx="48">
                  <c:v>2.6661777066319007E-2</c:v>
                </c:pt>
                <c:pt idx="49">
                  <c:v>2.7267720024273953E-2</c:v>
                </c:pt>
                <c:pt idx="50">
                  <c:v>2.7873662982228892E-2</c:v>
                </c:pt>
                <c:pt idx="51">
                  <c:v>2.8479605940183832E-2</c:v>
                </c:pt>
                <c:pt idx="52">
                  <c:v>2.9085548898138778E-2</c:v>
                </c:pt>
                <c:pt idx="53">
                  <c:v>2.9691491856093717E-2</c:v>
                </c:pt>
                <c:pt idx="54">
                  <c:v>3.0297434814048632E-2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1.720326666767533E-14</c:v>
                </c:pt>
                <c:pt idx="1">
                  <c:v>1.380293947688655E-2</c:v>
                </c:pt>
                <c:pt idx="2">
                  <c:v>2.7634772233939637E-2</c:v>
                </c:pt>
                <c:pt idx="3">
                  <c:v>4.1452221124255846E-2</c:v>
                </c:pt>
                <c:pt idx="4">
                  <c:v>5.5269806273945649E-2</c:v>
                </c:pt>
                <c:pt idx="5">
                  <c:v>6.9087021257428785E-2</c:v>
                </c:pt>
                <c:pt idx="6">
                  <c:v>8.290087069039577E-2</c:v>
                </c:pt>
                <c:pt idx="7">
                  <c:v>9.6713963496180902E-2</c:v>
                </c:pt>
                <c:pt idx="8">
                  <c:v>0.11052204252292215</c:v>
                </c:pt>
                <c:pt idx="9">
                  <c:v>0.12432904335389978</c:v>
                </c:pt>
                <c:pt idx="10">
                  <c:v>0.1381326678239741</c:v>
                </c:pt>
                <c:pt idx="11">
                  <c:v>0.1381326678239741</c:v>
                </c:pt>
                <c:pt idx="12">
                  <c:v>0.15194691919457007</c:v>
                </c:pt>
                <c:pt idx="13">
                  <c:v>0.16576054956676806</c:v>
                </c:pt>
                <c:pt idx="14">
                  <c:v>0.17956864265032724</c:v>
                </c:pt>
                <c:pt idx="15">
                  <c:v>0.19337274966439733</c:v>
                </c:pt>
                <c:pt idx="16">
                  <c:v>0.20717835755865371</c:v>
                </c:pt>
                <c:pt idx="17">
                  <c:v>0.22098386180227136</c:v>
                </c:pt>
                <c:pt idx="18">
                  <c:v>0.23478994841752554</c:v>
                </c:pt>
                <c:pt idx="19">
                  <c:v>0.248596178437134</c:v>
                </c:pt>
                <c:pt idx="20">
                  <c:v>0.26240295317913681</c:v>
                </c:pt>
                <c:pt idx="21">
                  <c:v>0.27620961010401274</c:v>
                </c:pt>
                <c:pt idx="22">
                  <c:v>0.27620961010401274</c:v>
                </c:pt>
                <c:pt idx="23">
                  <c:v>0.2900178520153987</c:v>
                </c:pt>
                <c:pt idx="24">
                  <c:v>0.30383097726168168</c:v>
                </c:pt>
                <c:pt idx="25">
                  <c:v>0.31764122067781814</c:v>
                </c:pt>
                <c:pt idx="26">
                  <c:v>0.33145240571345247</c:v>
                </c:pt>
                <c:pt idx="27">
                  <c:v>0.34526834738039236</c:v>
                </c:pt>
                <c:pt idx="28">
                  <c:v>0.35908465141680468</c:v>
                </c:pt>
                <c:pt idx="29">
                  <c:v>0.37290024127266491</c:v>
                </c:pt>
                <c:pt idx="30">
                  <c:v>0.38671098235335882</c:v>
                </c:pt>
                <c:pt idx="31">
                  <c:v>0.40051029241742958</c:v>
                </c:pt>
                <c:pt idx="32">
                  <c:v>0.41430532334946535</c:v>
                </c:pt>
                <c:pt idx="33">
                  <c:v>0.41430532334946535</c:v>
                </c:pt>
                <c:pt idx="34">
                  <c:v>0.4280830076031179</c:v>
                </c:pt>
                <c:pt idx="35">
                  <c:v>0.4418322848500425</c:v>
                </c:pt>
                <c:pt idx="36">
                  <c:v>0.4555884975652354</c:v>
                </c:pt>
                <c:pt idx="37">
                  <c:v>0.46933169984150735</c:v>
                </c:pt>
                <c:pt idx="38">
                  <c:v>0.48303978230518557</c:v>
                </c:pt>
                <c:pt idx="39">
                  <c:v>0.49676900979963817</c:v>
                </c:pt>
                <c:pt idx="40">
                  <c:v>0.51045989233820122</c:v>
                </c:pt>
                <c:pt idx="41">
                  <c:v>0.52412739201260816</c:v>
                </c:pt>
                <c:pt idx="42">
                  <c:v>0.53758007677468</c:v>
                </c:pt>
                <c:pt idx="43">
                  <c:v>0.5510279417720152</c:v>
                </c:pt>
                <c:pt idx="44">
                  <c:v>0.5510279417720152</c:v>
                </c:pt>
                <c:pt idx="45">
                  <c:v>0.56437347398046422</c:v>
                </c:pt>
                <c:pt idx="46">
                  <c:v>0.57726259613508402</c:v>
                </c:pt>
                <c:pt idx="47">
                  <c:v>0.59021312369365941</c:v>
                </c:pt>
                <c:pt idx="48">
                  <c:v>0.60320389873658931</c:v>
                </c:pt>
                <c:pt idx="49">
                  <c:v>0.61619489550213447</c:v>
                </c:pt>
                <c:pt idx="50">
                  <c:v>0.62918506690583709</c:v>
                </c:pt>
                <c:pt idx="51">
                  <c:v>0.64217377139263032</c:v>
                </c:pt>
                <c:pt idx="52">
                  <c:v>0.65516191740973373</c:v>
                </c:pt>
                <c:pt idx="53">
                  <c:v>0.66735407638734301</c:v>
                </c:pt>
                <c:pt idx="54">
                  <c:v>0.67971430743708094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3.0297148134698144E-2</c:v>
                </c:pt>
                <c:pt idx="2">
                  <c:v>3.0297148134698144E-2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0.69542482475635059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3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5.3602305475504333E-2</c:v>
                </c:pt>
                <c:pt idx="2" formatCode="&quot;TB=&quot;\ 0.00">
                  <c:v>0.26801152737752165</c:v>
                </c:pt>
                <c:pt idx="3" formatCode="0.00">
                  <c:v>0.27801152737752166</c:v>
                </c:pt>
                <c:pt idx="4" formatCode="0.00">
                  <c:v>0.28801152737752167</c:v>
                </c:pt>
                <c:pt idx="5" formatCode="0.00">
                  <c:v>0.29801152737752168</c:v>
                </c:pt>
                <c:pt idx="6" formatCode="0.00">
                  <c:v>0.30801152737752169</c:v>
                </c:pt>
                <c:pt idx="7" formatCode="0.00">
                  <c:v>0.3180115273775217</c:v>
                </c:pt>
                <c:pt idx="8" formatCode="0.00">
                  <c:v>0.32801152737752171</c:v>
                </c:pt>
                <c:pt idx="9" formatCode="0.00">
                  <c:v>0.33801152737752171</c:v>
                </c:pt>
                <c:pt idx="10" formatCode="0.00">
                  <c:v>0.34801152737752172</c:v>
                </c:pt>
                <c:pt idx="11" formatCode="0.00">
                  <c:v>0.35801152737752173</c:v>
                </c:pt>
                <c:pt idx="12" formatCode="0.00">
                  <c:v>0.36801152737752174</c:v>
                </c:pt>
                <c:pt idx="13" formatCode="0.00">
                  <c:v>0.37801152737752175</c:v>
                </c:pt>
                <c:pt idx="14" formatCode="0.00">
                  <c:v>0.38801152737752176</c:v>
                </c:pt>
                <c:pt idx="15" formatCode="0.00">
                  <c:v>0.39801152737752177</c:v>
                </c:pt>
                <c:pt idx="16" formatCode="0.00">
                  <c:v>0.40801152737752178</c:v>
                </c:pt>
                <c:pt idx="17" formatCode="0.00">
                  <c:v>0.41801152737752179</c:v>
                </c:pt>
                <c:pt idx="18" formatCode="0.00">
                  <c:v>0.42801152737752179</c:v>
                </c:pt>
                <c:pt idx="19" formatCode="0.00">
                  <c:v>0.4380115273775218</c:v>
                </c:pt>
                <c:pt idx="20" formatCode="0.00">
                  <c:v>0.44801152737752181</c:v>
                </c:pt>
                <c:pt idx="21" formatCode="0.00">
                  <c:v>0.45801152737752182</c:v>
                </c:pt>
                <c:pt idx="22" formatCode="0.00">
                  <c:v>0.46801152737752183</c:v>
                </c:pt>
                <c:pt idx="23" formatCode="0.00">
                  <c:v>0.47801152737752184</c:v>
                </c:pt>
                <c:pt idx="24" formatCode="0.00">
                  <c:v>0.48801152737752185</c:v>
                </c:pt>
                <c:pt idx="25" formatCode="0.00">
                  <c:v>0.49801152737752186</c:v>
                </c:pt>
                <c:pt idx="26" formatCode="0.00">
                  <c:v>0.50801152737752187</c:v>
                </c:pt>
                <c:pt idx="27" formatCode="0.00">
                  <c:v>0.51801152737752187</c:v>
                </c:pt>
                <c:pt idx="28" formatCode="0.00">
                  <c:v>0.52801152737752188</c:v>
                </c:pt>
                <c:pt idx="29" formatCode="0.00">
                  <c:v>0.53801152737752189</c:v>
                </c:pt>
                <c:pt idx="30" formatCode="0.00">
                  <c:v>0.5480115273775219</c:v>
                </c:pt>
                <c:pt idx="31" formatCode="0.00">
                  <c:v>0.55801152737752191</c:v>
                </c:pt>
                <c:pt idx="32" formatCode="0.00">
                  <c:v>0.56801152737752192</c:v>
                </c:pt>
                <c:pt idx="33" formatCode="0.00">
                  <c:v>0.57801152737752193</c:v>
                </c:pt>
                <c:pt idx="34" formatCode="0.00">
                  <c:v>0.58801152737752194</c:v>
                </c:pt>
                <c:pt idx="35" formatCode="0.00">
                  <c:v>0.59801152737752195</c:v>
                </c:pt>
                <c:pt idx="36" formatCode="0.00">
                  <c:v>0.60801152737752195</c:v>
                </c:pt>
                <c:pt idx="37" formatCode="0.00">
                  <c:v>0.61801152737752196</c:v>
                </c:pt>
                <c:pt idx="38" formatCode="0.00">
                  <c:v>0.62801152737752197</c:v>
                </c:pt>
                <c:pt idx="39" formatCode="0.00">
                  <c:v>0.63801152737752198</c:v>
                </c:pt>
                <c:pt idx="40" formatCode="0.00">
                  <c:v>0.64801152737752199</c:v>
                </c:pt>
                <c:pt idx="41" formatCode="0.00">
                  <c:v>0.658011527377522</c:v>
                </c:pt>
                <c:pt idx="42" formatCode="0.00">
                  <c:v>0.66801152737752201</c:v>
                </c:pt>
                <c:pt idx="43" formatCode="0.00">
                  <c:v>0.67801152737752202</c:v>
                </c:pt>
                <c:pt idx="44" formatCode="0.00">
                  <c:v>0.68801152737752203</c:v>
                </c:pt>
                <c:pt idx="45" formatCode="0.00">
                  <c:v>0.69801152737752203</c:v>
                </c:pt>
                <c:pt idx="46" formatCode="0.00">
                  <c:v>0.70801152737752204</c:v>
                </c:pt>
                <c:pt idx="47" formatCode="0.00">
                  <c:v>0.71801152737752205</c:v>
                </c:pt>
                <c:pt idx="48" formatCode="0.00">
                  <c:v>0.72801152737752206</c:v>
                </c:pt>
                <c:pt idx="49" formatCode="0.00">
                  <c:v>0.73801152737752207</c:v>
                </c:pt>
                <c:pt idx="50" formatCode="0.00">
                  <c:v>0.74801152737752208</c:v>
                </c:pt>
                <c:pt idx="51" formatCode="0.00">
                  <c:v>0.75801152737752209</c:v>
                </c:pt>
                <c:pt idx="52" formatCode="0.00">
                  <c:v>0.7680115273775221</c:v>
                </c:pt>
                <c:pt idx="53" formatCode="0.00">
                  <c:v>0.77801152737752211</c:v>
                </c:pt>
                <c:pt idx="54" formatCode="0.00">
                  <c:v>0.78801152737752211</c:v>
                </c:pt>
                <c:pt idx="55" formatCode="0.00">
                  <c:v>0.79801152737752212</c:v>
                </c:pt>
                <c:pt idx="56" formatCode="0.00">
                  <c:v>0.80801152737752213</c:v>
                </c:pt>
                <c:pt idx="57" formatCode="0.00">
                  <c:v>0.81801152737752214</c:v>
                </c:pt>
                <c:pt idx="58" formatCode="0.00">
                  <c:v>0.82801152737752215</c:v>
                </c:pt>
                <c:pt idx="59" formatCode="0.00">
                  <c:v>0.83801152737752216</c:v>
                </c:pt>
                <c:pt idx="60" formatCode="0.00">
                  <c:v>0.84801152737752217</c:v>
                </c:pt>
                <c:pt idx="61" formatCode="0.00">
                  <c:v>0.85801152737752218</c:v>
                </c:pt>
                <c:pt idx="62" formatCode="0.00">
                  <c:v>0.86801152737752219</c:v>
                </c:pt>
                <c:pt idx="63" formatCode="0.00">
                  <c:v>0.87801152737752219</c:v>
                </c:pt>
                <c:pt idx="64" formatCode="0.00">
                  <c:v>0.8880115273775222</c:v>
                </c:pt>
                <c:pt idx="65" formatCode="0.00">
                  <c:v>0.89801152737752221</c:v>
                </c:pt>
                <c:pt idx="66" formatCode="0.00">
                  <c:v>0.90801152737752222</c:v>
                </c:pt>
                <c:pt idx="67" formatCode="0.00">
                  <c:v>0.91801152737752223</c:v>
                </c:pt>
                <c:pt idx="68" formatCode="0.00">
                  <c:v>0.92801152737752224</c:v>
                </c:pt>
                <c:pt idx="69" formatCode="0.00">
                  <c:v>0.93801152737752225</c:v>
                </c:pt>
                <c:pt idx="70" formatCode="0.00">
                  <c:v>0.94801152737752226</c:v>
                </c:pt>
                <c:pt idx="71" formatCode="0.00">
                  <c:v>0.95801152737752227</c:v>
                </c:pt>
                <c:pt idx="72" formatCode="0.00">
                  <c:v>0.96801152737752227</c:v>
                </c:pt>
                <c:pt idx="73" formatCode="0.00">
                  <c:v>0.97801152737752228</c:v>
                </c:pt>
                <c:pt idx="74" formatCode="0.00">
                  <c:v>0.98801152737752229</c:v>
                </c:pt>
                <c:pt idx="75" formatCode="0.00">
                  <c:v>0.9980115273775223</c:v>
                </c:pt>
                <c:pt idx="76" formatCode="0.00">
                  <c:v>1.0080115273775223</c:v>
                </c:pt>
                <c:pt idx="77" formatCode="0.00">
                  <c:v>1.0180115273775223</c:v>
                </c:pt>
                <c:pt idx="78" formatCode="0.00">
                  <c:v>1.0280115273775223</c:v>
                </c:pt>
                <c:pt idx="79" formatCode="0.00">
                  <c:v>1.0380115273775223</c:v>
                </c:pt>
                <c:pt idx="80" formatCode="0.00">
                  <c:v>1.0480115273775223</c:v>
                </c:pt>
                <c:pt idx="81" formatCode="0.00">
                  <c:v>1.0580115273775224</c:v>
                </c:pt>
                <c:pt idx="82" formatCode="0.00">
                  <c:v>1.0680115273775224</c:v>
                </c:pt>
                <c:pt idx="83" formatCode="0.00">
                  <c:v>1.0780115273775224</c:v>
                </c:pt>
                <c:pt idx="84" formatCode="0.00">
                  <c:v>1.0880115273775224</c:v>
                </c:pt>
                <c:pt idx="85" formatCode="0.00">
                  <c:v>1.0980115273775224</c:v>
                </c:pt>
                <c:pt idx="86" formatCode="0.00">
                  <c:v>1.1080115273775224</c:v>
                </c:pt>
                <c:pt idx="87" formatCode="0.00">
                  <c:v>1.1180115273775224</c:v>
                </c:pt>
                <c:pt idx="88" formatCode="0.00">
                  <c:v>1.1280115273775224</c:v>
                </c:pt>
                <c:pt idx="89" formatCode="0.00">
                  <c:v>1.1380115273775224</c:v>
                </c:pt>
                <c:pt idx="90" formatCode="0.00">
                  <c:v>1.1480115273775224</c:v>
                </c:pt>
                <c:pt idx="91" formatCode="0.00">
                  <c:v>1.1580115273775224</c:v>
                </c:pt>
                <c:pt idx="92" formatCode="0.00">
                  <c:v>1.1680115273775225</c:v>
                </c:pt>
                <c:pt idx="93" formatCode="0.00">
                  <c:v>1.1780115273775225</c:v>
                </c:pt>
                <c:pt idx="94" formatCode="0.00">
                  <c:v>1.1880115273775225</c:v>
                </c:pt>
                <c:pt idx="95" formatCode="0.00">
                  <c:v>1.1980115273775225</c:v>
                </c:pt>
                <c:pt idx="96" formatCode="0.00">
                  <c:v>1.2080115273775225</c:v>
                </c:pt>
                <c:pt idx="97" formatCode="0.00">
                  <c:v>1.2180115273775225</c:v>
                </c:pt>
                <c:pt idx="98" formatCode="0.00">
                  <c:v>1.2280115273775225</c:v>
                </c:pt>
                <c:pt idx="99" formatCode="0.00">
                  <c:v>1.2380115273775225</c:v>
                </c:pt>
                <c:pt idx="100" formatCode="0.00">
                  <c:v>1.2480115273775225</c:v>
                </c:pt>
                <c:pt idx="101" formatCode="0.00">
                  <c:v>1.2580115273775225</c:v>
                </c:pt>
                <c:pt idx="102" formatCode="0.00">
                  <c:v>1.2680115273775225</c:v>
                </c:pt>
                <c:pt idx="103" formatCode="0.00">
                  <c:v>1.2780115273775225</c:v>
                </c:pt>
                <c:pt idx="104" formatCode="0.00">
                  <c:v>1.2880115273775226</c:v>
                </c:pt>
                <c:pt idx="105" formatCode="0.00">
                  <c:v>1.2980115273775226</c:v>
                </c:pt>
                <c:pt idx="106" formatCode="0.00">
                  <c:v>1.3080115273775226</c:v>
                </c:pt>
                <c:pt idx="107" formatCode="0.00">
                  <c:v>1.3180115273775226</c:v>
                </c:pt>
                <c:pt idx="108" formatCode="0.00">
                  <c:v>1.3280115273775226</c:v>
                </c:pt>
                <c:pt idx="109" formatCode="0.00">
                  <c:v>1.3380115273775226</c:v>
                </c:pt>
                <c:pt idx="110" formatCode="0.00">
                  <c:v>1.3480115273775226</c:v>
                </c:pt>
                <c:pt idx="111" formatCode="0.00">
                  <c:v>1.3580115273775226</c:v>
                </c:pt>
                <c:pt idx="112" formatCode="0.00">
                  <c:v>1.3680115273775226</c:v>
                </c:pt>
                <c:pt idx="113" formatCode="0.00">
                  <c:v>1.3780115273775226</c:v>
                </c:pt>
                <c:pt idx="114" formatCode="0.00">
                  <c:v>1.3880115273775226</c:v>
                </c:pt>
                <c:pt idx="115" formatCode="0.00">
                  <c:v>1.3980115273775227</c:v>
                </c:pt>
                <c:pt idx="116" formatCode="0.00">
                  <c:v>1.4080115273775227</c:v>
                </c:pt>
                <c:pt idx="117" formatCode="0.00">
                  <c:v>1.4180115273775227</c:v>
                </c:pt>
                <c:pt idx="118" formatCode="0.00">
                  <c:v>1.4280115273775227</c:v>
                </c:pt>
                <c:pt idx="119" formatCode="0.00">
                  <c:v>1.4380115273775227</c:v>
                </c:pt>
                <c:pt idx="120" formatCode="0.00">
                  <c:v>1.4480115273775227</c:v>
                </c:pt>
                <c:pt idx="121" formatCode="0.00">
                  <c:v>1.4580115273775227</c:v>
                </c:pt>
                <c:pt idx="122" formatCode="0.00">
                  <c:v>1.4680115273775227</c:v>
                </c:pt>
                <c:pt idx="123" formatCode="0.00">
                  <c:v>1.4780115273775227</c:v>
                </c:pt>
                <c:pt idx="124" formatCode="0.00">
                  <c:v>1.4880115273775227</c:v>
                </c:pt>
                <c:pt idx="125" formatCode="0.00">
                  <c:v>1.4980115273775227</c:v>
                </c:pt>
                <c:pt idx="126" formatCode="0.00">
                  <c:v>1.5080115273775228</c:v>
                </c:pt>
                <c:pt idx="127" formatCode="0.00">
                  <c:v>1.5180115273775228</c:v>
                </c:pt>
                <c:pt idx="128" formatCode="0.00">
                  <c:v>1.5280115273775228</c:v>
                </c:pt>
                <c:pt idx="129" formatCode="0.00">
                  <c:v>1.5380115273775228</c:v>
                </c:pt>
                <c:pt idx="130" formatCode="0.00">
                  <c:v>1.5480115273775228</c:v>
                </c:pt>
                <c:pt idx="131" formatCode="0.00">
                  <c:v>1.5580115273775228</c:v>
                </c:pt>
                <c:pt idx="132" formatCode="0.00">
                  <c:v>1.5680115273775228</c:v>
                </c:pt>
                <c:pt idx="133" formatCode="0.00">
                  <c:v>1.5780115273775228</c:v>
                </c:pt>
                <c:pt idx="134" formatCode="0.00">
                  <c:v>1.5880115273775228</c:v>
                </c:pt>
                <c:pt idx="135" formatCode="0.00">
                  <c:v>1.5980115273775228</c:v>
                </c:pt>
                <c:pt idx="136" formatCode="0.00">
                  <c:v>1.6080115273775228</c:v>
                </c:pt>
                <c:pt idx="137" formatCode="0.00">
                  <c:v>1.6180115273775229</c:v>
                </c:pt>
                <c:pt idx="138" formatCode="0.00">
                  <c:v>1.6280115273775229</c:v>
                </c:pt>
                <c:pt idx="139" formatCode="0.00">
                  <c:v>1.6380115273775229</c:v>
                </c:pt>
                <c:pt idx="140" formatCode="0.00">
                  <c:v>1.6480115273775229</c:v>
                </c:pt>
                <c:pt idx="141" formatCode="0.00">
                  <c:v>1.6580115273775229</c:v>
                </c:pt>
                <c:pt idx="142" formatCode="0.00">
                  <c:v>1.6680115273775229</c:v>
                </c:pt>
                <c:pt idx="143" formatCode="0.00">
                  <c:v>1.6780115273775229</c:v>
                </c:pt>
                <c:pt idx="144" formatCode="0.00">
                  <c:v>1.6880115273775229</c:v>
                </c:pt>
                <c:pt idx="145" formatCode="0.00">
                  <c:v>1.6980115273775229</c:v>
                </c:pt>
                <c:pt idx="146" formatCode="0.00">
                  <c:v>1.7080115273775229</c:v>
                </c:pt>
                <c:pt idx="147" formatCode="0.00">
                  <c:v>1.7180115273775229</c:v>
                </c:pt>
                <c:pt idx="148" formatCode="0.00">
                  <c:v>1.7280115273775229</c:v>
                </c:pt>
                <c:pt idx="149" formatCode="0.00">
                  <c:v>1.738011527377523</c:v>
                </c:pt>
                <c:pt idx="150" formatCode="0.00">
                  <c:v>1.748011527377523</c:v>
                </c:pt>
                <c:pt idx="151" formatCode="0.00">
                  <c:v>1.758011527377523</c:v>
                </c:pt>
                <c:pt idx="152" formatCode="0.00">
                  <c:v>1.768011527377523</c:v>
                </c:pt>
                <c:pt idx="153" formatCode="0.00">
                  <c:v>1.778011527377523</c:v>
                </c:pt>
                <c:pt idx="154" formatCode="0.00">
                  <c:v>1.788011527377523</c:v>
                </c:pt>
                <c:pt idx="155" formatCode="0.00">
                  <c:v>1.798011527377523</c:v>
                </c:pt>
                <c:pt idx="156" formatCode="0.00">
                  <c:v>1.808011527377523</c:v>
                </c:pt>
                <c:pt idx="157" formatCode="0.00">
                  <c:v>1.818011527377523</c:v>
                </c:pt>
                <c:pt idx="158" formatCode="0.00">
                  <c:v>1.828011527377523</c:v>
                </c:pt>
                <c:pt idx="159" formatCode="0.00">
                  <c:v>1.838011527377523</c:v>
                </c:pt>
                <c:pt idx="160" formatCode="0.00">
                  <c:v>1.8480115273775231</c:v>
                </c:pt>
                <c:pt idx="161" formatCode="0.00">
                  <c:v>1.8580115273775231</c:v>
                </c:pt>
                <c:pt idx="162" formatCode="0.00">
                  <c:v>1.8680115273775231</c:v>
                </c:pt>
                <c:pt idx="163" formatCode="0.00">
                  <c:v>1.8780115273775231</c:v>
                </c:pt>
                <c:pt idx="164" formatCode="0.00">
                  <c:v>1.8880115273775231</c:v>
                </c:pt>
                <c:pt idx="165" formatCode="0.00">
                  <c:v>1.8980115273775231</c:v>
                </c:pt>
                <c:pt idx="166" formatCode="0.00">
                  <c:v>1.9080115273775231</c:v>
                </c:pt>
                <c:pt idx="167" formatCode="0.00">
                  <c:v>1.9180115273775231</c:v>
                </c:pt>
                <c:pt idx="168" formatCode="0.00">
                  <c:v>1.9280115273775231</c:v>
                </c:pt>
                <c:pt idx="169" formatCode="0.00">
                  <c:v>1.9380115273775231</c:v>
                </c:pt>
                <c:pt idx="170" formatCode="0.00">
                  <c:v>1.9480115273775231</c:v>
                </c:pt>
                <c:pt idx="171" formatCode="0.00">
                  <c:v>1.9580115273775232</c:v>
                </c:pt>
                <c:pt idx="172" formatCode="0.00">
                  <c:v>1.9680115273775232</c:v>
                </c:pt>
                <c:pt idx="173" formatCode="0.00">
                  <c:v>1.9780115273775232</c:v>
                </c:pt>
                <c:pt idx="174" formatCode="0.00">
                  <c:v>1.9880115273775232</c:v>
                </c:pt>
                <c:pt idx="175" formatCode="0.00">
                  <c:v>1.9980115273775232</c:v>
                </c:pt>
                <c:pt idx="176" formatCode="0.00">
                  <c:v>2.0080115273775232</c:v>
                </c:pt>
                <c:pt idx="177" formatCode="0.00">
                  <c:v>2.018011527377523</c:v>
                </c:pt>
                <c:pt idx="178" formatCode="0.00">
                  <c:v>2.0280115273775228</c:v>
                </c:pt>
                <c:pt idx="179" formatCode="0.00">
                  <c:v>2.0380115273775226</c:v>
                </c:pt>
                <c:pt idx="180" formatCode="0.00">
                  <c:v>2.0480115273775223</c:v>
                </c:pt>
                <c:pt idx="181" formatCode="0.00">
                  <c:v>2.0580115273775221</c:v>
                </c:pt>
                <c:pt idx="182" formatCode="0.00">
                  <c:v>2.0680115273775219</c:v>
                </c:pt>
                <c:pt idx="183" formatCode="0.00">
                  <c:v>2.0780115273775217</c:v>
                </c:pt>
                <c:pt idx="184" formatCode="0.00">
                  <c:v>2.0880115273775215</c:v>
                </c:pt>
                <c:pt idx="185" formatCode="0.00">
                  <c:v>2.0980115273775213</c:v>
                </c:pt>
                <c:pt idx="186" formatCode="0.00">
                  <c:v>2.1080115273775211</c:v>
                </c:pt>
                <c:pt idx="187" formatCode="0.00">
                  <c:v>2.1180115273775209</c:v>
                </c:pt>
                <c:pt idx="188" formatCode="0.00">
                  <c:v>2.1280115273775206</c:v>
                </c:pt>
                <c:pt idx="189" formatCode="0.00">
                  <c:v>2.1380115273775204</c:v>
                </c:pt>
                <c:pt idx="190" formatCode="0.00">
                  <c:v>2.1480115273775202</c:v>
                </c:pt>
                <c:pt idx="191" formatCode="0.00">
                  <c:v>2.15801152737752</c:v>
                </c:pt>
                <c:pt idx="192" formatCode="0.00">
                  <c:v>2.1680115273775198</c:v>
                </c:pt>
                <c:pt idx="193" formatCode="0.00">
                  <c:v>2.1780115273775196</c:v>
                </c:pt>
                <c:pt idx="194" formatCode="0.00">
                  <c:v>2.1880115273775194</c:v>
                </c:pt>
                <c:pt idx="195" formatCode="0.00">
                  <c:v>2.1980115273775191</c:v>
                </c:pt>
                <c:pt idx="196" formatCode="0.00">
                  <c:v>2.2080115273775189</c:v>
                </c:pt>
                <c:pt idx="197" formatCode="0.00">
                  <c:v>2.2180115273775187</c:v>
                </c:pt>
                <c:pt idx="198" formatCode="0.00">
                  <c:v>2.2280115273775185</c:v>
                </c:pt>
                <c:pt idx="199" formatCode="0.00">
                  <c:v>2.2380115273775183</c:v>
                </c:pt>
                <c:pt idx="200" formatCode="0.00">
                  <c:v>2.2480115273775181</c:v>
                </c:pt>
                <c:pt idx="201" formatCode="0.00">
                  <c:v>2.2580115273775179</c:v>
                </c:pt>
                <c:pt idx="202" formatCode="0.00">
                  <c:v>2.2680115273775177</c:v>
                </c:pt>
                <c:pt idx="203" formatCode="0.00">
                  <c:v>2.2780115273775174</c:v>
                </c:pt>
                <c:pt idx="204" formatCode="0.00">
                  <c:v>2.2880115273775172</c:v>
                </c:pt>
                <c:pt idx="205" formatCode="0.00">
                  <c:v>2.298011527377517</c:v>
                </c:pt>
                <c:pt idx="206" formatCode="0.00">
                  <c:v>2.3080115273775168</c:v>
                </c:pt>
                <c:pt idx="207" formatCode="0.00">
                  <c:v>2.3180115273775166</c:v>
                </c:pt>
                <c:pt idx="208" formatCode="0.00">
                  <c:v>2.3280115273775164</c:v>
                </c:pt>
                <c:pt idx="209" formatCode="0.00">
                  <c:v>2.3380115273775162</c:v>
                </c:pt>
                <c:pt idx="210" formatCode="0.00">
                  <c:v>2.348011527377516</c:v>
                </c:pt>
                <c:pt idx="211" formatCode="0.00">
                  <c:v>2.3580115273775157</c:v>
                </c:pt>
                <c:pt idx="212" formatCode="0.00">
                  <c:v>2.3680115273775155</c:v>
                </c:pt>
                <c:pt idx="213" formatCode="0.00">
                  <c:v>2.3780115273775153</c:v>
                </c:pt>
                <c:pt idx="214" formatCode="0.00">
                  <c:v>2.3880115273775151</c:v>
                </c:pt>
                <c:pt idx="215" formatCode="0.00">
                  <c:v>2.3980115273775149</c:v>
                </c:pt>
                <c:pt idx="216" formatCode="0.00">
                  <c:v>2.4080115273775147</c:v>
                </c:pt>
                <c:pt idx="217" formatCode="0.00">
                  <c:v>2.4180115273775145</c:v>
                </c:pt>
                <c:pt idx="218" formatCode="0.00">
                  <c:v>2.4280115273775142</c:v>
                </c:pt>
                <c:pt idx="219" formatCode="0.00">
                  <c:v>2.438011527377514</c:v>
                </c:pt>
                <c:pt idx="220" formatCode="0.00">
                  <c:v>2.4480115273775138</c:v>
                </c:pt>
                <c:pt idx="221" formatCode="0.00">
                  <c:v>2.4580115273775136</c:v>
                </c:pt>
                <c:pt idx="222" formatCode="0.00">
                  <c:v>2.4680115273775134</c:v>
                </c:pt>
                <c:pt idx="223" formatCode="0.00">
                  <c:v>2.4780115273775132</c:v>
                </c:pt>
                <c:pt idx="224" formatCode="0.00">
                  <c:v>2.488011527377513</c:v>
                </c:pt>
                <c:pt idx="225" formatCode="0.00">
                  <c:v>2.4980115273775128</c:v>
                </c:pt>
                <c:pt idx="226" formatCode="0.00">
                  <c:v>2.5080115273775125</c:v>
                </c:pt>
                <c:pt idx="227" formatCode="0.00">
                  <c:v>2.5180115273775123</c:v>
                </c:pt>
                <c:pt idx="228" formatCode="0.00">
                  <c:v>2.5280115273775121</c:v>
                </c:pt>
                <c:pt idx="229" formatCode="0.00">
                  <c:v>2.5380115273775119</c:v>
                </c:pt>
                <c:pt idx="230" formatCode="0.00">
                  <c:v>2.5480115273775117</c:v>
                </c:pt>
                <c:pt idx="231" formatCode="0.00">
                  <c:v>2.5580115273775115</c:v>
                </c:pt>
                <c:pt idx="232" formatCode="0.00">
                  <c:v>2.5680115273775113</c:v>
                </c:pt>
                <c:pt idx="233" formatCode="0.00">
                  <c:v>2.578011527377511</c:v>
                </c:pt>
                <c:pt idx="234" formatCode="0.00">
                  <c:v>2.5880115273775108</c:v>
                </c:pt>
                <c:pt idx="235" formatCode="0.00">
                  <c:v>2.5980115273775106</c:v>
                </c:pt>
                <c:pt idx="236" formatCode="0.00">
                  <c:v>2.6080115273775104</c:v>
                </c:pt>
                <c:pt idx="237" formatCode="0.00">
                  <c:v>2.6180115273775102</c:v>
                </c:pt>
                <c:pt idx="238" formatCode="0.00">
                  <c:v>2.62801152737751</c:v>
                </c:pt>
                <c:pt idx="239" formatCode="0.00">
                  <c:v>2.6380115273775098</c:v>
                </c:pt>
                <c:pt idx="240" formatCode="0.00">
                  <c:v>2.6480115273775096</c:v>
                </c:pt>
                <c:pt idx="241" formatCode="0.00">
                  <c:v>2.6580115273775093</c:v>
                </c:pt>
                <c:pt idx="242" formatCode="0.00">
                  <c:v>2.6680115273775091</c:v>
                </c:pt>
                <c:pt idx="243" formatCode="0.00">
                  <c:v>2.6780115273775089</c:v>
                </c:pt>
                <c:pt idx="244" formatCode="0.00">
                  <c:v>2.6880115273775087</c:v>
                </c:pt>
                <c:pt idx="245" formatCode="0.00">
                  <c:v>2.6980115273775085</c:v>
                </c:pt>
                <c:pt idx="246" formatCode="0.00">
                  <c:v>2.7080115273775083</c:v>
                </c:pt>
                <c:pt idx="247" formatCode="0.00">
                  <c:v>2.7180115273775081</c:v>
                </c:pt>
                <c:pt idx="248" formatCode="0.00">
                  <c:v>2.7280115273775078</c:v>
                </c:pt>
                <c:pt idx="249" formatCode="0.00">
                  <c:v>2.7380115273775076</c:v>
                </c:pt>
                <c:pt idx="250" formatCode="0.00">
                  <c:v>2.7480115273775074</c:v>
                </c:pt>
                <c:pt idx="251" formatCode="0.00">
                  <c:v>2.7580115273775072</c:v>
                </c:pt>
                <c:pt idx="252" formatCode="0.00">
                  <c:v>2.768011527377507</c:v>
                </c:pt>
                <c:pt idx="253" formatCode="0.00">
                  <c:v>2.7780115273775068</c:v>
                </c:pt>
                <c:pt idx="254" formatCode="0.00">
                  <c:v>2.7880115273775066</c:v>
                </c:pt>
                <c:pt idx="255" formatCode="0.00">
                  <c:v>2.7980115273775064</c:v>
                </c:pt>
                <c:pt idx="256" formatCode="0.00">
                  <c:v>2.8080115273775061</c:v>
                </c:pt>
                <c:pt idx="257" formatCode="0.00">
                  <c:v>2.8180115273775059</c:v>
                </c:pt>
                <c:pt idx="258" formatCode="0.00">
                  <c:v>2.8280115273775057</c:v>
                </c:pt>
                <c:pt idx="259" formatCode="0.00">
                  <c:v>2.8380115273775055</c:v>
                </c:pt>
                <c:pt idx="260" formatCode="0.00">
                  <c:v>2.8480115273775053</c:v>
                </c:pt>
                <c:pt idx="261" formatCode="0.00">
                  <c:v>2.8580115273775051</c:v>
                </c:pt>
                <c:pt idx="262" formatCode="0.00">
                  <c:v>2.8680115273775049</c:v>
                </c:pt>
                <c:pt idx="263" formatCode="0.00">
                  <c:v>2.8780115273775047</c:v>
                </c:pt>
                <c:pt idx="264" formatCode="0.00">
                  <c:v>2.8880115273775044</c:v>
                </c:pt>
                <c:pt idx="265" formatCode="0.00">
                  <c:v>2.8980115273775042</c:v>
                </c:pt>
                <c:pt idx="266" formatCode="0.00">
                  <c:v>2.908011527377504</c:v>
                </c:pt>
                <c:pt idx="267" formatCode="0.00">
                  <c:v>2.9180115273775038</c:v>
                </c:pt>
                <c:pt idx="268" formatCode="0.00">
                  <c:v>2.9280115273775036</c:v>
                </c:pt>
                <c:pt idx="269" formatCode="0.00">
                  <c:v>2.9380115273775034</c:v>
                </c:pt>
                <c:pt idx="270" formatCode="0.00">
                  <c:v>2.9480115273775032</c:v>
                </c:pt>
                <c:pt idx="271" formatCode="0.00">
                  <c:v>2.9580115273775029</c:v>
                </c:pt>
                <c:pt idx="272" formatCode="0.00">
                  <c:v>2.9680115273775027</c:v>
                </c:pt>
                <c:pt idx="273" formatCode="0.00">
                  <c:v>2.9780115273775025</c:v>
                </c:pt>
                <c:pt idx="274" formatCode="0.00">
                  <c:v>2.9880115273775023</c:v>
                </c:pt>
                <c:pt idx="275" formatCode="0.00">
                  <c:v>2.9980115273775021</c:v>
                </c:pt>
                <c:pt idx="276" formatCode="0.00">
                  <c:v>3.0080115273775019</c:v>
                </c:pt>
                <c:pt idx="277" formatCode="0.00">
                  <c:v>3.0180115273775017</c:v>
                </c:pt>
                <c:pt idx="278" formatCode="0.00">
                  <c:v>3.0280115273775015</c:v>
                </c:pt>
                <c:pt idx="279" formatCode="0.00">
                  <c:v>3.0380115273775012</c:v>
                </c:pt>
                <c:pt idx="280" formatCode="0.00">
                  <c:v>3.048011527377501</c:v>
                </c:pt>
                <c:pt idx="281" formatCode="0.00">
                  <c:v>3.0580115273775008</c:v>
                </c:pt>
                <c:pt idx="282" formatCode="0.00">
                  <c:v>3.0680115273775006</c:v>
                </c:pt>
                <c:pt idx="283" formatCode="0.00">
                  <c:v>3.0780115273775004</c:v>
                </c:pt>
                <c:pt idx="284" formatCode="0.00">
                  <c:v>3.0880115273775002</c:v>
                </c:pt>
                <c:pt idx="285" formatCode="0.00">
                  <c:v>3.0980115273775</c:v>
                </c:pt>
                <c:pt idx="286" formatCode="0.00">
                  <c:v>3.1080115273774997</c:v>
                </c:pt>
                <c:pt idx="287" formatCode="0.00">
                  <c:v>3.1180115273774995</c:v>
                </c:pt>
                <c:pt idx="288" formatCode="0.00">
                  <c:v>3.1280115273774993</c:v>
                </c:pt>
                <c:pt idx="289" formatCode="0.00">
                  <c:v>3.1380115273774991</c:v>
                </c:pt>
                <c:pt idx="290" formatCode="0.00">
                  <c:v>3.1480115273774989</c:v>
                </c:pt>
                <c:pt idx="291" formatCode="0.00">
                  <c:v>3.1580115273774987</c:v>
                </c:pt>
                <c:pt idx="292" formatCode="0.00">
                  <c:v>3.1680115273774985</c:v>
                </c:pt>
                <c:pt idx="293" formatCode="0.00">
                  <c:v>3.1780115273774983</c:v>
                </c:pt>
                <c:pt idx="294" formatCode="0.00">
                  <c:v>3.188011527377498</c:v>
                </c:pt>
                <c:pt idx="295" formatCode="0.00">
                  <c:v>3.1980115273774978</c:v>
                </c:pt>
                <c:pt idx="296" formatCode="0.00">
                  <c:v>3.2080115273774976</c:v>
                </c:pt>
                <c:pt idx="297" formatCode="0.00">
                  <c:v>3.2180115273774974</c:v>
                </c:pt>
                <c:pt idx="298" formatCode="0.00">
                  <c:v>3.2280115273774972</c:v>
                </c:pt>
                <c:pt idx="299" formatCode="0.00">
                  <c:v>3.238011527377497</c:v>
                </c:pt>
                <c:pt idx="300" formatCode="0.00">
                  <c:v>3.2480115273774968</c:v>
                </c:pt>
                <c:pt idx="301" formatCode="0.00">
                  <c:v>3.2580115273774966</c:v>
                </c:pt>
                <c:pt idx="302" formatCode="0.00">
                  <c:v>3.2680115273774963</c:v>
                </c:pt>
                <c:pt idx="303" formatCode="0.00">
                  <c:v>3.2780115273774961</c:v>
                </c:pt>
                <c:pt idx="304" formatCode="0.00">
                  <c:v>3.2880115273774959</c:v>
                </c:pt>
                <c:pt idx="305" formatCode="0.00">
                  <c:v>3.2980115273774957</c:v>
                </c:pt>
                <c:pt idx="306" formatCode="0.00">
                  <c:v>3.3080115273774955</c:v>
                </c:pt>
                <c:pt idx="307" formatCode="0.00">
                  <c:v>3.3180115273774953</c:v>
                </c:pt>
                <c:pt idx="308" formatCode="0.00">
                  <c:v>3.3280115273774951</c:v>
                </c:pt>
                <c:pt idx="309" formatCode="0.00">
                  <c:v>3.3380115273774948</c:v>
                </c:pt>
                <c:pt idx="310" formatCode="0.00">
                  <c:v>3.3480115273774946</c:v>
                </c:pt>
                <c:pt idx="311" formatCode="0.00">
                  <c:v>3.3580115273774944</c:v>
                </c:pt>
                <c:pt idx="312" formatCode="0.00">
                  <c:v>3.3680115273774942</c:v>
                </c:pt>
                <c:pt idx="313" formatCode="0.00">
                  <c:v>3.378011527377494</c:v>
                </c:pt>
                <c:pt idx="314" formatCode="0.00">
                  <c:v>3.3880115273774938</c:v>
                </c:pt>
                <c:pt idx="315" formatCode="0.00">
                  <c:v>3.3980115273774936</c:v>
                </c:pt>
                <c:pt idx="316" formatCode="0.00">
                  <c:v>3.4080115273774934</c:v>
                </c:pt>
                <c:pt idx="317" formatCode="0.00">
                  <c:v>3.4180115273774931</c:v>
                </c:pt>
                <c:pt idx="318" formatCode="0.00">
                  <c:v>3.4280115273774929</c:v>
                </c:pt>
                <c:pt idx="319" formatCode="0.00">
                  <c:v>3.4380115273774927</c:v>
                </c:pt>
                <c:pt idx="320" formatCode="0.00">
                  <c:v>3.4480115273774925</c:v>
                </c:pt>
                <c:pt idx="321" formatCode="0.00">
                  <c:v>3.4580115273774923</c:v>
                </c:pt>
                <c:pt idx="322" formatCode="0.00">
                  <c:v>3.4680115273774921</c:v>
                </c:pt>
                <c:pt idx="323" formatCode="0.00">
                  <c:v>3.4780115273774919</c:v>
                </c:pt>
                <c:pt idx="324" formatCode="0.00">
                  <c:v>3.4880115273774916</c:v>
                </c:pt>
                <c:pt idx="325" formatCode="0.00">
                  <c:v>3.4980115273774914</c:v>
                </c:pt>
                <c:pt idx="326" formatCode="0.00">
                  <c:v>3.5080115273774912</c:v>
                </c:pt>
                <c:pt idx="327" formatCode="0.00">
                  <c:v>3.518011527377491</c:v>
                </c:pt>
                <c:pt idx="328" formatCode="0.00">
                  <c:v>3.5280115273774908</c:v>
                </c:pt>
                <c:pt idx="329" formatCode="0.00">
                  <c:v>3.5380115273774906</c:v>
                </c:pt>
                <c:pt idx="330" formatCode="0.00">
                  <c:v>3.5480115273774904</c:v>
                </c:pt>
                <c:pt idx="331" formatCode="0.00">
                  <c:v>3.5580115273774902</c:v>
                </c:pt>
                <c:pt idx="332" formatCode="0.00">
                  <c:v>3.5680115273774899</c:v>
                </c:pt>
                <c:pt idx="333" formatCode="0.00">
                  <c:v>3.5780115273774897</c:v>
                </c:pt>
                <c:pt idx="334" formatCode="0.00">
                  <c:v>3.5880115273774895</c:v>
                </c:pt>
                <c:pt idx="335" formatCode="0.00">
                  <c:v>3.5980115273774893</c:v>
                </c:pt>
                <c:pt idx="336" formatCode="0.00">
                  <c:v>3.6080115273774891</c:v>
                </c:pt>
                <c:pt idx="337" formatCode="0.00">
                  <c:v>3.6180115273774889</c:v>
                </c:pt>
                <c:pt idx="338" formatCode="0.00">
                  <c:v>3.6280115273774887</c:v>
                </c:pt>
                <c:pt idx="339" formatCode="0.00">
                  <c:v>3.6380115273774885</c:v>
                </c:pt>
                <c:pt idx="340" formatCode="0.00">
                  <c:v>3.6480115273774882</c:v>
                </c:pt>
                <c:pt idx="341" formatCode="0.00">
                  <c:v>3.658011527377488</c:v>
                </c:pt>
                <c:pt idx="342" formatCode="0.00">
                  <c:v>3.6680115273774878</c:v>
                </c:pt>
                <c:pt idx="343" formatCode="0.00">
                  <c:v>3.6780115273774876</c:v>
                </c:pt>
                <c:pt idx="344" formatCode="0.00">
                  <c:v>3.6880115273774874</c:v>
                </c:pt>
                <c:pt idx="345" formatCode="0.00">
                  <c:v>3.6980115273774872</c:v>
                </c:pt>
                <c:pt idx="346" formatCode="0.00">
                  <c:v>3.708011527377487</c:v>
                </c:pt>
                <c:pt idx="347" formatCode="0.00">
                  <c:v>3.7180115273774867</c:v>
                </c:pt>
                <c:pt idx="348" formatCode="0.00">
                  <c:v>3.7280115273774865</c:v>
                </c:pt>
                <c:pt idx="349" formatCode="0.00">
                  <c:v>3.7380115273774863</c:v>
                </c:pt>
                <c:pt idx="350" formatCode="0.00">
                  <c:v>3.7480115273774861</c:v>
                </c:pt>
                <c:pt idx="351" formatCode="0.00">
                  <c:v>3.7580115273774859</c:v>
                </c:pt>
                <c:pt idx="352" formatCode="0.00">
                  <c:v>3.7680115273774857</c:v>
                </c:pt>
                <c:pt idx="353" formatCode="0.00">
                  <c:v>3.7780115273774855</c:v>
                </c:pt>
                <c:pt idx="354" formatCode="0.00">
                  <c:v>3.7880115273774853</c:v>
                </c:pt>
                <c:pt idx="355" formatCode="0.00">
                  <c:v>3.798011527377485</c:v>
                </c:pt>
                <c:pt idx="356" formatCode="0.00">
                  <c:v>3.8080115273774848</c:v>
                </c:pt>
                <c:pt idx="357" formatCode="0.00">
                  <c:v>3.8180115273774846</c:v>
                </c:pt>
                <c:pt idx="358" formatCode="0.00">
                  <c:v>3.8280115273774844</c:v>
                </c:pt>
                <c:pt idx="359" formatCode="0.00">
                  <c:v>3.8380115273774842</c:v>
                </c:pt>
                <c:pt idx="360" formatCode="0.00">
                  <c:v>3.848011527377484</c:v>
                </c:pt>
                <c:pt idx="361" formatCode="0.00">
                  <c:v>3.8580115273774838</c:v>
                </c:pt>
                <c:pt idx="362" formatCode="0.00">
                  <c:v>3.8680115273774835</c:v>
                </c:pt>
                <c:pt idx="363" formatCode="0.00">
                  <c:v>3.8780115273774833</c:v>
                </c:pt>
                <c:pt idx="364" formatCode="0.00">
                  <c:v>3.8880115273774831</c:v>
                </c:pt>
                <c:pt idx="365" formatCode="0.00">
                  <c:v>3.8980115273774829</c:v>
                </c:pt>
                <c:pt idx="366" formatCode="0.00">
                  <c:v>3.9080115273774827</c:v>
                </c:pt>
                <c:pt idx="367" formatCode="0.00">
                  <c:v>3.9180115273774825</c:v>
                </c:pt>
                <c:pt idx="368" formatCode="0.00">
                  <c:v>3.9280115273774823</c:v>
                </c:pt>
                <c:pt idx="369" formatCode="0.00">
                  <c:v>3.9380115273774821</c:v>
                </c:pt>
                <c:pt idx="370" formatCode="0.00">
                  <c:v>3.9480115273774818</c:v>
                </c:pt>
                <c:pt idx="371" formatCode="0.00">
                  <c:v>3.9580115273774816</c:v>
                </c:pt>
                <c:pt idx="372" formatCode="0.00">
                  <c:v>3.9680115273774814</c:v>
                </c:pt>
                <c:pt idx="373" formatCode="0.00">
                  <c:v>3.9780115273774812</c:v>
                </c:pt>
                <c:pt idx="374" formatCode="0.00">
                  <c:v>3.988011527377481</c:v>
                </c:pt>
                <c:pt idx="375" formatCode="0.00">
                  <c:v>3.9980115273774808</c:v>
                </c:pt>
                <c:pt idx="376" formatCode="0.00">
                  <c:v>4.008011527377481</c:v>
                </c:pt>
                <c:pt idx="377" formatCode="0.00">
                  <c:v>4.0180115273774808</c:v>
                </c:pt>
                <c:pt idx="378" formatCode="0.00">
                  <c:v>4.0280115273774806</c:v>
                </c:pt>
                <c:pt idx="379" formatCode="0.00">
                  <c:v>4.0380115273774804</c:v>
                </c:pt>
                <c:pt idx="380" formatCode="0.00">
                  <c:v>4.0480115273774802</c:v>
                </c:pt>
                <c:pt idx="381" formatCode="0.00">
                  <c:v>4.0580115273774799</c:v>
                </c:pt>
                <c:pt idx="382" formatCode="0.00">
                  <c:v>4.0680115273774797</c:v>
                </c:pt>
                <c:pt idx="383" formatCode="0.00">
                  <c:v>4.0780115273774795</c:v>
                </c:pt>
                <c:pt idx="384" formatCode="0.00">
                  <c:v>4.0880115273774793</c:v>
                </c:pt>
                <c:pt idx="385" formatCode="0.00">
                  <c:v>4.0980115273774791</c:v>
                </c:pt>
                <c:pt idx="386" formatCode="0.00">
                  <c:v>4.1080115273774789</c:v>
                </c:pt>
                <c:pt idx="387" formatCode="0.00">
                  <c:v>4.1180115273774787</c:v>
                </c:pt>
                <c:pt idx="388" formatCode="0.00">
                  <c:v>4.1280115273774785</c:v>
                </c:pt>
                <c:pt idx="389" formatCode="0.00">
                  <c:v>4.1380115273774782</c:v>
                </c:pt>
                <c:pt idx="390" formatCode="0.00">
                  <c:v>4.148011527377478</c:v>
                </c:pt>
                <c:pt idx="391" formatCode="0.00">
                  <c:v>4.1580115273774778</c:v>
                </c:pt>
                <c:pt idx="392" formatCode="0.00">
                  <c:v>4.1680115273774776</c:v>
                </c:pt>
                <c:pt idx="393" formatCode="0.00">
                  <c:v>4.1780115273774774</c:v>
                </c:pt>
                <c:pt idx="394" formatCode="0.00">
                  <c:v>4.1880115273774772</c:v>
                </c:pt>
                <c:pt idx="395" formatCode="0.00">
                  <c:v>4.198011527377477</c:v>
                </c:pt>
                <c:pt idx="396" formatCode="0.00">
                  <c:v>4.2080115273774767</c:v>
                </c:pt>
                <c:pt idx="397" formatCode="0.00">
                  <c:v>4.2180115273774765</c:v>
                </c:pt>
                <c:pt idx="398" formatCode="0.00">
                  <c:v>4.2280115273774763</c:v>
                </c:pt>
                <c:pt idx="399" formatCode="0.00">
                  <c:v>4.2380115273774761</c:v>
                </c:pt>
                <c:pt idx="400" formatCode="0.00">
                  <c:v>4.2480115273774759</c:v>
                </c:pt>
                <c:pt idx="401" formatCode="0.00">
                  <c:v>4.2580115273774757</c:v>
                </c:pt>
                <c:pt idx="402" formatCode="0.00">
                  <c:v>4.2680115273774755</c:v>
                </c:pt>
                <c:pt idx="403" formatCode="0.00">
                  <c:v>4.2780115273774753</c:v>
                </c:pt>
                <c:pt idx="404" formatCode="0.00">
                  <c:v>4.288011527377475</c:v>
                </c:pt>
                <c:pt idx="405" formatCode="0.00">
                  <c:v>4.2980115273774748</c:v>
                </c:pt>
                <c:pt idx="406" formatCode="0.00">
                  <c:v>4.3080115273774746</c:v>
                </c:pt>
                <c:pt idx="407" formatCode="0.00">
                  <c:v>4.3180115273774744</c:v>
                </c:pt>
                <c:pt idx="408" formatCode="0.00">
                  <c:v>4.3280115273774742</c:v>
                </c:pt>
                <c:pt idx="409" formatCode="0.00">
                  <c:v>4.338011527377474</c:v>
                </c:pt>
                <c:pt idx="410" formatCode="0.00">
                  <c:v>4.3480115273774738</c:v>
                </c:pt>
                <c:pt idx="411" formatCode="0.00">
                  <c:v>4.3580115273774735</c:v>
                </c:pt>
                <c:pt idx="412" formatCode="0.00">
                  <c:v>4.3680115273774733</c:v>
                </c:pt>
                <c:pt idx="413" formatCode="0.00">
                  <c:v>4.3780115273774731</c:v>
                </c:pt>
                <c:pt idx="414" formatCode="0.00">
                  <c:v>4.3880115273774729</c:v>
                </c:pt>
                <c:pt idx="415" formatCode="0.00">
                  <c:v>4.3980115273774727</c:v>
                </c:pt>
                <c:pt idx="416" formatCode="0.00">
                  <c:v>4.4080115273774725</c:v>
                </c:pt>
                <c:pt idx="417" formatCode="0.00">
                  <c:v>4.4180115273774723</c:v>
                </c:pt>
                <c:pt idx="418" formatCode="0.00">
                  <c:v>4.4280115273774721</c:v>
                </c:pt>
                <c:pt idx="419" formatCode="0.00">
                  <c:v>4.4380115273774718</c:v>
                </c:pt>
                <c:pt idx="420" formatCode="0.00">
                  <c:v>4.4480115273774716</c:v>
                </c:pt>
                <c:pt idx="421" formatCode="0.00">
                  <c:v>4.4580115273774714</c:v>
                </c:pt>
                <c:pt idx="422" formatCode="0.00">
                  <c:v>4.4680115273774712</c:v>
                </c:pt>
                <c:pt idx="423" formatCode="0.00">
                  <c:v>4.478011527377471</c:v>
                </c:pt>
                <c:pt idx="424" formatCode="0.00">
                  <c:v>4.4880115273774708</c:v>
                </c:pt>
                <c:pt idx="425" formatCode="0.00">
                  <c:v>4.4980115273774706</c:v>
                </c:pt>
                <c:pt idx="426" formatCode="0.00">
                  <c:v>4.5080115273774704</c:v>
                </c:pt>
                <c:pt idx="427" formatCode="0.00">
                  <c:v>4.5180115273774701</c:v>
                </c:pt>
                <c:pt idx="428" formatCode="0.00">
                  <c:v>4.5280115273774699</c:v>
                </c:pt>
                <c:pt idx="429" formatCode="0.00">
                  <c:v>4.5380115273774697</c:v>
                </c:pt>
                <c:pt idx="430" formatCode="0.00">
                  <c:v>4.5480115273774695</c:v>
                </c:pt>
                <c:pt idx="431" formatCode="0.00">
                  <c:v>4.5580115273774693</c:v>
                </c:pt>
                <c:pt idx="432" formatCode="0.00">
                  <c:v>4.5680115273774691</c:v>
                </c:pt>
                <c:pt idx="433" formatCode="0.00">
                  <c:v>4.5780115273774689</c:v>
                </c:pt>
                <c:pt idx="434" formatCode="0.00">
                  <c:v>4.5880115273774686</c:v>
                </c:pt>
                <c:pt idx="435" formatCode="0.00">
                  <c:v>4.5980115273774684</c:v>
                </c:pt>
                <c:pt idx="436" formatCode="0.00">
                  <c:v>4.6080115273774682</c:v>
                </c:pt>
                <c:pt idx="437" formatCode="0.00">
                  <c:v>4.618011527377468</c:v>
                </c:pt>
                <c:pt idx="438" formatCode="0.00">
                  <c:v>4.6280115273774678</c:v>
                </c:pt>
                <c:pt idx="439" formatCode="0.00">
                  <c:v>4.6380115273774676</c:v>
                </c:pt>
                <c:pt idx="440" formatCode="0.00">
                  <c:v>4.6480115273774674</c:v>
                </c:pt>
                <c:pt idx="441" formatCode="0.00">
                  <c:v>4.6580115273774672</c:v>
                </c:pt>
                <c:pt idx="442" formatCode="0.00">
                  <c:v>4.6680115273774669</c:v>
                </c:pt>
                <c:pt idx="443" formatCode="0.00">
                  <c:v>4.6780115273774667</c:v>
                </c:pt>
                <c:pt idx="444" formatCode="0.00">
                  <c:v>4.6880115273774665</c:v>
                </c:pt>
                <c:pt idx="445" formatCode="0.00">
                  <c:v>4.6980115273774663</c:v>
                </c:pt>
                <c:pt idx="446" formatCode="0.00">
                  <c:v>4.7080115273774661</c:v>
                </c:pt>
                <c:pt idx="447" formatCode="0.00">
                  <c:v>4.7180115273774659</c:v>
                </c:pt>
                <c:pt idx="448" formatCode="0.00">
                  <c:v>4.7280115273774657</c:v>
                </c:pt>
                <c:pt idx="449" formatCode="0.00">
                  <c:v>4.7380115273774654</c:v>
                </c:pt>
                <c:pt idx="450" formatCode="0.00">
                  <c:v>4.7480115273774652</c:v>
                </c:pt>
                <c:pt idx="451" formatCode="0.00">
                  <c:v>4.758011527377465</c:v>
                </c:pt>
                <c:pt idx="452" formatCode="0.00">
                  <c:v>4.7680115273774648</c:v>
                </c:pt>
                <c:pt idx="453" formatCode="0.00">
                  <c:v>4.7780115273774646</c:v>
                </c:pt>
                <c:pt idx="454" formatCode="0.00">
                  <c:v>4.7880115273774644</c:v>
                </c:pt>
                <c:pt idx="455" formatCode="0.00">
                  <c:v>4.7980115273774642</c:v>
                </c:pt>
                <c:pt idx="456" formatCode="0.00">
                  <c:v>4.808011527377464</c:v>
                </c:pt>
                <c:pt idx="457" formatCode="0.00">
                  <c:v>4.8180115273774637</c:v>
                </c:pt>
                <c:pt idx="458" formatCode="0.00">
                  <c:v>4.8280115273774635</c:v>
                </c:pt>
                <c:pt idx="459" formatCode="0.00">
                  <c:v>4.8380115273774633</c:v>
                </c:pt>
                <c:pt idx="460" formatCode="0.00">
                  <c:v>4.8480115273774631</c:v>
                </c:pt>
                <c:pt idx="461" formatCode="0.00">
                  <c:v>4.8580115273774629</c:v>
                </c:pt>
                <c:pt idx="462" formatCode="0.00">
                  <c:v>4.8680115273774627</c:v>
                </c:pt>
                <c:pt idx="463" formatCode="0.00">
                  <c:v>4.8780115273774625</c:v>
                </c:pt>
                <c:pt idx="464" formatCode="0.00">
                  <c:v>4.8880115273774623</c:v>
                </c:pt>
                <c:pt idx="465" formatCode="0.00">
                  <c:v>4.898011527377462</c:v>
                </c:pt>
                <c:pt idx="466" formatCode="0.00">
                  <c:v>4.9080115273774618</c:v>
                </c:pt>
                <c:pt idx="467" formatCode="0.00">
                  <c:v>4.9180115273774616</c:v>
                </c:pt>
                <c:pt idx="468" formatCode="0.00">
                  <c:v>4.9280115273774614</c:v>
                </c:pt>
                <c:pt idx="469" formatCode="0.00">
                  <c:v>4.9380115273774612</c:v>
                </c:pt>
                <c:pt idx="470" formatCode="0.00">
                  <c:v>4.948011527377461</c:v>
                </c:pt>
                <c:pt idx="471" formatCode="0.00">
                  <c:v>4.9580115273774608</c:v>
                </c:pt>
                <c:pt idx="472" formatCode="0.00">
                  <c:v>4.9680115273774605</c:v>
                </c:pt>
                <c:pt idx="473" formatCode="0.00">
                  <c:v>4.9780115273774603</c:v>
                </c:pt>
                <c:pt idx="474" formatCode="0.00">
                  <c:v>4.9880115273774601</c:v>
                </c:pt>
                <c:pt idx="475" formatCode="0.00">
                  <c:v>4.9980115273774599</c:v>
                </c:pt>
                <c:pt idx="476" formatCode="0.00">
                  <c:v>5.0080115273774597</c:v>
                </c:pt>
                <c:pt idx="477" formatCode="0.00">
                  <c:v>5.0180115273774595</c:v>
                </c:pt>
                <c:pt idx="478" formatCode="0.00">
                  <c:v>5.0280115273774593</c:v>
                </c:pt>
                <c:pt idx="479" formatCode="0.00">
                  <c:v>5.0380115273774591</c:v>
                </c:pt>
                <c:pt idx="480" formatCode="0.00">
                  <c:v>5.0480115273774588</c:v>
                </c:pt>
                <c:pt idx="481" formatCode="0.00">
                  <c:v>5.0580115273774586</c:v>
                </c:pt>
                <c:pt idx="482" formatCode="0.00">
                  <c:v>5.0680115273774584</c:v>
                </c:pt>
                <c:pt idx="483" formatCode="0.00">
                  <c:v>5.0780115273774582</c:v>
                </c:pt>
                <c:pt idx="484" formatCode="0.00">
                  <c:v>5.088011527377458</c:v>
                </c:pt>
                <c:pt idx="485" formatCode="0.00">
                  <c:v>5.0980115273774578</c:v>
                </c:pt>
                <c:pt idx="486" formatCode="0.00">
                  <c:v>5.1080115273774576</c:v>
                </c:pt>
                <c:pt idx="487" formatCode="0.00">
                  <c:v>5.1180115273774573</c:v>
                </c:pt>
                <c:pt idx="488" formatCode="0.00">
                  <c:v>5.1280115273774571</c:v>
                </c:pt>
                <c:pt idx="489" formatCode="0.00">
                  <c:v>5.1380115273774569</c:v>
                </c:pt>
                <c:pt idx="490" formatCode="0.00">
                  <c:v>5.1480115273774567</c:v>
                </c:pt>
                <c:pt idx="491" formatCode="0.00">
                  <c:v>5.1580115273774565</c:v>
                </c:pt>
                <c:pt idx="492" formatCode="0.00">
                  <c:v>5.1680115273774563</c:v>
                </c:pt>
                <c:pt idx="493" formatCode="0.00">
                  <c:v>5.1780115273774561</c:v>
                </c:pt>
                <c:pt idx="494" formatCode="0.00">
                  <c:v>5.1880115273774559</c:v>
                </c:pt>
                <c:pt idx="495" formatCode="0.00">
                  <c:v>5.1980115273774556</c:v>
                </c:pt>
                <c:pt idx="496" formatCode="0.00">
                  <c:v>5.2080115273774554</c:v>
                </c:pt>
                <c:pt idx="497" formatCode="0.00">
                  <c:v>5.2180115273774552</c:v>
                </c:pt>
                <c:pt idx="498" formatCode="0.00">
                  <c:v>5.228011527377455</c:v>
                </c:pt>
                <c:pt idx="499" formatCode="0.00">
                  <c:v>5.2380115273774548</c:v>
                </c:pt>
                <c:pt idx="500" formatCode="0.00">
                  <c:v>5.2480115273774546</c:v>
                </c:pt>
                <c:pt idx="501" formatCode="0.00">
                  <c:v>5.2580115273774544</c:v>
                </c:pt>
                <c:pt idx="502" formatCode="0.00">
                  <c:v>5.2680115273774542</c:v>
                </c:pt>
                <c:pt idx="503" formatCode="0.00">
                  <c:v>5.2780115273774539</c:v>
                </c:pt>
                <c:pt idx="504" formatCode="0.00">
                  <c:v>5.2880115273774537</c:v>
                </c:pt>
                <c:pt idx="505" formatCode="0.00">
                  <c:v>5.2980115273774535</c:v>
                </c:pt>
                <c:pt idx="506" formatCode="0.00">
                  <c:v>5.3080115273774533</c:v>
                </c:pt>
                <c:pt idx="507" formatCode="0.00">
                  <c:v>5.3180115273774531</c:v>
                </c:pt>
                <c:pt idx="508" formatCode="0.00">
                  <c:v>5.3280115273774529</c:v>
                </c:pt>
                <c:pt idx="509" formatCode="0.00">
                  <c:v>5.3380115273774527</c:v>
                </c:pt>
                <c:pt idx="510" formatCode="0.00">
                  <c:v>5.3480115273774524</c:v>
                </c:pt>
                <c:pt idx="511" formatCode="0.00">
                  <c:v>5.3580115273774522</c:v>
                </c:pt>
                <c:pt idx="512" formatCode="0.00">
                  <c:v>5.368011527377452</c:v>
                </c:pt>
                <c:pt idx="513" formatCode="0.00">
                  <c:v>5.3780115273774518</c:v>
                </c:pt>
                <c:pt idx="514" formatCode="0.00">
                  <c:v>5.3880115273774516</c:v>
                </c:pt>
                <c:pt idx="515" formatCode="0.00">
                  <c:v>5.3980115273774514</c:v>
                </c:pt>
                <c:pt idx="516" formatCode="0.00">
                  <c:v>5.4080115273774512</c:v>
                </c:pt>
                <c:pt idx="517" formatCode="0.00">
                  <c:v>5.418011527377451</c:v>
                </c:pt>
                <c:pt idx="518" formatCode="0.00">
                  <c:v>5.4280115273774507</c:v>
                </c:pt>
                <c:pt idx="519" formatCode="0.00">
                  <c:v>5.4380115273774505</c:v>
                </c:pt>
                <c:pt idx="520" formatCode="0.00">
                  <c:v>5.4480115273774503</c:v>
                </c:pt>
                <c:pt idx="521" formatCode="0.00">
                  <c:v>5.4580115273774501</c:v>
                </c:pt>
                <c:pt idx="522" formatCode="0.00">
                  <c:v>5.4680115273774499</c:v>
                </c:pt>
                <c:pt idx="523" formatCode="0.00">
                  <c:v>5.4780115273774497</c:v>
                </c:pt>
                <c:pt idx="524" formatCode="0.00">
                  <c:v>5.4880115273774495</c:v>
                </c:pt>
                <c:pt idx="525" formatCode="0.00">
                  <c:v>5.4980115273774492</c:v>
                </c:pt>
                <c:pt idx="526" formatCode="0.00">
                  <c:v>5.508011527377449</c:v>
                </c:pt>
                <c:pt idx="527" formatCode="0.00">
                  <c:v>5.5180115273774488</c:v>
                </c:pt>
                <c:pt idx="528" formatCode="0.00">
                  <c:v>5.5280115273774486</c:v>
                </c:pt>
                <c:pt idx="529" formatCode="0.00">
                  <c:v>5.5380115273774484</c:v>
                </c:pt>
                <c:pt idx="530" formatCode="0.00">
                  <c:v>5.5480115273774482</c:v>
                </c:pt>
                <c:pt idx="531" formatCode="0.00">
                  <c:v>5.558011527377448</c:v>
                </c:pt>
                <c:pt idx="532" formatCode="0.00">
                  <c:v>5.5680115273774478</c:v>
                </c:pt>
                <c:pt idx="533" formatCode="0.00">
                  <c:v>5.5780115273774475</c:v>
                </c:pt>
                <c:pt idx="534" formatCode="0.00">
                  <c:v>5.5880115273774473</c:v>
                </c:pt>
                <c:pt idx="535" formatCode="0.00">
                  <c:v>5.5980115273774471</c:v>
                </c:pt>
                <c:pt idx="536" formatCode="0.00">
                  <c:v>5.6080115273774469</c:v>
                </c:pt>
                <c:pt idx="537" formatCode="0.00">
                  <c:v>5.6180115273774467</c:v>
                </c:pt>
                <c:pt idx="538" formatCode="0.00">
                  <c:v>5.6280115273774465</c:v>
                </c:pt>
                <c:pt idx="539" formatCode="0.00">
                  <c:v>5.6380115273774463</c:v>
                </c:pt>
                <c:pt idx="540" formatCode="0.00">
                  <c:v>5.6480115273774461</c:v>
                </c:pt>
                <c:pt idx="541" formatCode="0.00">
                  <c:v>5.6580115273774458</c:v>
                </c:pt>
                <c:pt idx="542" formatCode="0.00">
                  <c:v>5.6680115273774456</c:v>
                </c:pt>
                <c:pt idx="543" formatCode="0.00">
                  <c:v>5.6780115273774454</c:v>
                </c:pt>
                <c:pt idx="544" formatCode="0.00">
                  <c:v>5.6880115273774452</c:v>
                </c:pt>
                <c:pt idx="545" formatCode="0.00">
                  <c:v>5.698011527377445</c:v>
                </c:pt>
                <c:pt idx="546" formatCode="0.00">
                  <c:v>5.7080115273774448</c:v>
                </c:pt>
                <c:pt idx="547" formatCode="0.00">
                  <c:v>5.7180115273774446</c:v>
                </c:pt>
                <c:pt idx="548" formatCode="0.00">
                  <c:v>5.7280115273774443</c:v>
                </c:pt>
                <c:pt idx="549" formatCode="0.00">
                  <c:v>5.7380115273774441</c:v>
                </c:pt>
                <c:pt idx="550" formatCode="0.00">
                  <c:v>5.7480115273774439</c:v>
                </c:pt>
                <c:pt idx="551" formatCode="0.00">
                  <c:v>5.7580115273774437</c:v>
                </c:pt>
                <c:pt idx="552" formatCode="0.00">
                  <c:v>5.7680115273774435</c:v>
                </c:pt>
                <c:pt idx="553" formatCode="0.00">
                  <c:v>5.7780115273774433</c:v>
                </c:pt>
                <c:pt idx="554" formatCode="0.00">
                  <c:v>5.7880115273774431</c:v>
                </c:pt>
                <c:pt idx="555" formatCode="0.00">
                  <c:v>5.7980115273774429</c:v>
                </c:pt>
                <c:pt idx="556" formatCode="0.00">
                  <c:v>5.8080115273774426</c:v>
                </c:pt>
                <c:pt idx="557" formatCode="0.00">
                  <c:v>5.8180115273774424</c:v>
                </c:pt>
                <c:pt idx="558" formatCode="0.00">
                  <c:v>5.8280115273774422</c:v>
                </c:pt>
                <c:pt idx="559" formatCode="0.00">
                  <c:v>5.838011527377442</c:v>
                </c:pt>
                <c:pt idx="560" formatCode="0.00">
                  <c:v>5.8480115273774418</c:v>
                </c:pt>
                <c:pt idx="561" formatCode="0.00">
                  <c:v>5.8580115273774416</c:v>
                </c:pt>
                <c:pt idx="562" formatCode="0.00">
                  <c:v>5.8680115273774414</c:v>
                </c:pt>
                <c:pt idx="563" formatCode="0.00">
                  <c:v>5.8780115273774411</c:v>
                </c:pt>
                <c:pt idx="564" formatCode="0.00">
                  <c:v>5.8880115273774409</c:v>
                </c:pt>
                <c:pt idx="565" formatCode="0.00">
                  <c:v>5.8980115273774407</c:v>
                </c:pt>
                <c:pt idx="566" formatCode="0.00">
                  <c:v>5.9080115273774405</c:v>
                </c:pt>
                <c:pt idx="567" formatCode="0.00">
                  <c:v>5.9180115273774403</c:v>
                </c:pt>
                <c:pt idx="568" formatCode="0.00">
                  <c:v>5.9280115273774401</c:v>
                </c:pt>
                <c:pt idx="569" formatCode="0.00">
                  <c:v>5.9380115273774399</c:v>
                </c:pt>
                <c:pt idx="570" formatCode="0.00">
                  <c:v>5.9480115273774397</c:v>
                </c:pt>
                <c:pt idx="571" formatCode="0.00">
                  <c:v>5.9580115273774394</c:v>
                </c:pt>
                <c:pt idx="572" formatCode="0.00">
                  <c:v>5.9680115273774392</c:v>
                </c:pt>
                <c:pt idx="573" formatCode="0.00">
                  <c:v>5.978011527377439</c:v>
                </c:pt>
                <c:pt idx="574" formatCode="0.00">
                  <c:v>5.9880115273774388</c:v>
                </c:pt>
                <c:pt idx="575" formatCode="0.00">
                  <c:v>5.9980115273774386</c:v>
                </c:pt>
                <c:pt idx="576" formatCode="0.00">
                  <c:v>6.0080115273774384</c:v>
                </c:pt>
                <c:pt idx="577" formatCode="0.00">
                  <c:v>6.0180115273774382</c:v>
                </c:pt>
                <c:pt idx="578" formatCode="0.00">
                  <c:v>6.028011527377438</c:v>
                </c:pt>
                <c:pt idx="579" formatCode="0.00">
                  <c:v>6.0380115273774377</c:v>
                </c:pt>
                <c:pt idx="580" formatCode="0.00">
                  <c:v>6.0480115273774375</c:v>
                </c:pt>
                <c:pt idx="581" formatCode="0.00">
                  <c:v>6.0580115273774373</c:v>
                </c:pt>
                <c:pt idx="582" formatCode="0.00">
                  <c:v>6.0680115273774371</c:v>
                </c:pt>
                <c:pt idx="583" formatCode="0.00">
                  <c:v>6.0780115273774369</c:v>
                </c:pt>
                <c:pt idx="584" formatCode="0.00">
                  <c:v>6.0880115273774367</c:v>
                </c:pt>
                <c:pt idx="585" formatCode="0.00">
                  <c:v>6.0980115273774365</c:v>
                </c:pt>
                <c:pt idx="586" formatCode="0.00">
                  <c:v>6.1080115273774362</c:v>
                </c:pt>
                <c:pt idx="587" formatCode="0.00">
                  <c:v>6.118011527377436</c:v>
                </c:pt>
                <c:pt idx="588" formatCode="0.00">
                  <c:v>6.1280115273774358</c:v>
                </c:pt>
                <c:pt idx="589" formatCode="0.00">
                  <c:v>6.1380115273774356</c:v>
                </c:pt>
                <c:pt idx="590" formatCode="0.00">
                  <c:v>6.1480115273774354</c:v>
                </c:pt>
                <c:pt idx="591" formatCode="0.00">
                  <c:v>6.1580115273774352</c:v>
                </c:pt>
                <c:pt idx="592" formatCode="0.00">
                  <c:v>6.168011527377435</c:v>
                </c:pt>
                <c:pt idx="593" formatCode="0.00">
                  <c:v>6.1780115273774348</c:v>
                </c:pt>
                <c:pt idx="594" formatCode="0.00">
                  <c:v>6.1880115273774345</c:v>
                </c:pt>
                <c:pt idx="595" formatCode="0.00">
                  <c:v>6.1980115273774343</c:v>
                </c:pt>
                <c:pt idx="596" formatCode="0.00">
                  <c:v>6.2080115273774341</c:v>
                </c:pt>
                <c:pt idx="597" formatCode="0.00">
                  <c:v>6.2180115273774339</c:v>
                </c:pt>
                <c:pt idx="598" formatCode="0.00">
                  <c:v>6.2280115273774337</c:v>
                </c:pt>
                <c:pt idx="599" formatCode="0.00">
                  <c:v>6.2380115273774335</c:v>
                </c:pt>
                <c:pt idx="600" formatCode="0.00">
                  <c:v>6.2480115273774333</c:v>
                </c:pt>
                <c:pt idx="601" formatCode="0.00">
                  <c:v>6.258011527377433</c:v>
                </c:pt>
                <c:pt idx="602" formatCode="0.00">
                  <c:v>6.2680115273774328</c:v>
                </c:pt>
                <c:pt idx="603" formatCode="0.00">
                  <c:v>6.2780115273774326</c:v>
                </c:pt>
                <c:pt idx="604" formatCode="0.00">
                  <c:v>6.2880115273774324</c:v>
                </c:pt>
                <c:pt idx="605" formatCode="0.00">
                  <c:v>6.2980115273774322</c:v>
                </c:pt>
                <c:pt idx="606" formatCode="0.00">
                  <c:v>6.308011527377432</c:v>
                </c:pt>
                <c:pt idx="607" formatCode="0.00">
                  <c:v>6.3180115273774318</c:v>
                </c:pt>
                <c:pt idx="608" formatCode="0.00">
                  <c:v>6.3280115273774316</c:v>
                </c:pt>
                <c:pt idx="609" formatCode="0.00">
                  <c:v>6.3380115273774313</c:v>
                </c:pt>
                <c:pt idx="610" formatCode="0.00">
                  <c:v>6.3480115273774311</c:v>
                </c:pt>
                <c:pt idx="611" formatCode="0.00">
                  <c:v>6.3580115273774309</c:v>
                </c:pt>
                <c:pt idx="612" formatCode="0.00">
                  <c:v>6.3680115273774307</c:v>
                </c:pt>
                <c:pt idx="613" formatCode="0.00">
                  <c:v>6.3780115273774305</c:v>
                </c:pt>
                <c:pt idx="614" formatCode="0.00">
                  <c:v>6.3880115273774303</c:v>
                </c:pt>
                <c:pt idx="615" formatCode="0.00">
                  <c:v>6.3980115273774301</c:v>
                </c:pt>
                <c:pt idx="616" formatCode="0.00">
                  <c:v>6.4080115273774299</c:v>
                </c:pt>
                <c:pt idx="617" formatCode="0.00">
                  <c:v>6.4180115273774296</c:v>
                </c:pt>
                <c:pt idx="618" formatCode="0.00">
                  <c:v>6.4280115273774294</c:v>
                </c:pt>
                <c:pt idx="619" formatCode="0.00">
                  <c:v>6.4380115273774292</c:v>
                </c:pt>
                <c:pt idx="620" formatCode="0.00">
                  <c:v>6.448011527377429</c:v>
                </c:pt>
                <c:pt idx="621" formatCode="0.00">
                  <c:v>6.4580115273774288</c:v>
                </c:pt>
                <c:pt idx="622" formatCode="0.00">
                  <c:v>6.4680115273774286</c:v>
                </c:pt>
                <c:pt idx="623" formatCode="0.00">
                  <c:v>6.4780115273774284</c:v>
                </c:pt>
                <c:pt idx="624" formatCode="0.00">
                  <c:v>6.4880115273774281</c:v>
                </c:pt>
                <c:pt idx="625" formatCode="0.00">
                  <c:v>6.4980115273774279</c:v>
                </c:pt>
                <c:pt idx="626" formatCode="0.00">
                  <c:v>6.5080115273774277</c:v>
                </c:pt>
                <c:pt idx="627" formatCode="0.00">
                  <c:v>6.5180115273774275</c:v>
                </c:pt>
                <c:pt idx="628" formatCode="0.00">
                  <c:v>6.5280115273774273</c:v>
                </c:pt>
                <c:pt idx="629" formatCode="0.00">
                  <c:v>6.5380115273774271</c:v>
                </c:pt>
                <c:pt idx="630" formatCode="0.00">
                  <c:v>6.5480115273774269</c:v>
                </c:pt>
                <c:pt idx="631" formatCode="0.00">
                  <c:v>6.5580115273774267</c:v>
                </c:pt>
                <c:pt idx="632" formatCode="0.00">
                  <c:v>6.5680115273774264</c:v>
                </c:pt>
                <c:pt idx="633" formatCode="0.00">
                  <c:v>6.5780115273774262</c:v>
                </c:pt>
                <c:pt idx="634" formatCode="0.00">
                  <c:v>6.588011527377426</c:v>
                </c:pt>
                <c:pt idx="635" formatCode="0.00">
                  <c:v>6.5980115273774258</c:v>
                </c:pt>
                <c:pt idx="636" formatCode="0.00">
                  <c:v>6.6080115273774256</c:v>
                </c:pt>
                <c:pt idx="637" formatCode="0.00">
                  <c:v>6.6180115273774254</c:v>
                </c:pt>
                <c:pt idx="638" formatCode="0.00">
                  <c:v>6.6280115273774252</c:v>
                </c:pt>
                <c:pt idx="639" formatCode="0.00">
                  <c:v>6.6380115273774249</c:v>
                </c:pt>
                <c:pt idx="640" formatCode="0.00">
                  <c:v>6.6480115273774247</c:v>
                </c:pt>
                <c:pt idx="641" formatCode="0.00">
                  <c:v>6.6580115273774245</c:v>
                </c:pt>
                <c:pt idx="642" formatCode="0.00">
                  <c:v>6.6680115273774243</c:v>
                </c:pt>
                <c:pt idx="643" formatCode="0.00">
                  <c:v>6.6780115273774241</c:v>
                </c:pt>
                <c:pt idx="644" formatCode="0.00">
                  <c:v>6.6880115273774239</c:v>
                </c:pt>
                <c:pt idx="645" formatCode="0.00">
                  <c:v>6.6980115273774237</c:v>
                </c:pt>
                <c:pt idx="646" formatCode="0.00">
                  <c:v>6.7080115273774235</c:v>
                </c:pt>
                <c:pt idx="647" formatCode="0.00">
                  <c:v>6.7180115273774232</c:v>
                </c:pt>
                <c:pt idx="648" formatCode="0.00">
                  <c:v>6.728011527377423</c:v>
                </c:pt>
                <c:pt idx="649" formatCode="0.00">
                  <c:v>6.7380115273774228</c:v>
                </c:pt>
                <c:pt idx="650" formatCode="0.00">
                  <c:v>6.7480115273774226</c:v>
                </c:pt>
                <c:pt idx="651" formatCode="0.00">
                  <c:v>6.7580115273774224</c:v>
                </c:pt>
                <c:pt idx="652" formatCode="0.00">
                  <c:v>6.7680115273774222</c:v>
                </c:pt>
                <c:pt idx="653" formatCode="0.00">
                  <c:v>6.778011527377422</c:v>
                </c:pt>
                <c:pt idx="654" formatCode="0.00">
                  <c:v>6.7880115273774217</c:v>
                </c:pt>
                <c:pt idx="655" formatCode="0.00">
                  <c:v>6.7980115273774215</c:v>
                </c:pt>
                <c:pt idx="656" formatCode="0.00">
                  <c:v>6.8080115273774213</c:v>
                </c:pt>
                <c:pt idx="657" formatCode="0.00">
                  <c:v>6.8180115273774211</c:v>
                </c:pt>
                <c:pt idx="658" formatCode="0.00">
                  <c:v>6.8280115273774209</c:v>
                </c:pt>
                <c:pt idx="659" formatCode="0.00">
                  <c:v>6.8380115273774207</c:v>
                </c:pt>
                <c:pt idx="660" formatCode="0.00">
                  <c:v>6.8480115273774205</c:v>
                </c:pt>
                <c:pt idx="661" formatCode="0.00">
                  <c:v>6.8580115273774203</c:v>
                </c:pt>
                <c:pt idx="662" formatCode="0.00">
                  <c:v>6.86801152737742</c:v>
                </c:pt>
                <c:pt idx="663" formatCode="0.00">
                  <c:v>6.8780115273774198</c:v>
                </c:pt>
                <c:pt idx="664" formatCode="0.00">
                  <c:v>6.8880115273774196</c:v>
                </c:pt>
                <c:pt idx="665" formatCode="0.00">
                  <c:v>6.8980115273774194</c:v>
                </c:pt>
                <c:pt idx="666" formatCode="0.00">
                  <c:v>6.9080115273774192</c:v>
                </c:pt>
                <c:pt idx="667" formatCode="0.00">
                  <c:v>6.918011527377419</c:v>
                </c:pt>
                <c:pt idx="668" formatCode="0.00">
                  <c:v>6.9280115273774188</c:v>
                </c:pt>
                <c:pt idx="669" formatCode="0.00">
                  <c:v>6.9380115273774186</c:v>
                </c:pt>
                <c:pt idx="670" formatCode="0.00">
                  <c:v>6.9480115273774183</c:v>
                </c:pt>
                <c:pt idx="671" formatCode="0.00">
                  <c:v>6.9580115273774181</c:v>
                </c:pt>
                <c:pt idx="672" formatCode="0.00">
                  <c:v>6.9680115273774179</c:v>
                </c:pt>
                <c:pt idx="673" formatCode="0.00">
                  <c:v>6.9780115273774177</c:v>
                </c:pt>
                <c:pt idx="674" formatCode="0.00">
                  <c:v>6.9880115273774175</c:v>
                </c:pt>
                <c:pt idx="675" formatCode="0.00">
                  <c:v>6.9980115273774173</c:v>
                </c:pt>
                <c:pt idx="676" formatCode="0.00">
                  <c:v>7.0080115273774171</c:v>
                </c:pt>
                <c:pt idx="677" formatCode="0.00">
                  <c:v>7.0180115273774168</c:v>
                </c:pt>
                <c:pt idx="678" formatCode="0.00">
                  <c:v>7.0280115273774166</c:v>
                </c:pt>
                <c:pt idx="679" formatCode="0.00">
                  <c:v>7.0380115273774164</c:v>
                </c:pt>
                <c:pt idx="680" formatCode="0.00">
                  <c:v>7.0480115273774162</c:v>
                </c:pt>
                <c:pt idx="681" formatCode="0.00">
                  <c:v>7.058011527377416</c:v>
                </c:pt>
                <c:pt idx="682" formatCode="0.00">
                  <c:v>7.0680115273774158</c:v>
                </c:pt>
                <c:pt idx="683" formatCode="0.00">
                  <c:v>7.0780115273774156</c:v>
                </c:pt>
                <c:pt idx="684" formatCode="0.00">
                  <c:v>7.0880115273774154</c:v>
                </c:pt>
                <c:pt idx="685" formatCode="0.00">
                  <c:v>7.0980115273774151</c:v>
                </c:pt>
                <c:pt idx="686" formatCode="0.00">
                  <c:v>7.1080115273774149</c:v>
                </c:pt>
                <c:pt idx="687" formatCode="0.00">
                  <c:v>7.1180115273774147</c:v>
                </c:pt>
                <c:pt idx="688" formatCode="0.00">
                  <c:v>7.1280115273774145</c:v>
                </c:pt>
                <c:pt idx="689" formatCode="0.00">
                  <c:v>7.1380115273774143</c:v>
                </c:pt>
                <c:pt idx="690" formatCode="0.00">
                  <c:v>7.1480115273774141</c:v>
                </c:pt>
                <c:pt idx="691" formatCode="0.00">
                  <c:v>7.1580115273774139</c:v>
                </c:pt>
                <c:pt idx="692" formatCode="0.00">
                  <c:v>7.1680115273774136</c:v>
                </c:pt>
                <c:pt idx="693" formatCode="0.00">
                  <c:v>7.1780115273774134</c:v>
                </c:pt>
                <c:pt idx="694" formatCode="0.00">
                  <c:v>7.1880115273774132</c:v>
                </c:pt>
                <c:pt idx="695" formatCode="0.00">
                  <c:v>7.198011527377413</c:v>
                </c:pt>
                <c:pt idx="696" formatCode="0.00">
                  <c:v>7.2080115273774128</c:v>
                </c:pt>
                <c:pt idx="697" formatCode="0.00">
                  <c:v>7.2180115273774126</c:v>
                </c:pt>
                <c:pt idx="698" formatCode="0.00">
                  <c:v>7.2280115273774124</c:v>
                </c:pt>
                <c:pt idx="699" formatCode="0.00">
                  <c:v>7.2380115273774122</c:v>
                </c:pt>
                <c:pt idx="700" formatCode="0.00">
                  <c:v>7.2480115273774119</c:v>
                </c:pt>
                <c:pt idx="701" formatCode="0.00">
                  <c:v>7.2580115273774117</c:v>
                </c:pt>
                <c:pt idx="702" formatCode="0.00">
                  <c:v>7.2680115273774115</c:v>
                </c:pt>
                <c:pt idx="703" formatCode="0.00">
                  <c:v>7.2780115273774113</c:v>
                </c:pt>
                <c:pt idx="704" formatCode="0.00">
                  <c:v>7.2880115273774111</c:v>
                </c:pt>
                <c:pt idx="705" formatCode="0.00">
                  <c:v>7.2980115273774109</c:v>
                </c:pt>
                <c:pt idx="706" formatCode="0.00">
                  <c:v>7.3080115273774107</c:v>
                </c:pt>
                <c:pt idx="707" formatCode="0.00">
                  <c:v>7.3180115273774105</c:v>
                </c:pt>
                <c:pt idx="708" formatCode="0.00">
                  <c:v>7.3280115273774102</c:v>
                </c:pt>
                <c:pt idx="709" formatCode="0.00">
                  <c:v>7.33801152737741</c:v>
                </c:pt>
                <c:pt idx="710" formatCode="0.00">
                  <c:v>7.3480115273774098</c:v>
                </c:pt>
                <c:pt idx="711" formatCode="0.00">
                  <c:v>7.3580115273774096</c:v>
                </c:pt>
                <c:pt idx="712" formatCode="0.00">
                  <c:v>7.3680115273774094</c:v>
                </c:pt>
                <c:pt idx="713" formatCode="0.00">
                  <c:v>7.3780115273774092</c:v>
                </c:pt>
                <c:pt idx="714" formatCode="0.00">
                  <c:v>7.388011527377409</c:v>
                </c:pt>
                <c:pt idx="715" formatCode="0.00">
                  <c:v>7.3980115273774087</c:v>
                </c:pt>
                <c:pt idx="716" formatCode="0.00">
                  <c:v>7.4080115273774085</c:v>
                </c:pt>
                <c:pt idx="717" formatCode="0.00">
                  <c:v>7.4180115273774083</c:v>
                </c:pt>
                <c:pt idx="718" formatCode="0.00">
                  <c:v>7.4280115273774081</c:v>
                </c:pt>
                <c:pt idx="719" formatCode="0.00">
                  <c:v>7.4380115273774079</c:v>
                </c:pt>
                <c:pt idx="720" formatCode="0.00">
                  <c:v>7.4480115273774077</c:v>
                </c:pt>
                <c:pt idx="721" formatCode="0.00">
                  <c:v>7.4580115273774075</c:v>
                </c:pt>
                <c:pt idx="722" formatCode="0.00">
                  <c:v>7.4680115273774073</c:v>
                </c:pt>
                <c:pt idx="723" formatCode="0.00">
                  <c:v>7.478011527377407</c:v>
                </c:pt>
                <c:pt idx="724" formatCode="0.00">
                  <c:v>7.4880115273774068</c:v>
                </c:pt>
                <c:pt idx="725" formatCode="0.00">
                  <c:v>7.4980115273774066</c:v>
                </c:pt>
                <c:pt idx="726" formatCode="0.00">
                  <c:v>7.5080115273774064</c:v>
                </c:pt>
                <c:pt idx="727" formatCode="0.00">
                  <c:v>7.5180115273774062</c:v>
                </c:pt>
                <c:pt idx="728" formatCode="0.00">
                  <c:v>7.528011527377406</c:v>
                </c:pt>
                <c:pt idx="729" formatCode="0.00">
                  <c:v>7.5380115273774058</c:v>
                </c:pt>
                <c:pt idx="730" formatCode="0.00">
                  <c:v>7.5480115273774055</c:v>
                </c:pt>
                <c:pt idx="731" formatCode="0.00">
                  <c:v>7.5580115273774053</c:v>
                </c:pt>
                <c:pt idx="732" formatCode="0.00">
                  <c:v>7.5680115273774051</c:v>
                </c:pt>
                <c:pt idx="733" formatCode="0.00">
                  <c:v>7.5780115273774049</c:v>
                </c:pt>
                <c:pt idx="734" formatCode="0.00">
                  <c:v>7.5880115273774047</c:v>
                </c:pt>
                <c:pt idx="735" formatCode="0.00">
                  <c:v>7.5980115273774045</c:v>
                </c:pt>
                <c:pt idx="736" formatCode="0.00">
                  <c:v>7.6080115273774043</c:v>
                </c:pt>
                <c:pt idx="737" formatCode="0.00">
                  <c:v>7.6180115273774041</c:v>
                </c:pt>
                <c:pt idx="738" formatCode="0.00">
                  <c:v>7.6280115273774038</c:v>
                </c:pt>
                <c:pt idx="739" formatCode="0.00">
                  <c:v>7.6380115273774036</c:v>
                </c:pt>
                <c:pt idx="740" formatCode="0.00">
                  <c:v>7.6480115273774034</c:v>
                </c:pt>
                <c:pt idx="741" formatCode="0.00">
                  <c:v>7.6580115273774032</c:v>
                </c:pt>
                <c:pt idx="742" formatCode="0.00">
                  <c:v>7.668011527377403</c:v>
                </c:pt>
                <c:pt idx="743" formatCode="0.00">
                  <c:v>7.6780115273774028</c:v>
                </c:pt>
                <c:pt idx="744" formatCode="0.00">
                  <c:v>7.6880115273774026</c:v>
                </c:pt>
                <c:pt idx="745" formatCode="0.00">
                  <c:v>7.6980115273774024</c:v>
                </c:pt>
                <c:pt idx="746" formatCode="0.00">
                  <c:v>7.7080115273774021</c:v>
                </c:pt>
                <c:pt idx="747" formatCode="0.00">
                  <c:v>7.7180115273774019</c:v>
                </c:pt>
                <c:pt idx="748" formatCode="0.00">
                  <c:v>7.7280115273774017</c:v>
                </c:pt>
                <c:pt idx="749" formatCode="0.00">
                  <c:v>7.7380115273774015</c:v>
                </c:pt>
                <c:pt idx="750" formatCode="0.00">
                  <c:v>7.7480115273774013</c:v>
                </c:pt>
                <c:pt idx="751" formatCode="0.00">
                  <c:v>7.7580115273774011</c:v>
                </c:pt>
                <c:pt idx="752" formatCode="0.00">
                  <c:v>7.7680115273774009</c:v>
                </c:pt>
                <c:pt idx="753" formatCode="0.00">
                  <c:v>7.7780115273774006</c:v>
                </c:pt>
                <c:pt idx="754" formatCode="0.00">
                  <c:v>7.7880115273774004</c:v>
                </c:pt>
                <c:pt idx="755" formatCode="0.00">
                  <c:v>7.7980115273774002</c:v>
                </c:pt>
                <c:pt idx="756" formatCode="0.00">
                  <c:v>7.8080115273774</c:v>
                </c:pt>
                <c:pt idx="757" formatCode="0.00">
                  <c:v>7.8180115273773998</c:v>
                </c:pt>
                <c:pt idx="758" formatCode="0.00">
                  <c:v>7.8280115273773996</c:v>
                </c:pt>
                <c:pt idx="759" formatCode="0.00">
                  <c:v>7.8380115273773994</c:v>
                </c:pt>
                <c:pt idx="760" formatCode="0.00">
                  <c:v>7.8480115273773992</c:v>
                </c:pt>
                <c:pt idx="761" formatCode="0.00">
                  <c:v>7.8580115273773989</c:v>
                </c:pt>
                <c:pt idx="762" formatCode="0.00">
                  <c:v>7.8680115273773987</c:v>
                </c:pt>
                <c:pt idx="763" formatCode="0.00">
                  <c:v>7.8780115273773985</c:v>
                </c:pt>
                <c:pt idx="764" formatCode="0.00">
                  <c:v>7.8880115273773983</c:v>
                </c:pt>
                <c:pt idx="765" formatCode="0.00">
                  <c:v>7.8980115273773981</c:v>
                </c:pt>
                <c:pt idx="766" formatCode="0.00">
                  <c:v>7.9080115273773979</c:v>
                </c:pt>
                <c:pt idx="767" formatCode="0.00">
                  <c:v>7.9180115273773977</c:v>
                </c:pt>
                <c:pt idx="768" formatCode="0.00">
                  <c:v>7.9280115273773974</c:v>
                </c:pt>
                <c:pt idx="769" formatCode="0.00">
                  <c:v>7.9380115273773972</c:v>
                </c:pt>
                <c:pt idx="770" formatCode="0.00">
                  <c:v>7.948011527377397</c:v>
                </c:pt>
                <c:pt idx="771" formatCode="0.00">
                  <c:v>7.9580115273773968</c:v>
                </c:pt>
                <c:pt idx="772" formatCode="0.00">
                  <c:v>7.9680115273773966</c:v>
                </c:pt>
                <c:pt idx="773" formatCode="0.00">
                  <c:v>7.9780115273773964</c:v>
                </c:pt>
                <c:pt idx="774" formatCode="0.00">
                  <c:v>7.9880115273773962</c:v>
                </c:pt>
                <c:pt idx="775" formatCode="0.00">
                  <c:v>7.998011527377396</c:v>
                </c:pt>
                <c:pt idx="776" formatCode="0.00">
                  <c:v>8.0080115273773966</c:v>
                </c:pt>
                <c:pt idx="777" formatCode="0.00">
                  <c:v>8.0180115273773964</c:v>
                </c:pt>
                <c:pt idx="778" formatCode="0.00">
                  <c:v>8.0280115273773962</c:v>
                </c:pt>
                <c:pt idx="779" formatCode="0.00">
                  <c:v>8.038011527377396</c:v>
                </c:pt>
                <c:pt idx="780" formatCode="0.00">
                  <c:v>8.0480115273773958</c:v>
                </c:pt>
                <c:pt idx="781" formatCode="0.00">
                  <c:v>8.0580115273773956</c:v>
                </c:pt>
                <c:pt idx="782" formatCode="0.00">
                  <c:v>8.0680115273773954</c:v>
                </c:pt>
                <c:pt idx="783" formatCode="0.00">
                  <c:v>8.0780115273773951</c:v>
                </c:pt>
                <c:pt idx="784" formatCode="0.00">
                  <c:v>8.0880115273773949</c:v>
                </c:pt>
                <c:pt idx="785" formatCode="0.00">
                  <c:v>8.0980115273773947</c:v>
                </c:pt>
                <c:pt idx="786" formatCode="0.00">
                  <c:v>8.1080115273773945</c:v>
                </c:pt>
                <c:pt idx="787" formatCode="0.00">
                  <c:v>8.1180115273773943</c:v>
                </c:pt>
                <c:pt idx="788" formatCode="0.00">
                  <c:v>8.1280115273773941</c:v>
                </c:pt>
                <c:pt idx="789" formatCode="0.00">
                  <c:v>8.1380115273773939</c:v>
                </c:pt>
                <c:pt idx="790" formatCode="0.00">
                  <c:v>8.1480115273773936</c:v>
                </c:pt>
                <c:pt idx="791" formatCode="0.00">
                  <c:v>8.1580115273773934</c:v>
                </c:pt>
                <c:pt idx="792" formatCode="0.00">
                  <c:v>8.1680115273773932</c:v>
                </c:pt>
                <c:pt idx="793" formatCode="0.00">
                  <c:v>8.178011527377393</c:v>
                </c:pt>
                <c:pt idx="794" formatCode="0.00">
                  <c:v>8.1880115273773928</c:v>
                </c:pt>
                <c:pt idx="795" formatCode="0.00">
                  <c:v>8.1980115273773926</c:v>
                </c:pt>
                <c:pt idx="796" formatCode="0.00">
                  <c:v>8.2080115273773924</c:v>
                </c:pt>
                <c:pt idx="797" formatCode="0.00">
                  <c:v>8.2180115273773922</c:v>
                </c:pt>
                <c:pt idx="798" formatCode="0.00">
                  <c:v>8.2280115273773919</c:v>
                </c:pt>
                <c:pt idx="799" formatCode="0.00">
                  <c:v>8.2380115273773917</c:v>
                </c:pt>
                <c:pt idx="800" formatCode="0.00">
                  <c:v>8.2480115273773915</c:v>
                </c:pt>
                <c:pt idx="801" formatCode="0.00">
                  <c:v>8.2580115273773913</c:v>
                </c:pt>
                <c:pt idx="802" formatCode="0.00">
                  <c:v>8.2680115273773911</c:v>
                </c:pt>
                <c:pt idx="803" formatCode="0.00">
                  <c:v>8.2780115273773909</c:v>
                </c:pt>
                <c:pt idx="804" formatCode="0.00">
                  <c:v>8.2880115273773907</c:v>
                </c:pt>
                <c:pt idx="805" formatCode="0.00">
                  <c:v>8.2980115273773905</c:v>
                </c:pt>
                <c:pt idx="806" formatCode="0.00">
                  <c:v>8.3080115273773902</c:v>
                </c:pt>
                <c:pt idx="807" formatCode="0.00">
                  <c:v>8.31801152737739</c:v>
                </c:pt>
                <c:pt idx="808" formatCode="0.00">
                  <c:v>8.3280115273773898</c:v>
                </c:pt>
                <c:pt idx="809" formatCode="0.00">
                  <c:v>8.3380115273773896</c:v>
                </c:pt>
                <c:pt idx="810" formatCode="0.00">
                  <c:v>8.3480115273773894</c:v>
                </c:pt>
                <c:pt idx="811" formatCode="0.00">
                  <c:v>8.3580115273773892</c:v>
                </c:pt>
                <c:pt idx="812" formatCode="0.00">
                  <c:v>8.368011527377389</c:v>
                </c:pt>
                <c:pt idx="813" formatCode="0.00">
                  <c:v>8.3780115273773887</c:v>
                </c:pt>
                <c:pt idx="814" formatCode="0.00">
                  <c:v>8.3880115273773885</c:v>
                </c:pt>
                <c:pt idx="815" formatCode="0.00">
                  <c:v>8.3980115273773883</c:v>
                </c:pt>
                <c:pt idx="816" formatCode="0.00">
                  <c:v>8.4080115273773881</c:v>
                </c:pt>
                <c:pt idx="817" formatCode="0.00">
                  <c:v>8.4180115273773879</c:v>
                </c:pt>
                <c:pt idx="818" formatCode="0.00">
                  <c:v>8.4280115273773877</c:v>
                </c:pt>
                <c:pt idx="819" formatCode="0.00">
                  <c:v>8.4380115273773875</c:v>
                </c:pt>
                <c:pt idx="820" formatCode="0.00">
                  <c:v>8.4480115273773873</c:v>
                </c:pt>
                <c:pt idx="821" formatCode="0.00">
                  <c:v>8.458011527377387</c:v>
                </c:pt>
                <c:pt idx="822" formatCode="0.00">
                  <c:v>8.4680115273773868</c:v>
                </c:pt>
                <c:pt idx="823" formatCode="0.00">
                  <c:v>8.4780115273773866</c:v>
                </c:pt>
                <c:pt idx="824" formatCode="0.00">
                  <c:v>8.4880115273773864</c:v>
                </c:pt>
                <c:pt idx="825" formatCode="0.00">
                  <c:v>8.4980115273773862</c:v>
                </c:pt>
                <c:pt idx="826" formatCode="0.00">
                  <c:v>8.508011527377386</c:v>
                </c:pt>
                <c:pt idx="827" formatCode="0.00">
                  <c:v>8.5180115273773858</c:v>
                </c:pt>
                <c:pt idx="828" formatCode="0.00">
                  <c:v>8.5280115273773855</c:v>
                </c:pt>
                <c:pt idx="829" formatCode="0.00">
                  <c:v>8.5380115273773853</c:v>
                </c:pt>
                <c:pt idx="830" formatCode="0.00">
                  <c:v>8.5480115273773851</c:v>
                </c:pt>
                <c:pt idx="831" formatCode="0.00">
                  <c:v>8.5580115273773849</c:v>
                </c:pt>
                <c:pt idx="832" formatCode="0.00">
                  <c:v>8.5680115273773847</c:v>
                </c:pt>
                <c:pt idx="833" formatCode="0.00">
                  <c:v>8.5780115273773845</c:v>
                </c:pt>
                <c:pt idx="834" formatCode="0.00">
                  <c:v>8.5880115273773843</c:v>
                </c:pt>
                <c:pt idx="835" formatCode="0.00">
                  <c:v>8.5980115273773841</c:v>
                </c:pt>
                <c:pt idx="836" formatCode="0.00">
                  <c:v>8.6080115273773838</c:v>
                </c:pt>
                <c:pt idx="837" formatCode="0.00">
                  <c:v>8.6180115273773836</c:v>
                </c:pt>
                <c:pt idx="838" formatCode="0.00">
                  <c:v>8.6280115273773834</c:v>
                </c:pt>
                <c:pt idx="839" formatCode="0.00">
                  <c:v>8.6380115273773832</c:v>
                </c:pt>
                <c:pt idx="840" formatCode="0.00">
                  <c:v>8.648011527377383</c:v>
                </c:pt>
                <c:pt idx="841" formatCode="0.00">
                  <c:v>8.6580115273773828</c:v>
                </c:pt>
                <c:pt idx="842" formatCode="0.00">
                  <c:v>8.6680115273773826</c:v>
                </c:pt>
                <c:pt idx="843" formatCode="0.00">
                  <c:v>8.6780115273773824</c:v>
                </c:pt>
                <c:pt idx="844" formatCode="0.00">
                  <c:v>8.6880115273773821</c:v>
                </c:pt>
                <c:pt idx="845" formatCode="0.00">
                  <c:v>8.6980115273773819</c:v>
                </c:pt>
                <c:pt idx="846" formatCode="0.00">
                  <c:v>8.7080115273773817</c:v>
                </c:pt>
                <c:pt idx="847" formatCode="0.00">
                  <c:v>8.7180115273773815</c:v>
                </c:pt>
                <c:pt idx="848" formatCode="0.00">
                  <c:v>8.7280115273773813</c:v>
                </c:pt>
                <c:pt idx="849" formatCode="0.00">
                  <c:v>8.7380115273773811</c:v>
                </c:pt>
                <c:pt idx="850" formatCode="0.00">
                  <c:v>8.7480115273773809</c:v>
                </c:pt>
                <c:pt idx="851" formatCode="0.00">
                  <c:v>8.7580115273773806</c:v>
                </c:pt>
                <c:pt idx="852" formatCode="0.00">
                  <c:v>8.7680115273773804</c:v>
                </c:pt>
                <c:pt idx="853" formatCode="0.00">
                  <c:v>8.7780115273773802</c:v>
                </c:pt>
                <c:pt idx="854" formatCode="0.00">
                  <c:v>8.78801152737738</c:v>
                </c:pt>
                <c:pt idx="855" formatCode="0.00">
                  <c:v>8.7980115273773798</c:v>
                </c:pt>
                <c:pt idx="856" formatCode="0.00">
                  <c:v>8.8080115273773796</c:v>
                </c:pt>
                <c:pt idx="857" formatCode="0.00">
                  <c:v>8.8180115273773794</c:v>
                </c:pt>
                <c:pt idx="858" formatCode="0.00">
                  <c:v>8.8280115273773792</c:v>
                </c:pt>
                <c:pt idx="859" formatCode="0.00">
                  <c:v>8.8380115273773789</c:v>
                </c:pt>
                <c:pt idx="860" formatCode="0.00">
                  <c:v>8.8480115273773787</c:v>
                </c:pt>
                <c:pt idx="861" formatCode="0.00">
                  <c:v>8.8580115273773785</c:v>
                </c:pt>
                <c:pt idx="862" formatCode="0.00">
                  <c:v>8.8680115273773783</c:v>
                </c:pt>
                <c:pt idx="863" formatCode="0.00">
                  <c:v>8.8780115273773781</c:v>
                </c:pt>
                <c:pt idx="864" formatCode="0.00">
                  <c:v>8.8880115273773779</c:v>
                </c:pt>
                <c:pt idx="865" formatCode="0.00">
                  <c:v>8.8980115273773777</c:v>
                </c:pt>
                <c:pt idx="866" formatCode="0.00">
                  <c:v>8.9080115273773774</c:v>
                </c:pt>
                <c:pt idx="867" formatCode="0.00">
                  <c:v>8.9180115273773772</c:v>
                </c:pt>
                <c:pt idx="868" formatCode="0.00">
                  <c:v>8.928011527377377</c:v>
                </c:pt>
                <c:pt idx="869" formatCode="0.00">
                  <c:v>8.9380115273773768</c:v>
                </c:pt>
                <c:pt idx="870" formatCode="0.00">
                  <c:v>8.9480115273773766</c:v>
                </c:pt>
                <c:pt idx="871" formatCode="0.00">
                  <c:v>8.9580115273773764</c:v>
                </c:pt>
                <c:pt idx="872" formatCode="0.00">
                  <c:v>8.9680115273773762</c:v>
                </c:pt>
                <c:pt idx="873" formatCode="0.00">
                  <c:v>8.978011527377376</c:v>
                </c:pt>
                <c:pt idx="874" formatCode="0.00">
                  <c:v>8.9880115273773757</c:v>
                </c:pt>
                <c:pt idx="875" formatCode="0.00">
                  <c:v>8.9980115273773755</c:v>
                </c:pt>
                <c:pt idx="876" formatCode="0.00">
                  <c:v>9.0080115273773753</c:v>
                </c:pt>
                <c:pt idx="877" formatCode="0.00">
                  <c:v>9.0180115273773751</c:v>
                </c:pt>
                <c:pt idx="878" formatCode="0.00">
                  <c:v>9.0280115273773749</c:v>
                </c:pt>
                <c:pt idx="879" formatCode="0.00">
                  <c:v>9.0380115273773747</c:v>
                </c:pt>
                <c:pt idx="880" formatCode="0.00">
                  <c:v>9.0480115273773745</c:v>
                </c:pt>
                <c:pt idx="881" formatCode="0.00">
                  <c:v>9.0580115273773743</c:v>
                </c:pt>
                <c:pt idx="882" formatCode="0.00">
                  <c:v>9.068011527377374</c:v>
                </c:pt>
                <c:pt idx="883" formatCode="0.00">
                  <c:v>9.0780115273773738</c:v>
                </c:pt>
                <c:pt idx="884" formatCode="0.00">
                  <c:v>9.0880115273773736</c:v>
                </c:pt>
                <c:pt idx="885" formatCode="0.00">
                  <c:v>9.0980115273773734</c:v>
                </c:pt>
                <c:pt idx="886" formatCode="0.00">
                  <c:v>9.1080115273773732</c:v>
                </c:pt>
                <c:pt idx="887" formatCode="0.00">
                  <c:v>9.118011527377373</c:v>
                </c:pt>
                <c:pt idx="888" formatCode="0.00">
                  <c:v>9.1280115273773728</c:v>
                </c:pt>
                <c:pt idx="889" formatCode="0.00">
                  <c:v>9.1380115273773725</c:v>
                </c:pt>
                <c:pt idx="890" formatCode="0.00">
                  <c:v>9.1480115273773723</c:v>
                </c:pt>
                <c:pt idx="891" formatCode="0.00">
                  <c:v>9.1580115273773721</c:v>
                </c:pt>
                <c:pt idx="892" formatCode="0.00">
                  <c:v>9.1680115273773719</c:v>
                </c:pt>
                <c:pt idx="893" formatCode="0.00">
                  <c:v>9.1780115273773717</c:v>
                </c:pt>
                <c:pt idx="894" formatCode="0.00">
                  <c:v>9.1880115273773715</c:v>
                </c:pt>
                <c:pt idx="895" formatCode="0.00">
                  <c:v>9.1980115273773713</c:v>
                </c:pt>
                <c:pt idx="896" formatCode="0.00">
                  <c:v>9.2080115273773711</c:v>
                </c:pt>
                <c:pt idx="897" formatCode="0.00">
                  <c:v>9.2180115273773708</c:v>
                </c:pt>
                <c:pt idx="898" formatCode="0.00">
                  <c:v>9.2280115273773706</c:v>
                </c:pt>
                <c:pt idx="899" formatCode="0.00">
                  <c:v>9.2380115273773704</c:v>
                </c:pt>
                <c:pt idx="900" formatCode="0.00">
                  <c:v>9.2480115273773702</c:v>
                </c:pt>
                <c:pt idx="901" formatCode="0.00">
                  <c:v>9.25801152737737</c:v>
                </c:pt>
                <c:pt idx="902" formatCode="0.00">
                  <c:v>9.2680115273773698</c:v>
                </c:pt>
                <c:pt idx="903" formatCode="0.00">
                  <c:v>9.2780115273773696</c:v>
                </c:pt>
                <c:pt idx="904" formatCode="0.00">
                  <c:v>9.2880115273773693</c:v>
                </c:pt>
                <c:pt idx="905" formatCode="0.00">
                  <c:v>9.2980115273773691</c:v>
                </c:pt>
                <c:pt idx="906" formatCode="0.00">
                  <c:v>9.3080115273773689</c:v>
                </c:pt>
                <c:pt idx="907" formatCode="0.00">
                  <c:v>9.3180115273773687</c:v>
                </c:pt>
                <c:pt idx="908" formatCode="0.00">
                  <c:v>9.3280115273773685</c:v>
                </c:pt>
                <c:pt idx="909" formatCode="0.00">
                  <c:v>9.3380115273773683</c:v>
                </c:pt>
                <c:pt idx="910" formatCode="0.00">
                  <c:v>9.3480115273773681</c:v>
                </c:pt>
                <c:pt idx="911" formatCode="0.00">
                  <c:v>9.3580115273773679</c:v>
                </c:pt>
                <c:pt idx="912" formatCode="0.00">
                  <c:v>9.3680115273773676</c:v>
                </c:pt>
                <c:pt idx="913" formatCode="0.00">
                  <c:v>9.3780115273773674</c:v>
                </c:pt>
                <c:pt idx="914" formatCode="0.00">
                  <c:v>9.3880115273773672</c:v>
                </c:pt>
                <c:pt idx="915" formatCode="0.00">
                  <c:v>9.398011527377367</c:v>
                </c:pt>
                <c:pt idx="916" formatCode="0.00">
                  <c:v>9.4080115273773668</c:v>
                </c:pt>
                <c:pt idx="917" formatCode="0.00">
                  <c:v>9.4180115273773666</c:v>
                </c:pt>
                <c:pt idx="918" formatCode="0.00">
                  <c:v>9.4280115273773664</c:v>
                </c:pt>
                <c:pt idx="919" formatCode="0.00">
                  <c:v>9.4380115273773661</c:v>
                </c:pt>
                <c:pt idx="920" formatCode="0.00">
                  <c:v>9.4480115273773659</c:v>
                </c:pt>
                <c:pt idx="921" formatCode="0.00">
                  <c:v>9.4580115273773657</c:v>
                </c:pt>
                <c:pt idx="922" formatCode="0.00">
                  <c:v>9.4680115273773655</c:v>
                </c:pt>
                <c:pt idx="923" formatCode="0.00">
                  <c:v>9.4780115273773653</c:v>
                </c:pt>
                <c:pt idx="924" formatCode="0.00">
                  <c:v>9.4880115273773651</c:v>
                </c:pt>
                <c:pt idx="925" formatCode="0.00">
                  <c:v>9.4980115273773649</c:v>
                </c:pt>
                <c:pt idx="926" formatCode="0.00">
                  <c:v>9.5080115273773647</c:v>
                </c:pt>
                <c:pt idx="927" formatCode="0.00">
                  <c:v>9.5180115273773644</c:v>
                </c:pt>
                <c:pt idx="928" formatCode="0.00">
                  <c:v>9.5280115273773642</c:v>
                </c:pt>
                <c:pt idx="929" formatCode="0.00">
                  <c:v>9.538011527377364</c:v>
                </c:pt>
                <c:pt idx="930" formatCode="0.00">
                  <c:v>9.5480115273773638</c:v>
                </c:pt>
                <c:pt idx="931" formatCode="0.00">
                  <c:v>9.5580115273773636</c:v>
                </c:pt>
                <c:pt idx="932" formatCode="0.00">
                  <c:v>9.5680115273773634</c:v>
                </c:pt>
                <c:pt idx="933" formatCode="0.00">
                  <c:v>9.5780115273773632</c:v>
                </c:pt>
                <c:pt idx="934" formatCode="0.00">
                  <c:v>9.588011527377363</c:v>
                </c:pt>
                <c:pt idx="935" formatCode="0.00">
                  <c:v>9.5980115273773627</c:v>
                </c:pt>
                <c:pt idx="936" formatCode="0.00">
                  <c:v>9.6080115273773625</c:v>
                </c:pt>
                <c:pt idx="937" formatCode="0.00">
                  <c:v>9.6180115273773623</c:v>
                </c:pt>
                <c:pt idx="938" formatCode="0.00">
                  <c:v>9.6280115273773621</c:v>
                </c:pt>
                <c:pt idx="939" formatCode="0.00">
                  <c:v>9.6380115273773619</c:v>
                </c:pt>
                <c:pt idx="940" formatCode="0.00">
                  <c:v>9.6480115273773617</c:v>
                </c:pt>
                <c:pt idx="941" formatCode="0.00">
                  <c:v>9.6580115273773615</c:v>
                </c:pt>
                <c:pt idx="942" formatCode="0.00">
                  <c:v>9.6680115273773612</c:v>
                </c:pt>
                <c:pt idx="943" formatCode="0.00">
                  <c:v>9.678011527377361</c:v>
                </c:pt>
                <c:pt idx="944" formatCode="0.00">
                  <c:v>9.6880115273773608</c:v>
                </c:pt>
                <c:pt idx="945" formatCode="0.00">
                  <c:v>9.6980115273773606</c:v>
                </c:pt>
                <c:pt idx="946" formatCode="0.00">
                  <c:v>9.7080115273773604</c:v>
                </c:pt>
                <c:pt idx="947" formatCode="0.00">
                  <c:v>9.7180115273773602</c:v>
                </c:pt>
                <c:pt idx="948" formatCode="0.00">
                  <c:v>9.72801152737736</c:v>
                </c:pt>
                <c:pt idx="949" formatCode="0.00">
                  <c:v>9.7380115273773598</c:v>
                </c:pt>
                <c:pt idx="950" formatCode="0.00">
                  <c:v>9.7480115273773595</c:v>
                </c:pt>
                <c:pt idx="951" formatCode="0.00">
                  <c:v>9.7580115273773593</c:v>
                </c:pt>
                <c:pt idx="952" formatCode="0.00">
                  <c:v>9.7680115273773591</c:v>
                </c:pt>
                <c:pt idx="953" formatCode="0.00">
                  <c:v>9.7780115273773589</c:v>
                </c:pt>
                <c:pt idx="954" formatCode="0.00">
                  <c:v>9.7880115273773587</c:v>
                </c:pt>
                <c:pt idx="955" formatCode="0.00">
                  <c:v>9.7980115273773585</c:v>
                </c:pt>
                <c:pt idx="956" formatCode="0.00">
                  <c:v>9.8080115273773583</c:v>
                </c:pt>
                <c:pt idx="957" formatCode="0.00">
                  <c:v>9.818011527377358</c:v>
                </c:pt>
                <c:pt idx="958" formatCode="0.00">
                  <c:v>9.8280115273773578</c:v>
                </c:pt>
                <c:pt idx="959" formatCode="0.00">
                  <c:v>9.8380115273773576</c:v>
                </c:pt>
                <c:pt idx="960" formatCode="0.00">
                  <c:v>9.8480115273773574</c:v>
                </c:pt>
                <c:pt idx="961" formatCode="0.00">
                  <c:v>9.8580115273773572</c:v>
                </c:pt>
                <c:pt idx="962" formatCode="0.00">
                  <c:v>9.868011527377357</c:v>
                </c:pt>
                <c:pt idx="963" formatCode="0.00">
                  <c:v>9.8780115273773568</c:v>
                </c:pt>
                <c:pt idx="964" formatCode="0.00">
                  <c:v>9.8880115273773566</c:v>
                </c:pt>
                <c:pt idx="965" formatCode="0.00">
                  <c:v>9.8980115273773563</c:v>
                </c:pt>
                <c:pt idx="966" formatCode="0.00">
                  <c:v>9.9080115273773561</c:v>
                </c:pt>
                <c:pt idx="967" formatCode="0.00">
                  <c:v>9.9180115273773559</c:v>
                </c:pt>
                <c:pt idx="968" formatCode="0.00">
                  <c:v>9.9280115273773557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1.096231972434618E-6</c:v>
                </c:pt>
                <c:pt idx="1">
                  <c:v>6.8432996530576784E-4</c:v>
                </c:pt>
                <c:pt idx="2">
                  <c:v>1.367563698639101E-3</c:v>
                </c:pt>
                <c:pt idx="3">
                  <c:v>2.0507974319724344E-3</c:v>
                </c:pt>
                <c:pt idx="4">
                  <c:v>2.7340311653057678E-3</c:v>
                </c:pt>
                <c:pt idx="5">
                  <c:v>3.4172648986391008E-3</c:v>
                </c:pt>
                <c:pt idx="6">
                  <c:v>4.1004986319724346E-3</c:v>
                </c:pt>
                <c:pt idx="7">
                  <c:v>4.783732365305768E-3</c:v>
                </c:pt>
                <c:pt idx="8">
                  <c:v>5.4669660986391005E-3</c:v>
                </c:pt>
                <c:pt idx="9">
                  <c:v>6.1501998319724339E-3</c:v>
                </c:pt>
                <c:pt idx="10">
                  <c:v>6.8334335653057673E-3</c:v>
                </c:pt>
                <c:pt idx="11">
                  <c:v>7.5166672986390999E-3</c:v>
                </c:pt>
                <c:pt idx="12">
                  <c:v>8.1999010319724341E-3</c:v>
                </c:pt>
                <c:pt idx="13">
                  <c:v>8.8831347653057675E-3</c:v>
                </c:pt>
                <c:pt idx="14">
                  <c:v>9.5663684986391009E-3</c:v>
                </c:pt>
                <c:pt idx="15">
                  <c:v>1.0249602231972434E-2</c:v>
                </c:pt>
                <c:pt idx="16">
                  <c:v>1.0932835965305768E-2</c:v>
                </c:pt>
                <c:pt idx="17">
                  <c:v>1.1616069698639099E-2</c:v>
                </c:pt>
                <c:pt idx="18">
                  <c:v>1.2299303431972433E-2</c:v>
                </c:pt>
                <c:pt idx="19">
                  <c:v>1.2982537165305766E-2</c:v>
                </c:pt>
                <c:pt idx="20">
                  <c:v>1.36657708986391E-2</c:v>
                </c:pt>
                <c:pt idx="21">
                  <c:v>1.4349004631972433E-2</c:v>
                </c:pt>
                <c:pt idx="22">
                  <c:v>1.5032238365305766E-2</c:v>
                </c:pt>
                <c:pt idx="23">
                  <c:v>1.5715472098639098E-2</c:v>
                </c:pt>
                <c:pt idx="24">
                  <c:v>1.6398705831972431E-2</c:v>
                </c:pt>
                <c:pt idx="25">
                  <c:v>1.7081939565305768E-2</c:v>
                </c:pt>
                <c:pt idx="26">
                  <c:v>1.7765173298639102E-2</c:v>
                </c:pt>
                <c:pt idx="27">
                  <c:v>1.8448407031972439E-2</c:v>
                </c:pt>
                <c:pt idx="28">
                  <c:v>1.9131640765305772E-2</c:v>
                </c:pt>
                <c:pt idx="29">
                  <c:v>1.9814874498639105E-2</c:v>
                </c:pt>
                <c:pt idx="30">
                  <c:v>2.0498108231972442E-2</c:v>
                </c:pt>
                <c:pt idx="31">
                  <c:v>2.1181341965305776E-2</c:v>
                </c:pt>
                <c:pt idx="32">
                  <c:v>2.1864575698639113E-2</c:v>
                </c:pt>
                <c:pt idx="33">
                  <c:v>2.2547809431972446E-2</c:v>
                </c:pt>
                <c:pt idx="34">
                  <c:v>2.3231043165305783E-2</c:v>
                </c:pt>
                <c:pt idx="35">
                  <c:v>2.3914276898639116E-2</c:v>
                </c:pt>
                <c:pt idx="36">
                  <c:v>2.4597510631972453E-2</c:v>
                </c:pt>
                <c:pt idx="37">
                  <c:v>2.5280744365305786E-2</c:v>
                </c:pt>
                <c:pt idx="38">
                  <c:v>2.596397809863912E-2</c:v>
                </c:pt>
                <c:pt idx="39">
                  <c:v>2.6647211831972457E-2</c:v>
                </c:pt>
                <c:pt idx="40">
                  <c:v>2.733044556530579E-2</c:v>
                </c:pt>
                <c:pt idx="41">
                  <c:v>2.8013679298639127E-2</c:v>
                </c:pt>
                <c:pt idx="42">
                  <c:v>2.869691303197246E-2</c:v>
                </c:pt>
                <c:pt idx="43">
                  <c:v>2.9380146765305797E-2</c:v>
                </c:pt>
                <c:pt idx="44">
                  <c:v>3.0063380498639131E-2</c:v>
                </c:pt>
                <c:pt idx="45">
                  <c:v>3.0746614231972468E-2</c:v>
                </c:pt>
                <c:pt idx="46">
                  <c:v>3.1429847965305804E-2</c:v>
                </c:pt>
                <c:pt idx="47">
                  <c:v>3.2113081698639134E-2</c:v>
                </c:pt>
                <c:pt idx="48">
                  <c:v>3.2796315431972464E-2</c:v>
                </c:pt>
                <c:pt idx="49">
                  <c:v>3.3479549165305801E-2</c:v>
                </c:pt>
                <c:pt idx="50">
                  <c:v>3.4162782898639131E-2</c:v>
                </c:pt>
                <c:pt idx="51">
                  <c:v>3.4846016631972461E-2</c:v>
                </c:pt>
                <c:pt idx="52">
                  <c:v>3.5529250365305791E-2</c:v>
                </c:pt>
                <c:pt idx="53">
                  <c:v>3.6212484098639121E-2</c:v>
                </c:pt>
                <c:pt idx="54">
                  <c:v>3.6895717831972458E-2</c:v>
                </c:pt>
                <c:pt idx="55">
                  <c:v>3.7578951565305788E-2</c:v>
                </c:pt>
                <c:pt idx="56">
                  <c:v>3.8262185298639118E-2</c:v>
                </c:pt>
                <c:pt idx="57">
                  <c:v>3.8945419031972447E-2</c:v>
                </c:pt>
                <c:pt idx="58">
                  <c:v>3.9628652765305784E-2</c:v>
                </c:pt>
                <c:pt idx="59">
                  <c:v>4.0311886498639114E-2</c:v>
                </c:pt>
                <c:pt idx="60">
                  <c:v>4.099512023197243E-2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-2.9599999999999998E-4</c:v>
                </c:pt>
                <c:pt idx="2">
                  <c:v>-2.92E-4</c:v>
                </c:pt>
                <c:pt idx="3">
                  <c:v>-2.8699999999999998E-4</c:v>
                </c:pt>
                <c:pt idx="4">
                  <c:v>-2.8299999999999999E-4</c:v>
                </c:pt>
                <c:pt idx="5">
                  <c:v>-2.7799999999999998E-4</c:v>
                </c:pt>
                <c:pt idx="6">
                  <c:v>-2.7399999999999999E-4</c:v>
                </c:pt>
                <c:pt idx="7">
                  <c:v>-2.6899999999999998E-4</c:v>
                </c:pt>
                <c:pt idx="8">
                  <c:v>-2.6499999999999999E-4</c:v>
                </c:pt>
                <c:pt idx="9">
                  <c:v>-2.5999999999999998E-4</c:v>
                </c:pt>
                <c:pt idx="10">
                  <c:v>-2.5599999999999999E-4</c:v>
                </c:pt>
                <c:pt idx="11">
                  <c:v>-2.5399999999999999E-4</c:v>
                </c:pt>
                <c:pt idx="12">
                  <c:v>-2.5700000000000001E-4</c:v>
                </c:pt>
                <c:pt idx="13">
                  <c:v>-2.5999999999999998E-4</c:v>
                </c:pt>
                <c:pt idx="14">
                  <c:v>-2.6400000000000002E-4</c:v>
                </c:pt>
                <c:pt idx="15">
                  <c:v>-2.6699999999999998E-4</c:v>
                </c:pt>
                <c:pt idx="16">
                  <c:v>-2.7099999999999997E-4</c:v>
                </c:pt>
                <c:pt idx="17">
                  <c:v>-2.7399999999999999E-4</c:v>
                </c:pt>
                <c:pt idx="18">
                  <c:v>-2.7700000000000001E-4</c:v>
                </c:pt>
                <c:pt idx="19">
                  <c:v>-2.81E-4</c:v>
                </c:pt>
                <c:pt idx="20">
                  <c:v>-2.8400000000000002E-4</c:v>
                </c:pt>
                <c:pt idx="21">
                  <c:v>-2.8800000000000001E-4</c:v>
                </c:pt>
                <c:pt idx="22">
                  <c:v>-2.9100000000000003E-4</c:v>
                </c:pt>
                <c:pt idx="23">
                  <c:v>-2.9500000000000001E-4</c:v>
                </c:pt>
                <c:pt idx="24">
                  <c:v>-2.9799999999999998E-4</c:v>
                </c:pt>
                <c:pt idx="25">
                  <c:v>-3.0200000000000002E-4</c:v>
                </c:pt>
                <c:pt idx="26">
                  <c:v>-3.0499999999999999E-4</c:v>
                </c:pt>
                <c:pt idx="27">
                  <c:v>-3.0899999999999998E-4</c:v>
                </c:pt>
                <c:pt idx="28">
                  <c:v>-3.1199999999999999E-4</c:v>
                </c:pt>
                <c:pt idx="29">
                  <c:v>-3.1599999999999998E-4</c:v>
                </c:pt>
                <c:pt idx="30">
                  <c:v>-3.19E-4</c:v>
                </c:pt>
                <c:pt idx="31">
                  <c:v>-3.2299999999999999E-4</c:v>
                </c:pt>
                <c:pt idx="32">
                  <c:v>-3.2600000000000001E-4</c:v>
                </c:pt>
                <c:pt idx="33">
                  <c:v>-3.3E-4</c:v>
                </c:pt>
                <c:pt idx="34">
                  <c:v>-3.3300000000000002E-4</c:v>
                </c:pt>
                <c:pt idx="35">
                  <c:v>-3.3700000000000001E-4</c:v>
                </c:pt>
                <c:pt idx="36">
                  <c:v>-3.4000000000000002E-4</c:v>
                </c:pt>
                <c:pt idx="37">
                  <c:v>-3.4400000000000001E-4</c:v>
                </c:pt>
                <c:pt idx="38">
                  <c:v>-3.4699999999999998E-4</c:v>
                </c:pt>
                <c:pt idx="39">
                  <c:v>-3.5100000000000002E-4</c:v>
                </c:pt>
                <c:pt idx="40">
                  <c:v>-3.5500000000000001E-4</c:v>
                </c:pt>
                <c:pt idx="41">
                  <c:v>-3.59E-4</c:v>
                </c:pt>
                <c:pt idx="42">
                  <c:v>-3.6299999999999999E-4</c:v>
                </c:pt>
                <c:pt idx="43">
                  <c:v>-3.6600000000000001E-4</c:v>
                </c:pt>
                <c:pt idx="44">
                  <c:v>-3.7100000000000002E-4</c:v>
                </c:pt>
                <c:pt idx="45">
                  <c:v>-3.7500000000000001E-4</c:v>
                </c:pt>
                <c:pt idx="46">
                  <c:v>-3.8000000000000002E-4</c:v>
                </c:pt>
                <c:pt idx="47">
                  <c:v>-3.8400000000000001E-4</c:v>
                </c:pt>
                <c:pt idx="48">
                  <c:v>-3.88E-4</c:v>
                </c:pt>
                <c:pt idx="49">
                  <c:v>-3.9199999999999999E-4</c:v>
                </c:pt>
                <c:pt idx="50">
                  <c:v>-3.97E-4</c:v>
                </c:pt>
                <c:pt idx="51">
                  <c:v>-4.0099999999999999E-4</c:v>
                </c:pt>
                <c:pt idx="52">
                  <c:v>-4.0499999999999998E-4</c:v>
                </c:pt>
                <c:pt idx="53">
                  <c:v>-4.1100000000000002E-4</c:v>
                </c:pt>
                <c:pt idx="54">
                  <c:v>-4.1599999999999997E-4</c:v>
                </c:pt>
                <c:pt idx="55">
                  <c:v>-4.2200000000000001E-4</c:v>
                </c:pt>
                <c:pt idx="56">
                  <c:v>-4.2700000000000002E-4</c:v>
                </c:pt>
                <c:pt idx="57">
                  <c:v>-4.3199999999999998E-4</c:v>
                </c:pt>
                <c:pt idx="58">
                  <c:v>-4.3800000000000002E-4</c:v>
                </c:pt>
                <c:pt idx="59">
                  <c:v>-4.44E-4</c:v>
                </c:pt>
                <c:pt idx="60">
                  <c:v>-4.4999999999999999E-4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1.096231972434618E-6</c:v>
                </c:pt>
                <c:pt idx="1">
                  <c:v>8.2097673197243466E-4</c:v>
                </c:pt>
                <c:pt idx="2">
                  <c:v>1.6408572319724347E-3</c:v>
                </c:pt>
                <c:pt idx="3">
                  <c:v>2.4607377319724347E-3</c:v>
                </c:pt>
                <c:pt idx="4">
                  <c:v>3.2806182319724347E-3</c:v>
                </c:pt>
                <c:pt idx="5">
                  <c:v>4.1004987319724351E-3</c:v>
                </c:pt>
                <c:pt idx="6">
                  <c:v>4.9203792319724351E-3</c:v>
                </c:pt>
                <c:pt idx="7">
                  <c:v>5.7402597319724351E-3</c:v>
                </c:pt>
                <c:pt idx="8">
                  <c:v>6.5601402319724351E-3</c:v>
                </c:pt>
                <c:pt idx="9">
                  <c:v>7.3800207319724351E-3</c:v>
                </c:pt>
                <c:pt idx="10">
                  <c:v>8.1999012319724351E-3</c:v>
                </c:pt>
                <c:pt idx="11">
                  <c:v>8.1999012319724351E-3</c:v>
                </c:pt>
                <c:pt idx="12">
                  <c:v>9.0197817319724351E-3</c:v>
                </c:pt>
                <c:pt idx="13">
                  <c:v>9.8396622319724351E-3</c:v>
                </c:pt>
                <c:pt idx="14">
                  <c:v>1.0659542731972435E-2</c:v>
                </c:pt>
                <c:pt idx="15">
                  <c:v>1.1479423231972435E-2</c:v>
                </c:pt>
                <c:pt idx="16">
                  <c:v>1.2299303731972435E-2</c:v>
                </c:pt>
                <c:pt idx="17">
                  <c:v>1.3119184231972435E-2</c:v>
                </c:pt>
                <c:pt idx="18">
                  <c:v>1.3939064731972435E-2</c:v>
                </c:pt>
                <c:pt idx="19">
                  <c:v>1.4758945231972435E-2</c:v>
                </c:pt>
                <c:pt idx="20">
                  <c:v>1.5578825731972435E-2</c:v>
                </c:pt>
                <c:pt idx="21">
                  <c:v>1.6398706231972433E-2</c:v>
                </c:pt>
                <c:pt idx="22">
                  <c:v>1.6398706231972433E-2</c:v>
                </c:pt>
                <c:pt idx="23">
                  <c:v>1.7218586731972435E-2</c:v>
                </c:pt>
                <c:pt idx="24">
                  <c:v>1.8038467231972433E-2</c:v>
                </c:pt>
                <c:pt idx="25">
                  <c:v>1.8858347731972435E-2</c:v>
                </c:pt>
                <c:pt idx="26">
                  <c:v>1.9678228231972433E-2</c:v>
                </c:pt>
                <c:pt idx="27">
                  <c:v>2.0498108731972435E-2</c:v>
                </c:pt>
                <c:pt idx="28">
                  <c:v>2.1317989231972433E-2</c:v>
                </c:pt>
                <c:pt idx="29">
                  <c:v>2.2137869731972435E-2</c:v>
                </c:pt>
                <c:pt idx="30">
                  <c:v>2.2957750231972433E-2</c:v>
                </c:pt>
                <c:pt idx="31">
                  <c:v>2.3777630731972435E-2</c:v>
                </c:pt>
                <c:pt idx="32">
                  <c:v>2.4597511231972433E-2</c:v>
                </c:pt>
                <c:pt idx="33">
                  <c:v>2.4597511231972433E-2</c:v>
                </c:pt>
                <c:pt idx="34">
                  <c:v>2.5417391731972435E-2</c:v>
                </c:pt>
                <c:pt idx="35">
                  <c:v>2.6237272231972433E-2</c:v>
                </c:pt>
                <c:pt idx="36">
                  <c:v>2.7057152731972435E-2</c:v>
                </c:pt>
                <c:pt idx="37">
                  <c:v>2.7877033231972433E-2</c:v>
                </c:pt>
                <c:pt idx="38">
                  <c:v>2.8696913731972435E-2</c:v>
                </c:pt>
                <c:pt idx="39">
                  <c:v>2.9516794231972433E-2</c:v>
                </c:pt>
                <c:pt idx="40">
                  <c:v>3.0336674731972435E-2</c:v>
                </c:pt>
                <c:pt idx="41">
                  <c:v>3.1156555231972433E-2</c:v>
                </c:pt>
                <c:pt idx="42">
                  <c:v>3.1976435731972432E-2</c:v>
                </c:pt>
                <c:pt idx="43">
                  <c:v>3.2796316231972433E-2</c:v>
                </c:pt>
                <c:pt idx="44">
                  <c:v>3.2796316231972433E-2</c:v>
                </c:pt>
                <c:pt idx="45">
                  <c:v>3.3616196731972435E-2</c:v>
                </c:pt>
                <c:pt idx="46">
                  <c:v>3.4436077231972437E-2</c:v>
                </c:pt>
                <c:pt idx="47">
                  <c:v>3.5255957731972432E-2</c:v>
                </c:pt>
                <c:pt idx="48">
                  <c:v>3.6075838231972426E-2</c:v>
                </c:pt>
                <c:pt idx="49">
                  <c:v>3.6895718731972421E-2</c:v>
                </c:pt>
                <c:pt idx="50">
                  <c:v>3.7715599231972423E-2</c:v>
                </c:pt>
                <c:pt idx="51">
                  <c:v>3.8535479731972418E-2</c:v>
                </c:pt>
                <c:pt idx="52">
                  <c:v>3.9355360231972419E-2</c:v>
                </c:pt>
                <c:pt idx="53">
                  <c:v>4.0175240731972421E-2</c:v>
                </c:pt>
                <c:pt idx="54">
                  <c:v>4.0995121231972423E-2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-2.9500000000000001E-4</c:v>
                </c:pt>
                <c:pt idx="2">
                  <c:v>-2.9E-4</c:v>
                </c:pt>
                <c:pt idx="3">
                  <c:v>-2.8499999999999999E-4</c:v>
                </c:pt>
                <c:pt idx="4">
                  <c:v>-2.7900000000000001E-4</c:v>
                </c:pt>
                <c:pt idx="5">
                  <c:v>-2.7399999999999999E-4</c:v>
                </c:pt>
                <c:pt idx="6">
                  <c:v>-2.6800000000000001E-4</c:v>
                </c:pt>
                <c:pt idx="7">
                  <c:v>-2.63E-4</c:v>
                </c:pt>
                <c:pt idx="8">
                  <c:v>-2.5700000000000001E-4</c:v>
                </c:pt>
                <c:pt idx="9">
                  <c:v>-2.5300000000000002E-4</c:v>
                </c:pt>
                <c:pt idx="10">
                  <c:v>-2.5700000000000001E-4</c:v>
                </c:pt>
                <c:pt idx="11">
                  <c:v>-2.5700000000000001E-4</c:v>
                </c:pt>
                <c:pt idx="12">
                  <c:v>-2.61E-4</c:v>
                </c:pt>
                <c:pt idx="13">
                  <c:v>-2.6499999999999999E-4</c:v>
                </c:pt>
                <c:pt idx="14">
                  <c:v>-2.6899999999999998E-4</c:v>
                </c:pt>
                <c:pt idx="15">
                  <c:v>-2.7300000000000002E-4</c:v>
                </c:pt>
                <c:pt idx="16">
                  <c:v>-2.7700000000000001E-4</c:v>
                </c:pt>
                <c:pt idx="17">
                  <c:v>-2.8200000000000002E-4</c:v>
                </c:pt>
                <c:pt idx="18">
                  <c:v>-2.8600000000000001E-4</c:v>
                </c:pt>
                <c:pt idx="19">
                  <c:v>-2.9E-4</c:v>
                </c:pt>
                <c:pt idx="20">
                  <c:v>-2.9399999999999999E-4</c:v>
                </c:pt>
                <c:pt idx="21">
                  <c:v>-2.9799999999999998E-4</c:v>
                </c:pt>
                <c:pt idx="22">
                  <c:v>-2.9799999999999998E-4</c:v>
                </c:pt>
                <c:pt idx="23">
                  <c:v>-3.0200000000000002E-4</c:v>
                </c:pt>
                <c:pt idx="24">
                  <c:v>-3.0600000000000001E-4</c:v>
                </c:pt>
                <c:pt idx="25">
                  <c:v>-3.1100000000000002E-4</c:v>
                </c:pt>
                <c:pt idx="26">
                  <c:v>-3.1500000000000001E-4</c:v>
                </c:pt>
                <c:pt idx="27">
                  <c:v>-3.19E-4</c:v>
                </c:pt>
                <c:pt idx="28">
                  <c:v>-3.2299999999999999E-4</c:v>
                </c:pt>
                <c:pt idx="29">
                  <c:v>-3.2699999999999998E-4</c:v>
                </c:pt>
                <c:pt idx="30">
                  <c:v>-3.3199999999999999E-4</c:v>
                </c:pt>
                <c:pt idx="31">
                  <c:v>-3.3599999999999998E-4</c:v>
                </c:pt>
                <c:pt idx="32">
                  <c:v>-3.4000000000000002E-4</c:v>
                </c:pt>
                <c:pt idx="33">
                  <c:v>-3.4000000000000002E-4</c:v>
                </c:pt>
                <c:pt idx="34">
                  <c:v>-3.4499999999999998E-4</c:v>
                </c:pt>
                <c:pt idx="35">
                  <c:v>-3.4900000000000003E-4</c:v>
                </c:pt>
                <c:pt idx="36">
                  <c:v>-3.5300000000000002E-4</c:v>
                </c:pt>
                <c:pt idx="37">
                  <c:v>-3.5799999999999997E-4</c:v>
                </c:pt>
                <c:pt idx="38">
                  <c:v>-3.6299999999999999E-4</c:v>
                </c:pt>
                <c:pt idx="39">
                  <c:v>-3.6699999999999998E-4</c:v>
                </c:pt>
                <c:pt idx="40">
                  <c:v>-3.7300000000000001E-4</c:v>
                </c:pt>
                <c:pt idx="41">
                  <c:v>-3.7800000000000003E-4</c:v>
                </c:pt>
                <c:pt idx="42">
                  <c:v>-3.8299999999999999E-4</c:v>
                </c:pt>
                <c:pt idx="43">
                  <c:v>-3.88E-4</c:v>
                </c:pt>
                <c:pt idx="44">
                  <c:v>-3.88E-4</c:v>
                </c:pt>
                <c:pt idx="45">
                  <c:v>-3.9399999999999998E-4</c:v>
                </c:pt>
                <c:pt idx="46">
                  <c:v>-3.9899999999999999E-4</c:v>
                </c:pt>
                <c:pt idx="47">
                  <c:v>-4.0400000000000001E-4</c:v>
                </c:pt>
                <c:pt idx="48">
                  <c:v>-4.0999999999999999E-4</c:v>
                </c:pt>
                <c:pt idx="49">
                  <c:v>-4.17E-4</c:v>
                </c:pt>
                <c:pt idx="50">
                  <c:v>-4.2299999999999998E-4</c:v>
                </c:pt>
                <c:pt idx="51">
                  <c:v>-4.2900000000000002E-4</c:v>
                </c:pt>
                <c:pt idx="52">
                  <c:v>-4.3600000000000003E-4</c:v>
                </c:pt>
                <c:pt idx="53">
                  <c:v>-4.44E-4</c:v>
                </c:pt>
                <c:pt idx="54">
                  <c:v>-4.5100000000000001E-4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1.096231972434618E-6</c:v>
                </c:pt>
                <c:pt idx="1">
                  <c:v>6.8432996530576784E-4</c:v>
                </c:pt>
                <c:pt idx="2">
                  <c:v>1.367563698639101E-3</c:v>
                </c:pt>
                <c:pt idx="3">
                  <c:v>2.0507974319724344E-3</c:v>
                </c:pt>
                <c:pt idx="4">
                  <c:v>2.7340311653057678E-3</c:v>
                </c:pt>
                <c:pt idx="5">
                  <c:v>3.4172648986391008E-3</c:v>
                </c:pt>
                <c:pt idx="6">
                  <c:v>4.1004986319724346E-3</c:v>
                </c:pt>
                <c:pt idx="7">
                  <c:v>4.783732365305768E-3</c:v>
                </c:pt>
                <c:pt idx="8">
                  <c:v>5.4669660986391005E-3</c:v>
                </c:pt>
                <c:pt idx="9">
                  <c:v>6.1501998319724339E-3</c:v>
                </c:pt>
                <c:pt idx="10">
                  <c:v>6.8334335653057673E-3</c:v>
                </c:pt>
                <c:pt idx="11">
                  <c:v>7.5166672986390999E-3</c:v>
                </c:pt>
                <c:pt idx="12">
                  <c:v>8.1999010319724341E-3</c:v>
                </c:pt>
                <c:pt idx="13">
                  <c:v>8.8831347653057675E-3</c:v>
                </c:pt>
                <c:pt idx="14">
                  <c:v>9.5663684986391009E-3</c:v>
                </c:pt>
                <c:pt idx="15">
                  <c:v>1.0249602231972434E-2</c:v>
                </c:pt>
                <c:pt idx="16">
                  <c:v>1.0932835965305768E-2</c:v>
                </c:pt>
                <c:pt idx="17">
                  <c:v>1.1616069698639099E-2</c:v>
                </c:pt>
                <c:pt idx="18">
                  <c:v>1.2299303431972433E-2</c:v>
                </c:pt>
                <c:pt idx="19">
                  <c:v>1.2982537165305766E-2</c:v>
                </c:pt>
                <c:pt idx="20">
                  <c:v>1.36657708986391E-2</c:v>
                </c:pt>
                <c:pt idx="21">
                  <c:v>1.4349004631972433E-2</c:v>
                </c:pt>
                <c:pt idx="22">
                  <c:v>1.5032238365305766E-2</c:v>
                </c:pt>
                <c:pt idx="23">
                  <c:v>1.5715472098639098E-2</c:v>
                </c:pt>
                <c:pt idx="24">
                  <c:v>1.6398705831972431E-2</c:v>
                </c:pt>
                <c:pt idx="25">
                  <c:v>1.7081939565305768E-2</c:v>
                </c:pt>
                <c:pt idx="26">
                  <c:v>1.7765173298639102E-2</c:v>
                </c:pt>
                <c:pt idx="27">
                  <c:v>1.8448407031972439E-2</c:v>
                </c:pt>
                <c:pt idx="28">
                  <c:v>1.9131640765305772E-2</c:v>
                </c:pt>
                <c:pt idx="29">
                  <c:v>1.9814874498639105E-2</c:v>
                </c:pt>
                <c:pt idx="30">
                  <c:v>2.0498108231972442E-2</c:v>
                </c:pt>
                <c:pt idx="31">
                  <c:v>2.1181341965305776E-2</c:v>
                </c:pt>
                <c:pt idx="32">
                  <c:v>2.1864575698639113E-2</c:v>
                </c:pt>
                <c:pt idx="33">
                  <c:v>2.2547809431972446E-2</c:v>
                </c:pt>
                <c:pt idx="34">
                  <c:v>2.3231043165305783E-2</c:v>
                </c:pt>
                <c:pt idx="35">
                  <c:v>2.3914276898639116E-2</c:v>
                </c:pt>
                <c:pt idx="36">
                  <c:v>2.4597510631972453E-2</c:v>
                </c:pt>
                <c:pt idx="37">
                  <c:v>2.5280744365305786E-2</c:v>
                </c:pt>
                <c:pt idx="38">
                  <c:v>2.596397809863912E-2</c:v>
                </c:pt>
                <c:pt idx="39">
                  <c:v>2.6647211831972457E-2</c:v>
                </c:pt>
                <c:pt idx="40">
                  <c:v>2.733044556530579E-2</c:v>
                </c:pt>
                <c:pt idx="41">
                  <c:v>2.8013679298639127E-2</c:v>
                </c:pt>
                <c:pt idx="42">
                  <c:v>2.869691303197246E-2</c:v>
                </c:pt>
                <c:pt idx="43">
                  <c:v>2.9380146765305797E-2</c:v>
                </c:pt>
                <c:pt idx="44">
                  <c:v>3.0063380498639131E-2</c:v>
                </c:pt>
                <c:pt idx="45">
                  <c:v>3.0746614231972468E-2</c:v>
                </c:pt>
                <c:pt idx="46">
                  <c:v>3.1429847965305804E-2</c:v>
                </c:pt>
                <c:pt idx="47">
                  <c:v>3.2113081698639134E-2</c:v>
                </c:pt>
                <c:pt idx="48">
                  <c:v>3.2796315431972464E-2</c:v>
                </c:pt>
                <c:pt idx="49">
                  <c:v>3.3479549165305801E-2</c:v>
                </c:pt>
                <c:pt idx="50">
                  <c:v>3.4162782898639131E-2</c:v>
                </c:pt>
                <c:pt idx="51">
                  <c:v>3.4846016631972461E-2</c:v>
                </c:pt>
                <c:pt idx="52">
                  <c:v>3.5529250365305791E-2</c:v>
                </c:pt>
                <c:pt idx="53">
                  <c:v>3.6212484098639121E-2</c:v>
                </c:pt>
                <c:pt idx="54">
                  <c:v>3.6895717831972458E-2</c:v>
                </c:pt>
                <c:pt idx="55">
                  <c:v>3.7578951565305788E-2</c:v>
                </c:pt>
                <c:pt idx="56">
                  <c:v>3.8262185298639118E-2</c:v>
                </c:pt>
                <c:pt idx="57">
                  <c:v>3.8945419031972447E-2</c:v>
                </c:pt>
                <c:pt idx="58">
                  <c:v>3.9628652765305784E-2</c:v>
                </c:pt>
                <c:pt idx="59">
                  <c:v>4.0311886498639114E-2</c:v>
                </c:pt>
                <c:pt idx="60">
                  <c:v>4.099512023197243E-2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-2.7900000000000001E-4</c:v>
                </c:pt>
                <c:pt idx="2">
                  <c:v>-2.7500000000000002E-4</c:v>
                </c:pt>
                <c:pt idx="3">
                  <c:v>-2.7099999999999997E-4</c:v>
                </c:pt>
                <c:pt idx="4">
                  <c:v>-2.6699999999999998E-4</c:v>
                </c:pt>
                <c:pt idx="5">
                  <c:v>-2.6400000000000002E-4</c:v>
                </c:pt>
                <c:pt idx="6">
                  <c:v>-2.5999999999999998E-4</c:v>
                </c:pt>
                <c:pt idx="7">
                  <c:v>-2.5599999999999999E-4</c:v>
                </c:pt>
                <c:pt idx="8">
                  <c:v>-2.52E-4</c:v>
                </c:pt>
                <c:pt idx="9">
                  <c:v>-2.4800000000000001E-4</c:v>
                </c:pt>
                <c:pt idx="10">
                  <c:v>-2.4399999999999999E-4</c:v>
                </c:pt>
                <c:pt idx="11">
                  <c:v>-2.42E-4</c:v>
                </c:pt>
                <c:pt idx="12">
                  <c:v>-2.4499999999999999E-4</c:v>
                </c:pt>
                <c:pt idx="13">
                  <c:v>-2.4800000000000001E-4</c:v>
                </c:pt>
                <c:pt idx="14">
                  <c:v>-2.5099999999999998E-4</c:v>
                </c:pt>
                <c:pt idx="15">
                  <c:v>-2.5300000000000002E-4</c:v>
                </c:pt>
                <c:pt idx="16">
                  <c:v>-2.5599999999999999E-4</c:v>
                </c:pt>
                <c:pt idx="17">
                  <c:v>-2.5900000000000001E-4</c:v>
                </c:pt>
                <c:pt idx="18">
                  <c:v>-2.6200000000000003E-4</c:v>
                </c:pt>
                <c:pt idx="19">
                  <c:v>-2.6499999999999999E-4</c:v>
                </c:pt>
                <c:pt idx="20">
                  <c:v>-2.6800000000000001E-4</c:v>
                </c:pt>
                <c:pt idx="21">
                  <c:v>-2.7E-4</c:v>
                </c:pt>
                <c:pt idx="22">
                  <c:v>-2.7300000000000002E-4</c:v>
                </c:pt>
                <c:pt idx="23">
                  <c:v>-2.7599999999999999E-4</c:v>
                </c:pt>
                <c:pt idx="24">
                  <c:v>-2.7900000000000001E-4</c:v>
                </c:pt>
                <c:pt idx="25">
                  <c:v>-2.8200000000000002E-4</c:v>
                </c:pt>
                <c:pt idx="26">
                  <c:v>-2.8499999999999999E-4</c:v>
                </c:pt>
                <c:pt idx="27">
                  <c:v>-2.8800000000000001E-4</c:v>
                </c:pt>
                <c:pt idx="28">
                  <c:v>-2.9E-4</c:v>
                </c:pt>
                <c:pt idx="29">
                  <c:v>-2.9300000000000002E-4</c:v>
                </c:pt>
                <c:pt idx="30">
                  <c:v>-2.9599999999999998E-4</c:v>
                </c:pt>
                <c:pt idx="31">
                  <c:v>-2.99E-4</c:v>
                </c:pt>
                <c:pt idx="32">
                  <c:v>-3.0200000000000002E-4</c:v>
                </c:pt>
                <c:pt idx="33">
                  <c:v>-3.0499999999999999E-4</c:v>
                </c:pt>
                <c:pt idx="34">
                  <c:v>-3.0800000000000001E-4</c:v>
                </c:pt>
                <c:pt idx="35">
                  <c:v>-3.1100000000000002E-4</c:v>
                </c:pt>
                <c:pt idx="36">
                  <c:v>-3.1399999999999999E-4</c:v>
                </c:pt>
                <c:pt idx="37">
                  <c:v>-3.1700000000000001E-4</c:v>
                </c:pt>
                <c:pt idx="38">
                  <c:v>-3.2000000000000003E-4</c:v>
                </c:pt>
                <c:pt idx="39">
                  <c:v>-3.2299999999999999E-4</c:v>
                </c:pt>
                <c:pt idx="40">
                  <c:v>-3.2600000000000001E-4</c:v>
                </c:pt>
                <c:pt idx="41">
                  <c:v>-3.2899999999999997E-4</c:v>
                </c:pt>
                <c:pt idx="42">
                  <c:v>-3.3199999999999999E-4</c:v>
                </c:pt>
                <c:pt idx="43">
                  <c:v>-3.3500000000000001E-4</c:v>
                </c:pt>
                <c:pt idx="44">
                  <c:v>-3.39E-4</c:v>
                </c:pt>
                <c:pt idx="45">
                  <c:v>-3.4299999999999999E-4</c:v>
                </c:pt>
                <c:pt idx="46">
                  <c:v>-3.4600000000000001E-4</c:v>
                </c:pt>
                <c:pt idx="47">
                  <c:v>-3.5E-4</c:v>
                </c:pt>
                <c:pt idx="48">
                  <c:v>-3.5399999999999999E-4</c:v>
                </c:pt>
                <c:pt idx="49">
                  <c:v>-3.57E-4</c:v>
                </c:pt>
                <c:pt idx="50">
                  <c:v>-3.6099999999999999E-4</c:v>
                </c:pt>
                <c:pt idx="51">
                  <c:v>-3.6400000000000001E-4</c:v>
                </c:pt>
                <c:pt idx="52">
                  <c:v>-3.68E-4</c:v>
                </c:pt>
                <c:pt idx="53">
                  <c:v>-3.7300000000000001E-4</c:v>
                </c:pt>
                <c:pt idx="54">
                  <c:v>-3.77E-4</c:v>
                </c:pt>
                <c:pt idx="55">
                  <c:v>-3.8099999999999999E-4</c:v>
                </c:pt>
                <c:pt idx="56">
                  <c:v>-3.86E-4</c:v>
                </c:pt>
                <c:pt idx="57">
                  <c:v>-3.8999999999999999E-4</c:v>
                </c:pt>
                <c:pt idx="58">
                  <c:v>-3.9500000000000001E-4</c:v>
                </c:pt>
                <c:pt idx="59">
                  <c:v>-4.0000000000000002E-4</c:v>
                </c:pt>
                <c:pt idx="60">
                  <c:v>-4.0499999999999998E-4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1.096231972434618E-6</c:v>
                </c:pt>
                <c:pt idx="1">
                  <c:v>8.2097673197243466E-4</c:v>
                </c:pt>
                <c:pt idx="2">
                  <c:v>1.6408572319724347E-3</c:v>
                </c:pt>
                <c:pt idx="3">
                  <c:v>2.4607377319724347E-3</c:v>
                </c:pt>
                <c:pt idx="4">
                  <c:v>3.2806182319724347E-3</c:v>
                </c:pt>
                <c:pt idx="5">
                  <c:v>4.1004987319724351E-3</c:v>
                </c:pt>
                <c:pt idx="6">
                  <c:v>4.9203792319724351E-3</c:v>
                </c:pt>
                <c:pt idx="7">
                  <c:v>5.7402597319724351E-3</c:v>
                </c:pt>
                <c:pt idx="8">
                  <c:v>6.5601402319724351E-3</c:v>
                </c:pt>
                <c:pt idx="9">
                  <c:v>7.3800207319724351E-3</c:v>
                </c:pt>
                <c:pt idx="10">
                  <c:v>8.1999012319724351E-3</c:v>
                </c:pt>
                <c:pt idx="11">
                  <c:v>8.1999012319724351E-3</c:v>
                </c:pt>
                <c:pt idx="12">
                  <c:v>9.0197817319724351E-3</c:v>
                </c:pt>
                <c:pt idx="13">
                  <c:v>9.8396622319724351E-3</c:v>
                </c:pt>
                <c:pt idx="14">
                  <c:v>1.0659542731972435E-2</c:v>
                </c:pt>
                <c:pt idx="15">
                  <c:v>1.1479423231972435E-2</c:v>
                </c:pt>
                <c:pt idx="16">
                  <c:v>1.2299303731972435E-2</c:v>
                </c:pt>
                <c:pt idx="17">
                  <c:v>1.3119184231972435E-2</c:v>
                </c:pt>
                <c:pt idx="18">
                  <c:v>1.3939064731972435E-2</c:v>
                </c:pt>
                <c:pt idx="19">
                  <c:v>1.4758945231972435E-2</c:v>
                </c:pt>
                <c:pt idx="20">
                  <c:v>1.5578825731972435E-2</c:v>
                </c:pt>
                <c:pt idx="21">
                  <c:v>1.6398706231972433E-2</c:v>
                </c:pt>
                <c:pt idx="22">
                  <c:v>1.6398706231972433E-2</c:v>
                </c:pt>
                <c:pt idx="23">
                  <c:v>1.7218586731972435E-2</c:v>
                </c:pt>
                <c:pt idx="24">
                  <c:v>1.8038467231972433E-2</c:v>
                </c:pt>
                <c:pt idx="25">
                  <c:v>1.8858347731972435E-2</c:v>
                </c:pt>
                <c:pt idx="26">
                  <c:v>1.9678228231972433E-2</c:v>
                </c:pt>
                <c:pt idx="27">
                  <c:v>2.0498108731972435E-2</c:v>
                </c:pt>
                <c:pt idx="28">
                  <c:v>2.1317989231972433E-2</c:v>
                </c:pt>
                <c:pt idx="29">
                  <c:v>2.2137869731972435E-2</c:v>
                </c:pt>
                <c:pt idx="30">
                  <c:v>2.2957750231972433E-2</c:v>
                </c:pt>
                <c:pt idx="31">
                  <c:v>2.3777630731972435E-2</c:v>
                </c:pt>
                <c:pt idx="32">
                  <c:v>2.4597511231972433E-2</c:v>
                </c:pt>
                <c:pt idx="33">
                  <c:v>2.4597511231972433E-2</c:v>
                </c:pt>
                <c:pt idx="34">
                  <c:v>2.5417391731972435E-2</c:v>
                </c:pt>
                <c:pt idx="35">
                  <c:v>2.6237272231972433E-2</c:v>
                </c:pt>
                <c:pt idx="36">
                  <c:v>2.7057152731972435E-2</c:v>
                </c:pt>
                <c:pt idx="37">
                  <c:v>2.7877033231972433E-2</c:v>
                </c:pt>
                <c:pt idx="38">
                  <c:v>2.8696913731972435E-2</c:v>
                </c:pt>
                <c:pt idx="39">
                  <c:v>2.9516794231972433E-2</c:v>
                </c:pt>
                <c:pt idx="40">
                  <c:v>3.0336674731972435E-2</c:v>
                </c:pt>
                <c:pt idx="41">
                  <c:v>3.1156555231972433E-2</c:v>
                </c:pt>
                <c:pt idx="42">
                  <c:v>3.1976435731972432E-2</c:v>
                </c:pt>
                <c:pt idx="43">
                  <c:v>3.2796316231972433E-2</c:v>
                </c:pt>
                <c:pt idx="44">
                  <c:v>3.2796316231972433E-2</c:v>
                </c:pt>
                <c:pt idx="45">
                  <c:v>3.3616196731972435E-2</c:v>
                </c:pt>
                <c:pt idx="46">
                  <c:v>3.4436077231972437E-2</c:v>
                </c:pt>
                <c:pt idx="47">
                  <c:v>3.5255957731972432E-2</c:v>
                </c:pt>
                <c:pt idx="48">
                  <c:v>3.6075838231972426E-2</c:v>
                </c:pt>
                <c:pt idx="49">
                  <c:v>3.6895718731972421E-2</c:v>
                </c:pt>
                <c:pt idx="50">
                  <c:v>3.7715599231972423E-2</c:v>
                </c:pt>
                <c:pt idx="51">
                  <c:v>3.8535479731972418E-2</c:v>
                </c:pt>
                <c:pt idx="52">
                  <c:v>3.9355360231972419E-2</c:v>
                </c:pt>
                <c:pt idx="53">
                  <c:v>4.0175240731972421E-2</c:v>
                </c:pt>
                <c:pt idx="54">
                  <c:v>4.0995121231972423E-2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-2.7799999999999998E-4</c:v>
                </c:pt>
                <c:pt idx="2">
                  <c:v>-2.7399999999999999E-4</c:v>
                </c:pt>
                <c:pt idx="3">
                  <c:v>-2.6899999999999998E-4</c:v>
                </c:pt>
                <c:pt idx="4">
                  <c:v>-2.6400000000000002E-4</c:v>
                </c:pt>
                <c:pt idx="5">
                  <c:v>-2.5999999999999998E-4</c:v>
                </c:pt>
                <c:pt idx="6">
                  <c:v>-2.5500000000000002E-4</c:v>
                </c:pt>
                <c:pt idx="7">
                  <c:v>-2.5000000000000001E-4</c:v>
                </c:pt>
                <c:pt idx="8">
                  <c:v>-2.4600000000000002E-4</c:v>
                </c:pt>
                <c:pt idx="9">
                  <c:v>-2.42E-4</c:v>
                </c:pt>
                <c:pt idx="10">
                  <c:v>-2.4499999999999999E-4</c:v>
                </c:pt>
                <c:pt idx="11">
                  <c:v>-2.4499999999999999E-4</c:v>
                </c:pt>
                <c:pt idx="12">
                  <c:v>-2.4800000000000001E-4</c:v>
                </c:pt>
                <c:pt idx="13">
                  <c:v>-2.52E-4</c:v>
                </c:pt>
                <c:pt idx="14">
                  <c:v>-2.5500000000000002E-4</c:v>
                </c:pt>
                <c:pt idx="15">
                  <c:v>-2.5900000000000001E-4</c:v>
                </c:pt>
                <c:pt idx="16">
                  <c:v>-2.6200000000000003E-4</c:v>
                </c:pt>
                <c:pt idx="17">
                  <c:v>-2.6499999999999999E-4</c:v>
                </c:pt>
                <c:pt idx="18">
                  <c:v>-2.6899999999999998E-4</c:v>
                </c:pt>
                <c:pt idx="19">
                  <c:v>-2.72E-4</c:v>
                </c:pt>
                <c:pt idx="20">
                  <c:v>-2.7500000000000002E-4</c:v>
                </c:pt>
                <c:pt idx="21">
                  <c:v>-2.7900000000000001E-4</c:v>
                </c:pt>
                <c:pt idx="22">
                  <c:v>-2.7900000000000001E-4</c:v>
                </c:pt>
                <c:pt idx="23">
                  <c:v>-2.8200000000000002E-4</c:v>
                </c:pt>
                <c:pt idx="24">
                  <c:v>-2.8600000000000001E-4</c:v>
                </c:pt>
                <c:pt idx="25">
                  <c:v>-2.8899999999999998E-4</c:v>
                </c:pt>
                <c:pt idx="26">
                  <c:v>-2.9300000000000002E-4</c:v>
                </c:pt>
                <c:pt idx="27">
                  <c:v>-2.9599999999999998E-4</c:v>
                </c:pt>
                <c:pt idx="28">
                  <c:v>-2.9999999999999997E-4</c:v>
                </c:pt>
                <c:pt idx="29">
                  <c:v>-3.0299999999999999E-4</c:v>
                </c:pt>
                <c:pt idx="30">
                  <c:v>-3.0699999999999998E-4</c:v>
                </c:pt>
                <c:pt idx="31">
                  <c:v>-3.1E-4</c:v>
                </c:pt>
                <c:pt idx="32">
                  <c:v>-3.1399999999999999E-4</c:v>
                </c:pt>
                <c:pt idx="33">
                  <c:v>-3.1399999999999999E-4</c:v>
                </c:pt>
                <c:pt idx="34">
                  <c:v>-3.1700000000000001E-4</c:v>
                </c:pt>
                <c:pt idx="35">
                  <c:v>-3.21E-4</c:v>
                </c:pt>
                <c:pt idx="36">
                  <c:v>-3.2499999999999999E-4</c:v>
                </c:pt>
                <c:pt idx="37">
                  <c:v>-3.28E-4</c:v>
                </c:pt>
                <c:pt idx="38">
                  <c:v>-3.3199999999999999E-4</c:v>
                </c:pt>
                <c:pt idx="39">
                  <c:v>-3.3599999999999998E-4</c:v>
                </c:pt>
                <c:pt idx="40">
                  <c:v>-3.4099999999999999E-4</c:v>
                </c:pt>
                <c:pt idx="41">
                  <c:v>-3.4499999999999998E-4</c:v>
                </c:pt>
                <c:pt idx="42">
                  <c:v>-3.4900000000000003E-4</c:v>
                </c:pt>
                <c:pt idx="43">
                  <c:v>-3.5399999999999999E-4</c:v>
                </c:pt>
                <c:pt idx="44">
                  <c:v>-3.5399999999999999E-4</c:v>
                </c:pt>
                <c:pt idx="45">
                  <c:v>-3.5799999999999997E-4</c:v>
                </c:pt>
                <c:pt idx="46">
                  <c:v>-3.6200000000000002E-4</c:v>
                </c:pt>
                <c:pt idx="47">
                  <c:v>-3.6699999999999998E-4</c:v>
                </c:pt>
                <c:pt idx="48">
                  <c:v>-3.7199999999999999E-4</c:v>
                </c:pt>
                <c:pt idx="49">
                  <c:v>-3.77E-4</c:v>
                </c:pt>
                <c:pt idx="50">
                  <c:v>-3.8299999999999999E-4</c:v>
                </c:pt>
                <c:pt idx="51">
                  <c:v>-3.88E-4</c:v>
                </c:pt>
                <c:pt idx="52">
                  <c:v>-3.9300000000000001E-4</c:v>
                </c:pt>
                <c:pt idx="53">
                  <c:v>-4.0000000000000002E-4</c:v>
                </c:pt>
                <c:pt idx="54">
                  <c:v>-4.06E-4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1.096231972434618E-6</c:v>
                </c:pt>
                <c:pt idx="1">
                  <c:v>6.8432996530576784E-4</c:v>
                </c:pt>
                <c:pt idx="2">
                  <c:v>1.367563698639101E-3</c:v>
                </c:pt>
                <c:pt idx="3">
                  <c:v>2.0507974319724344E-3</c:v>
                </c:pt>
                <c:pt idx="4">
                  <c:v>2.7340311653057678E-3</c:v>
                </c:pt>
                <c:pt idx="5">
                  <c:v>3.4172648986391008E-3</c:v>
                </c:pt>
                <c:pt idx="6">
                  <c:v>4.1004986319724346E-3</c:v>
                </c:pt>
                <c:pt idx="7">
                  <c:v>4.783732365305768E-3</c:v>
                </c:pt>
                <c:pt idx="8">
                  <c:v>5.4669660986391005E-3</c:v>
                </c:pt>
                <c:pt idx="9">
                  <c:v>6.1501998319724339E-3</c:v>
                </c:pt>
                <c:pt idx="10">
                  <c:v>6.8334335653057673E-3</c:v>
                </c:pt>
                <c:pt idx="11">
                  <c:v>7.5166672986390999E-3</c:v>
                </c:pt>
                <c:pt idx="12">
                  <c:v>8.1999010319724341E-3</c:v>
                </c:pt>
                <c:pt idx="13">
                  <c:v>8.8831347653057675E-3</c:v>
                </c:pt>
                <c:pt idx="14">
                  <c:v>9.5663684986391009E-3</c:v>
                </c:pt>
                <c:pt idx="15">
                  <c:v>1.0249602231972434E-2</c:v>
                </c:pt>
                <c:pt idx="16">
                  <c:v>1.0932835965305768E-2</c:v>
                </c:pt>
                <c:pt idx="17">
                  <c:v>1.1616069698639099E-2</c:v>
                </c:pt>
                <c:pt idx="18">
                  <c:v>1.2299303431972433E-2</c:v>
                </c:pt>
                <c:pt idx="19">
                  <c:v>1.2982537165305766E-2</c:v>
                </c:pt>
                <c:pt idx="20">
                  <c:v>1.36657708986391E-2</c:v>
                </c:pt>
                <c:pt idx="21">
                  <c:v>1.4349004631972433E-2</c:v>
                </c:pt>
                <c:pt idx="22">
                  <c:v>1.5032238365305766E-2</c:v>
                </c:pt>
                <c:pt idx="23">
                  <c:v>1.5715472098639098E-2</c:v>
                </c:pt>
                <c:pt idx="24">
                  <c:v>1.6398705831972431E-2</c:v>
                </c:pt>
                <c:pt idx="25">
                  <c:v>1.7081939565305768E-2</c:v>
                </c:pt>
                <c:pt idx="26">
                  <c:v>1.7765173298639102E-2</c:v>
                </c:pt>
                <c:pt idx="27">
                  <c:v>1.8448407031972439E-2</c:v>
                </c:pt>
                <c:pt idx="28">
                  <c:v>1.9131640765305772E-2</c:v>
                </c:pt>
                <c:pt idx="29">
                  <c:v>1.9814874498639105E-2</c:v>
                </c:pt>
                <c:pt idx="30">
                  <c:v>2.0498108231972442E-2</c:v>
                </c:pt>
                <c:pt idx="31">
                  <c:v>2.1181341965305776E-2</c:v>
                </c:pt>
                <c:pt idx="32">
                  <c:v>2.1864575698639113E-2</c:v>
                </c:pt>
                <c:pt idx="33">
                  <c:v>2.2547809431972446E-2</c:v>
                </c:pt>
                <c:pt idx="34">
                  <c:v>2.3231043165305783E-2</c:v>
                </c:pt>
                <c:pt idx="35">
                  <c:v>2.3914276898639116E-2</c:v>
                </c:pt>
                <c:pt idx="36">
                  <c:v>2.4597510631972453E-2</c:v>
                </c:pt>
                <c:pt idx="37">
                  <c:v>2.5280744365305786E-2</c:v>
                </c:pt>
                <c:pt idx="38">
                  <c:v>2.596397809863912E-2</c:v>
                </c:pt>
                <c:pt idx="39">
                  <c:v>2.6647211831972457E-2</c:v>
                </c:pt>
                <c:pt idx="40">
                  <c:v>2.733044556530579E-2</c:v>
                </c:pt>
                <c:pt idx="41">
                  <c:v>2.8013679298639127E-2</c:v>
                </c:pt>
                <c:pt idx="42">
                  <c:v>2.869691303197246E-2</c:v>
                </c:pt>
                <c:pt idx="43">
                  <c:v>2.9380146765305797E-2</c:v>
                </c:pt>
                <c:pt idx="44">
                  <c:v>3.0063380498639131E-2</c:v>
                </c:pt>
                <c:pt idx="45">
                  <c:v>3.0746614231972468E-2</c:v>
                </c:pt>
                <c:pt idx="46">
                  <c:v>3.1429847965305804E-2</c:v>
                </c:pt>
                <c:pt idx="47">
                  <c:v>3.2113081698639134E-2</c:v>
                </c:pt>
                <c:pt idx="48">
                  <c:v>3.2796315431972464E-2</c:v>
                </c:pt>
                <c:pt idx="49">
                  <c:v>3.3479549165305801E-2</c:v>
                </c:pt>
                <c:pt idx="50">
                  <c:v>3.4162782898639131E-2</c:v>
                </c:pt>
                <c:pt idx="51">
                  <c:v>3.4846016631972461E-2</c:v>
                </c:pt>
                <c:pt idx="52">
                  <c:v>3.5529250365305791E-2</c:v>
                </c:pt>
                <c:pt idx="53">
                  <c:v>3.6212484098639121E-2</c:v>
                </c:pt>
                <c:pt idx="54">
                  <c:v>3.6895717831972458E-2</c:v>
                </c:pt>
                <c:pt idx="55">
                  <c:v>3.7578951565305788E-2</c:v>
                </c:pt>
                <c:pt idx="56">
                  <c:v>3.8262185298639118E-2</c:v>
                </c:pt>
                <c:pt idx="57">
                  <c:v>3.8945419031972447E-2</c:v>
                </c:pt>
                <c:pt idx="58">
                  <c:v>3.9628652765305784E-2</c:v>
                </c:pt>
                <c:pt idx="59">
                  <c:v>4.0311886498639114E-2</c:v>
                </c:pt>
                <c:pt idx="60">
                  <c:v>4.099512023197243E-2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-8.7999999999999998E-5</c:v>
                </c:pt>
                <c:pt idx="2">
                  <c:v>-9.1000000000000003E-5</c:v>
                </c:pt>
                <c:pt idx="3">
                  <c:v>-9.3999999999999994E-5</c:v>
                </c:pt>
                <c:pt idx="4">
                  <c:v>-9.7E-5</c:v>
                </c:pt>
                <c:pt idx="5">
                  <c:v>-1E-4</c:v>
                </c:pt>
                <c:pt idx="6">
                  <c:v>-1.03E-4</c:v>
                </c:pt>
                <c:pt idx="7">
                  <c:v>-1.06E-4</c:v>
                </c:pt>
                <c:pt idx="8">
                  <c:v>-1.08E-4</c:v>
                </c:pt>
                <c:pt idx="9">
                  <c:v>-1.11E-4</c:v>
                </c:pt>
                <c:pt idx="10">
                  <c:v>-1.1400000000000001E-4</c:v>
                </c:pt>
                <c:pt idx="11">
                  <c:v>-1.15E-4</c:v>
                </c:pt>
                <c:pt idx="12">
                  <c:v>-1.11E-4</c:v>
                </c:pt>
                <c:pt idx="13">
                  <c:v>-1.07E-4</c:v>
                </c:pt>
                <c:pt idx="14">
                  <c:v>-1.03E-4</c:v>
                </c:pt>
                <c:pt idx="15">
                  <c:v>-9.8999999999999994E-5</c:v>
                </c:pt>
                <c:pt idx="16">
                  <c:v>-9.6000000000000002E-5</c:v>
                </c:pt>
                <c:pt idx="17">
                  <c:v>-9.2E-5</c:v>
                </c:pt>
                <c:pt idx="18">
                  <c:v>-8.7999999999999998E-5</c:v>
                </c:pt>
                <c:pt idx="19">
                  <c:v>-8.3999999999999995E-5</c:v>
                </c:pt>
                <c:pt idx="20">
                  <c:v>-8.0000000000000007E-5</c:v>
                </c:pt>
                <c:pt idx="21">
                  <c:v>-7.6000000000000004E-5</c:v>
                </c:pt>
                <c:pt idx="22">
                  <c:v>-7.2000000000000002E-5</c:v>
                </c:pt>
                <c:pt idx="23">
                  <c:v>-6.7999999999999999E-5</c:v>
                </c:pt>
                <c:pt idx="24">
                  <c:v>-6.4999999999999994E-5</c:v>
                </c:pt>
                <c:pt idx="25">
                  <c:v>-6.0999999999999999E-5</c:v>
                </c:pt>
                <c:pt idx="26">
                  <c:v>-5.7000000000000003E-5</c:v>
                </c:pt>
                <c:pt idx="27">
                  <c:v>-5.3000000000000001E-5</c:v>
                </c:pt>
                <c:pt idx="28">
                  <c:v>-4.8999999999999998E-5</c:v>
                </c:pt>
                <c:pt idx="29">
                  <c:v>-4.5000000000000003E-5</c:v>
                </c:pt>
                <c:pt idx="30">
                  <c:v>-4.1E-5</c:v>
                </c:pt>
                <c:pt idx="31">
                  <c:v>-3.6999999999999998E-5</c:v>
                </c:pt>
                <c:pt idx="32">
                  <c:v>-3.3000000000000003E-5</c:v>
                </c:pt>
                <c:pt idx="33">
                  <c:v>-3.0000000000000001E-5</c:v>
                </c:pt>
                <c:pt idx="34">
                  <c:v>-2.5999999999999998E-5</c:v>
                </c:pt>
                <c:pt idx="35">
                  <c:v>-2.1999999999999999E-5</c:v>
                </c:pt>
                <c:pt idx="36">
                  <c:v>-1.8E-5</c:v>
                </c:pt>
                <c:pt idx="37">
                  <c:v>-1.4E-5</c:v>
                </c:pt>
                <c:pt idx="38">
                  <c:v>-1.0000000000000001E-5</c:v>
                </c:pt>
                <c:pt idx="39">
                  <c:v>-6.0000000000000002E-6</c:v>
                </c:pt>
                <c:pt idx="40">
                  <c:v>-1.9999999999999999E-6</c:v>
                </c:pt>
                <c:pt idx="41">
                  <c:v>3.0000000000000001E-6</c:v>
                </c:pt>
                <c:pt idx="42">
                  <c:v>6.9999999999999999E-6</c:v>
                </c:pt>
                <c:pt idx="43">
                  <c:v>1.1E-5</c:v>
                </c:pt>
                <c:pt idx="44">
                  <c:v>1.5999999999999999E-5</c:v>
                </c:pt>
                <c:pt idx="45">
                  <c:v>2.0000000000000002E-5</c:v>
                </c:pt>
                <c:pt idx="46">
                  <c:v>2.5000000000000001E-5</c:v>
                </c:pt>
                <c:pt idx="47">
                  <c:v>2.9E-5</c:v>
                </c:pt>
                <c:pt idx="48">
                  <c:v>3.4E-5</c:v>
                </c:pt>
                <c:pt idx="49">
                  <c:v>3.8000000000000002E-5</c:v>
                </c:pt>
                <c:pt idx="50">
                  <c:v>4.3000000000000002E-5</c:v>
                </c:pt>
                <c:pt idx="51">
                  <c:v>4.6999999999999997E-5</c:v>
                </c:pt>
                <c:pt idx="52">
                  <c:v>5.1E-5</c:v>
                </c:pt>
                <c:pt idx="53">
                  <c:v>5.7000000000000003E-5</c:v>
                </c:pt>
                <c:pt idx="54">
                  <c:v>6.2000000000000003E-5</c:v>
                </c:pt>
                <c:pt idx="55">
                  <c:v>6.7000000000000002E-5</c:v>
                </c:pt>
                <c:pt idx="56">
                  <c:v>7.2999999999999999E-5</c:v>
                </c:pt>
                <c:pt idx="57">
                  <c:v>7.7999999999999999E-5</c:v>
                </c:pt>
                <c:pt idx="58">
                  <c:v>8.5000000000000006E-5</c:v>
                </c:pt>
                <c:pt idx="59">
                  <c:v>9.1000000000000003E-5</c:v>
                </c:pt>
                <c:pt idx="60">
                  <c:v>9.7999999999999997E-5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1.096231972434618E-6</c:v>
                </c:pt>
                <c:pt idx="1">
                  <c:v>8.2097673197243466E-4</c:v>
                </c:pt>
                <c:pt idx="2">
                  <c:v>1.6408572319724347E-3</c:v>
                </c:pt>
                <c:pt idx="3">
                  <c:v>2.4607377319724347E-3</c:v>
                </c:pt>
                <c:pt idx="4">
                  <c:v>3.2806182319724347E-3</c:v>
                </c:pt>
                <c:pt idx="5">
                  <c:v>4.1004987319724351E-3</c:v>
                </c:pt>
                <c:pt idx="6">
                  <c:v>4.9203792319724351E-3</c:v>
                </c:pt>
                <c:pt idx="7">
                  <c:v>5.7402597319724351E-3</c:v>
                </c:pt>
                <c:pt idx="8">
                  <c:v>6.5601402319724351E-3</c:v>
                </c:pt>
                <c:pt idx="9">
                  <c:v>7.3800207319724351E-3</c:v>
                </c:pt>
                <c:pt idx="10">
                  <c:v>8.1999012319724351E-3</c:v>
                </c:pt>
                <c:pt idx="11">
                  <c:v>8.1999012319724351E-3</c:v>
                </c:pt>
                <c:pt idx="12">
                  <c:v>9.0197817319724351E-3</c:v>
                </c:pt>
                <c:pt idx="13">
                  <c:v>9.8396622319724351E-3</c:v>
                </c:pt>
                <c:pt idx="14">
                  <c:v>1.0659542731972435E-2</c:v>
                </c:pt>
                <c:pt idx="15">
                  <c:v>1.1479423231972435E-2</c:v>
                </c:pt>
                <c:pt idx="16">
                  <c:v>1.2299303731972435E-2</c:v>
                </c:pt>
                <c:pt idx="17">
                  <c:v>1.3119184231972435E-2</c:v>
                </c:pt>
                <c:pt idx="18">
                  <c:v>1.3939064731972435E-2</c:v>
                </c:pt>
                <c:pt idx="19">
                  <c:v>1.4758945231972435E-2</c:v>
                </c:pt>
                <c:pt idx="20">
                  <c:v>1.5578825731972435E-2</c:v>
                </c:pt>
                <c:pt idx="21">
                  <c:v>1.6398706231972433E-2</c:v>
                </c:pt>
                <c:pt idx="22">
                  <c:v>1.6398706231972433E-2</c:v>
                </c:pt>
                <c:pt idx="23">
                  <c:v>1.7218586731972435E-2</c:v>
                </c:pt>
                <c:pt idx="24">
                  <c:v>1.8038467231972433E-2</c:v>
                </c:pt>
                <c:pt idx="25">
                  <c:v>1.8858347731972435E-2</c:v>
                </c:pt>
                <c:pt idx="26">
                  <c:v>1.9678228231972433E-2</c:v>
                </c:pt>
                <c:pt idx="27">
                  <c:v>2.0498108731972435E-2</c:v>
                </c:pt>
                <c:pt idx="28">
                  <c:v>2.1317989231972433E-2</c:v>
                </c:pt>
                <c:pt idx="29">
                  <c:v>2.2137869731972435E-2</c:v>
                </c:pt>
                <c:pt idx="30">
                  <c:v>2.2957750231972433E-2</c:v>
                </c:pt>
                <c:pt idx="31">
                  <c:v>2.3777630731972435E-2</c:v>
                </c:pt>
                <c:pt idx="32">
                  <c:v>2.4597511231972433E-2</c:v>
                </c:pt>
                <c:pt idx="33">
                  <c:v>2.4597511231972433E-2</c:v>
                </c:pt>
                <c:pt idx="34">
                  <c:v>2.5417391731972435E-2</c:v>
                </c:pt>
                <c:pt idx="35">
                  <c:v>2.6237272231972433E-2</c:v>
                </c:pt>
                <c:pt idx="36">
                  <c:v>2.7057152731972435E-2</c:v>
                </c:pt>
                <c:pt idx="37">
                  <c:v>2.7877033231972433E-2</c:v>
                </c:pt>
                <c:pt idx="38">
                  <c:v>2.8696913731972435E-2</c:v>
                </c:pt>
                <c:pt idx="39">
                  <c:v>2.9516794231972433E-2</c:v>
                </c:pt>
                <c:pt idx="40">
                  <c:v>3.0336674731972435E-2</c:v>
                </c:pt>
                <c:pt idx="41">
                  <c:v>3.1156555231972433E-2</c:v>
                </c:pt>
                <c:pt idx="42">
                  <c:v>3.1976435731972432E-2</c:v>
                </c:pt>
                <c:pt idx="43">
                  <c:v>3.2796316231972433E-2</c:v>
                </c:pt>
                <c:pt idx="44">
                  <c:v>3.2796316231972433E-2</c:v>
                </c:pt>
                <c:pt idx="45">
                  <c:v>3.3616196731972435E-2</c:v>
                </c:pt>
                <c:pt idx="46">
                  <c:v>3.4436077231972437E-2</c:v>
                </c:pt>
                <c:pt idx="47">
                  <c:v>3.5255957731972432E-2</c:v>
                </c:pt>
                <c:pt idx="48">
                  <c:v>3.6075838231972426E-2</c:v>
                </c:pt>
                <c:pt idx="49">
                  <c:v>3.6895718731972421E-2</c:v>
                </c:pt>
                <c:pt idx="50">
                  <c:v>3.7715599231972423E-2</c:v>
                </c:pt>
                <c:pt idx="51">
                  <c:v>3.8535479731972418E-2</c:v>
                </c:pt>
                <c:pt idx="52">
                  <c:v>3.9355360231972419E-2</c:v>
                </c:pt>
                <c:pt idx="53">
                  <c:v>4.0175240731972421E-2</c:v>
                </c:pt>
                <c:pt idx="54">
                  <c:v>4.0995121231972423E-2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-8.8999999999999995E-5</c:v>
                </c:pt>
                <c:pt idx="2">
                  <c:v>-9.2E-5</c:v>
                </c:pt>
                <c:pt idx="3">
                  <c:v>-9.6000000000000002E-5</c:v>
                </c:pt>
                <c:pt idx="4">
                  <c:v>-9.8999999999999994E-5</c:v>
                </c:pt>
                <c:pt idx="5">
                  <c:v>-1.03E-4</c:v>
                </c:pt>
                <c:pt idx="6">
                  <c:v>-1.06E-4</c:v>
                </c:pt>
                <c:pt idx="7">
                  <c:v>-1.1E-4</c:v>
                </c:pt>
                <c:pt idx="8">
                  <c:v>-1.13E-4</c:v>
                </c:pt>
                <c:pt idx="9">
                  <c:v>-1.16E-4</c:v>
                </c:pt>
                <c:pt idx="10">
                  <c:v>-1.11E-4</c:v>
                </c:pt>
                <c:pt idx="11">
                  <c:v>-1.11E-4</c:v>
                </c:pt>
                <c:pt idx="12">
                  <c:v>-1.06E-4</c:v>
                </c:pt>
                <c:pt idx="13">
                  <c:v>-1.02E-4</c:v>
                </c:pt>
                <c:pt idx="14">
                  <c:v>-9.7E-5</c:v>
                </c:pt>
                <c:pt idx="15">
                  <c:v>-9.2E-5</c:v>
                </c:pt>
                <c:pt idx="16">
                  <c:v>-8.7999999999999998E-5</c:v>
                </c:pt>
                <c:pt idx="17">
                  <c:v>-8.2999999999999998E-5</c:v>
                </c:pt>
                <c:pt idx="18">
                  <c:v>-7.8999999999999996E-5</c:v>
                </c:pt>
                <c:pt idx="19">
                  <c:v>-7.3999999999999996E-5</c:v>
                </c:pt>
                <c:pt idx="20">
                  <c:v>-6.8999999999999997E-5</c:v>
                </c:pt>
                <c:pt idx="21">
                  <c:v>-6.4999999999999994E-5</c:v>
                </c:pt>
                <c:pt idx="22">
                  <c:v>-6.4999999999999994E-5</c:v>
                </c:pt>
                <c:pt idx="23">
                  <c:v>-6.0000000000000002E-5</c:v>
                </c:pt>
                <c:pt idx="24">
                  <c:v>-5.5000000000000002E-5</c:v>
                </c:pt>
                <c:pt idx="25">
                  <c:v>-5.1E-5</c:v>
                </c:pt>
                <c:pt idx="26">
                  <c:v>-4.6E-5</c:v>
                </c:pt>
                <c:pt idx="27">
                  <c:v>-4.1E-5</c:v>
                </c:pt>
                <c:pt idx="28">
                  <c:v>-3.6999999999999998E-5</c:v>
                </c:pt>
                <c:pt idx="29">
                  <c:v>-3.1999999999999999E-5</c:v>
                </c:pt>
                <c:pt idx="30">
                  <c:v>-2.6999999999999999E-5</c:v>
                </c:pt>
                <c:pt idx="31">
                  <c:v>-2.1999999999999999E-5</c:v>
                </c:pt>
                <c:pt idx="32">
                  <c:v>-1.8E-5</c:v>
                </c:pt>
                <c:pt idx="33">
                  <c:v>-1.8E-5</c:v>
                </c:pt>
                <c:pt idx="34">
                  <c:v>-1.2999999999999999E-5</c:v>
                </c:pt>
                <c:pt idx="35">
                  <c:v>-7.9999999999999996E-6</c:v>
                </c:pt>
                <c:pt idx="36">
                  <c:v>-3.0000000000000001E-6</c:v>
                </c:pt>
                <c:pt idx="37">
                  <c:v>1.9999999999999999E-6</c:v>
                </c:pt>
                <c:pt idx="38">
                  <c:v>6.9999999999999999E-6</c:v>
                </c:pt>
                <c:pt idx="39">
                  <c:v>1.2E-5</c:v>
                </c:pt>
                <c:pt idx="40">
                  <c:v>1.7E-5</c:v>
                </c:pt>
                <c:pt idx="41">
                  <c:v>2.3E-5</c:v>
                </c:pt>
                <c:pt idx="42">
                  <c:v>2.8E-5</c:v>
                </c:pt>
                <c:pt idx="43">
                  <c:v>3.4E-5</c:v>
                </c:pt>
                <c:pt idx="44">
                  <c:v>3.4E-5</c:v>
                </c:pt>
                <c:pt idx="45">
                  <c:v>3.8999999999999999E-5</c:v>
                </c:pt>
                <c:pt idx="46">
                  <c:v>4.3999999999999999E-5</c:v>
                </c:pt>
                <c:pt idx="47">
                  <c:v>5.0000000000000002E-5</c:v>
                </c:pt>
                <c:pt idx="48">
                  <c:v>5.5999999999999999E-5</c:v>
                </c:pt>
                <c:pt idx="49">
                  <c:v>6.3E-5</c:v>
                </c:pt>
                <c:pt idx="50">
                  <c:v>6.8999999999999997E-5</c:v>
                </c:pt>
                <c:pt idx="51">
                  <c:v>7.4999999999999993E-5</c:v>
                </c:pt>
                <c:pt idx="52">
                  <c:v>8.1000000000000004E-5</c:v>
                </c:pt>
                <c:pt idx="53">
                  <c:v>9.0000000000000006E-5</c:v>
                </c:pt>
                <c:pt idx="54">
                  <c:v>9.7999999999999997E-5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4.099512023197243E-2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4.099512023197243E-2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4.099512023197243E-2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4.099512023197243E-2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4.099512023197243E-2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4.099512023197243E-2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3.9557299373688176E-7</c:v>
                </c:pt>
                <c:pt idx="1">
                  <c:v>6.9657615632707029E-4</c:v>
                </c:pt>
                <c:pt idx="2">
                  <c:v>1.3927567396604034E-3</c:v>
                </c:pt>
                <c:pt idx="3">
                  <c:v>2.0889373229937367E-3</c:v>
                </c:pt>
                <c:pt idx="4">
                  <c:v>2.78511790632707E-3</c:v>
                </c:pt>
                <c:pt idx="5">
                  <c:v>3.4812984896604032E-3</c:v>
                </c:pt>
                <c:pt idx="6">
                  <c:v>4.1774790729937365E-3</c:v>
                </c:pt>
                <c:pt idx="7">
                  <c:v>4.8736596563270698E-3</c:v>
                </c:pt>
                <c:pt idx="8">
                  <c:v>5.5698402396604039E-3</c:v>
                </c:pt>
                <c:pt idx="9">
                  <c:v>6.2660208229937371E-3</c:v>
                </c:pt>
                <c:pt idx="10">
                  <c:v>6.9622014063270713E-3</c:v>
                </c:pt>
                <c:pt idx="11">
                  <c:v>7.6583819896604045E-3</c:v>
                </c:pt>
                <c:pt idx="12">
                  <c:v>8.3545625729937369E-3</c:v>
                </c:pt>
                <c:pt idx="13">
                  <c:v>9.0507431563270711E-3</c:v>
                </c:pt>
                <c:pt idx="14">
                  <c:v>9.7469237396604052E-3</c:v>
                </c:pt>
                <c:pt idx="15">
                  <c:v>1.0443104322993739E-2</c:v>
                </c:pt>
                <c:pt idx="16">
                  <c:v>1.1139284906327072E-2</c:v>
                </c:pt>
                <c:pt idx="17">
                  <c:v>1.1835465489660406E-2</c:v>
                </c:pt>
                <c:pt idx="18">
                  <c:v>1.253164607299374E-2</c:v>
                </c:pt>
                <c:pt idx="19">
                  <c:v>1.3227826656327074E-2</c:v>
                </c:pt>
                <c:pt idx="20">
                  <c:v>1.3924007239660407E-2</c:v>
                </c:pt>
                <c:pt idx="21">
                  <c:v>1.4620187822993741E-2</c:v>
                </c:pt>
                <c:pt idx="22">
                  <c:v>1.5316368406327075E-2</c:v>
                </c:pt>
                <c:pt idx="23">
                  <c:v>1.6012548989660407E-2</c:v>
                </c:pt>
                <c:pt idx="24">
                  <c:v>1.6708729572993741E-2</c:v>
                </c:pt>
                <c:pt idx="25">
                  <c:v>1.7404910156327072E-2</c:v>
                </c:pt>
                <c:pt idx="26">
                  <c:v>1.8101090739660406E-2</c:v>
                </c:pt>
                <c:pt idx="27">
                  <c:v>1.879727132299374E-2</c:v>
                </c:pt>
                <c:pt idx="28">
                  <c:v>1.9493451906327074E-2</c:v>
                </c:pt>
                <c:pt idx="29">
                  <c:v>2.0189632489660408E-2</c:v>
                </c:pt>
                <c:pt idx="30">
                  <c:v>2.0885813072993743E-2</c:v>
                </c:pt>
                <c:pt idx="31">
                  <c:v>2.1581993656327077E-2</c:v>
                </c:pt>
                <c:pt idx="32">
                  <c:v>2.2278174239660411E-2</c:v>
                </c:pt>
                <c:pt idx="33">
                  <c:v>2.2974354822993742E-2</c:v>
                </c:pt>
                <c:pt idx="34">
                  <c:v>2.3670535406327076E-2</c:v>
                </c:pt>
                <c:pt idx="35">
                  <c:v>2.436671598966041E-2</c:v>
                </c:pt>
                <c:pt idx="36">
                  <c:v>2.5062896572993744E-2</c:v>
                </c:pt>
                <c:pt idx="37">
                  <c:v>2.5759077156327078E-2</c:v>
                </c:pt>
                <c:pt idx="38">
                  <c:v>2.6455257739660412E-2</c:v>
                </c:pt>
                <c:pt idx="39">
                  <c:v>2.7151438322993746E-2</c:v>
                </c:pt>
                <c:pt idx="40">
                  <c:v>2.7847618906327077E-2</c:v>
                </c:pt>
                <c:pt idx="41">
                  <c:v>2.8543799489660411E-2</c:v>
                </c:pt>
                <c:pt idx="42">
                  <c:v>2.9239980072993745E-2</c:v>
                </c:pt>
                <c:pt idx="43">
                  <c:v>2.9936160656327079E-2</c:v>
                </c:pt>
                <c:pt idx="44">
                  <c:v>3.0632341239660413E-2</c:v>
                </c:pt>
                <c:pt idx="45">
                  <c:v>3.1328521822993748E-2</c:v>
                </c:pt>
                <c:pt idx="46">
                  <c:v>3.2024702406327078E-2</c:v>
                </c:pt>
                <c:pt idx="47">
                  <c:v>3.2720882989660409E-2</c:v>
                </c:pt>
                <c:pt idx="48">
                  <c:v>3.341706357299374E-2</c:v>
                </c:pt>
                <c:pt idx="49">
                  <c:v>3.411324415632707E-2</c:v>
                </c:pt>
                <c:pt idx="50">
                  <c:v>3.4809424739660401E-2</c:v>
                </c:pt>
                <c:pt idx="51">
                  <c:v>3.5505605322993732E-2</c:v>
                </c:pt>
                <c:pt idx="52">
                  <c:v>3.6201785906327062E-2</c:v>
                </c:pt>
                <c:pt idx="53">
                  <c:v>3.6897966489660393E-2</c:v>
                </c:pt>
                <c:pt idx="54">
                  <c:v>3.7594147072993724E-2</c:v>
                </c:pt>
                <c:pt idx="55">
                  <c:v>3.8290327656327054E-2</c:v>
                </c:pt>
                <c:pt idx="56">
                  <c:v>3.8986508239660385E-2</c:v>
                </c:pt>
                <c:pt idx="57">
                  <c:v>3.9682688822993709E-2</c:v>
                </c:pt>
                <c:pt idx="58">
                  <c:v>4.0378869406327039E-2</c:v>
                </c:pt>
                <c:pt idx="59">
                  <c:v>4.107504998966037E-2</c:v>
                </c:pt>
                <c:pt idx="60">
                  <c:v>4.1771230572993701E-2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-2.9700000000000001E-4</c:v>
                </c:pt>
                <c:pt idx="2">
                  <c:v>-2.9300000000000002E-4</c:v>
                </c:pt>
                <c:pt idx="3">
                  <c:v>-2.8899999999999998E-4</c:v>
                </c:pt>
                <c:pt idx="4">
                  <c:v>-2.8600000000000001E-4</c:v>
                </c:pt>
                <c:pt idx="5">
                  <c:v>-2.8200000000000002E-4</c:v>
                </c:pt>
                <c:pt idx="6">
                  <c:v>-2.7799999999999998E-4</c:v>
                </c:pt>
                <c:pt idx="7">
                  <c:v>-2.7399999999999999E-4</c:v>
                </c:pt>
                <c:pt idx="8">
                  <c:v>-2.7E-4</c:v>
                </c:pt>
                <c:pt idx="9">
                  <c:v>-2.6699999999999998E-4</c:v>
                </c:pt>
                <c:pt idx="10">
                  <c:v>-2.63E-4</c:v>
                </c:pt>
                <c:pt idx="11">
                  <c:v>-2.5900000000000001E-4</c:v>
                </c:pt>
                <c:pt idx="12">
                  <c:v>-2.5500000000000002E-4</c:v>
                </c:pt>
                <c:pt idx="13">
                  <c:v>-2.5099999999999998E-4</c:v>
                </c:pt>
                <c:pt idx="14">
                  <c:v>-2.4800000000000001E-4</c:v>
                </c:pt>
                <c:pt idx="15">
                  <c:v>-2.4399999999999999E-4</c:v>
                </c:pt>
                <c:pt idx="16">
                  <c:v>-2.4000000000000001E-4</c:v>
                </c:pt>
                <c:pt idx="17">
                  <c:v>-2.3599999999999999E-4</c:v>
                </c:pt>
                <c:pt idx="18">
                  <c:v>-2.32E-4</c:v>
                </c:pt>
                <c:pt idx="19">
                  <c:v>-2.2900000000000001E-4</c:v>
                </c:pt>
                <c:pt idx="20">
                  <c:v>-2.2499999999999999E-4</c:v>
                </c:pt>
                <c:pt idx="21">
                  <c:v>-2.2100000000000001E-4</c:v>
                </c:pt>
                <c:pt idx="22">
                  <c:v>-2.1900000000000001E-4</c:v>
                </c:pt>
                <c:pt idx="23">
                  <c:v>-2.22E-4</c:v>
                </c:pt>
                <c:pt idx="24">
                  <c:v>-2.2499999999999999E-4</c:v>
                </c:pt>
                <c:pt idx="25">
                  <c:v>-2.2800000000000001E-4</c:v>
                </c:pt>
                <c:pt idx="26">
                  <c:v>-2.31E-4</c:v>
                </c:pt>
                <c:pt idx="27">
                  <c:v>-2.34E-4</c:v>
                </c:pt>
                <c:pt idx="28">
                  <c:v>-2.3699999999999999E-4</c:v>
                </c:pt>
                <c:pt idx="29">
                  <c:v>-2.4000000000000001E-4</c:v>
                </c:pt>
                <c:pt idx="30">
                  <c:v>-2.43E-4</c:v>
                </c:pt>
                <c:pt idx="31">
                  <c:v>-2.4699999999999999E-4</c:v>
                </c:pt>
                <c:pt idx="32">
                  <c:v>-2.5000000000000001E-4</c:v>
                </c:pt>
                <c:pt idx="33">
                  <c:v>-2.5300000000000002E-4</c:v>
                </c:pt>
                <c:pt idx="34">
                  <c:v>-2.5599999999999999E-4</c:v>
                </c:pt>
                <c:pt idx="35">
                  <c:v>-2.5900000000000001E-4</c:v>
                </c:pt>
                <c:pt idx="36">
                  <c:v>-2.6200000000000003E-4</c:v>
                </c:pt>
                <c:pt idx="37">
                  <c:v>-2.6499999999999999E-4</c:v>
                </c:pt>
                <c:pt idx="38">
                  <c:v>-2.6800000000000001E-4</c:v>
                </c:pt>
                <c:pt idx="39">
                  <c:v>-2.72E-4</c:v>
                </c:pt>
                <c:pt idx="40">
                  <c:v>-2.7500000000000002E-4</c:v>
                </c:pt>
                <c:pt idx="41">
                  <c:v>-2.7799999999999998E-4</c:v>
                </c:pt>
                <c:pt idx="42">
                  <c:v>-2.81E-4</c:v>
                </c:pt>
                <c:pt idx="43">
                  <c:v>-2.8499999999999999E-4</c:v>
                </c:pt>
                <c:pt idx="44">
                  <c:v>-2.8800000000000001E-4</c:v>
                </c:pt>
                <c:pt idx="45">
                  <c:v>-2.9100000000000003E-4</c:v>
                </c:pt>
                <c:pt idx="46">
                  <c:v>-2.9399999999999999E-4</c:v>
                </c:pt>
                <c:pt idx="47">
                  <c:v>-2.9799999999999998E-4</c:v>
                </c:pt>
                <c:pt idx="48">
                  <c:v>-3.0200000000000002E-4</c:v>
                </c:pt>
                <c:pt idx="49">
                  <c:v>-3.0600000000000001E-4</c:v>
                </c:pt>
                <c:pt idx="50">
                  <c:v>-3.1E-4</c:v>
                </c:pt>
                <c:pt idx="51">
                  <c:v>-3.1399999999999999E-4</c:v>
                </c:pt>
                <c:pt idx="52">
                  <c:v>-3.19E-4</c:v>
                </c:pt>
                <c:pt idx="53">
                  <c:v>-3.2299999999999999E-4</c:v>
                </c:pt>
                <c:pt idx="54">
                  <c:v>-3.2699999999999998E-4</c:v>
                </c:pt>
                <c:pt idx="55">
                  <c:v>-3.3199999999999999E-4</c:v>
                </c:pt>
                <c:pt idx="56">
                  <c:v>-3.3599999999999998E-4</c:v>
                </c:pt>
                <c:pt idx="57">
                  <c:v>-3.4000000000000002E-4</c:v>
                </c:pt>
                <c:pt idx="58">
                  <c:v>-3.4499999999999998E-4</c:v>
                </c:pt>
                <c:pt idx="59">
                  <c:v>-3.5100000000000002E-4</c:v>
                </c:pt>
                <c:pt idx="60">
                  <c:v>-3.5599999999999998E-4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3.9557299373688176E-7</c:v>
                </c:pt>
                <c:pt idx="1">
                  <c:v>8.358122729937369E-4</c:v>
                </c:pt>
                <c:pt idx="2">
                  <c:v>1.6712289729937369E-3</c:v>
                </c:pt>
                <c:pt idx="3">
                  <c:v>2.5066456729937372E-3</c:v>
                </c:pt>
                <c:pt idx="4">
                  <c:v>3.3420623729937368E-3</c:v>
                </c:pt>
                <c:pt idx="5">
                  <c:v>4.1774790729937365E-3</c:v>
                </c:pt>
                <c:pt idx="6">
                  <c:v>5.0128957729937357E-3</c:v>
                </c:pt>
                <c:pt idx="7">
                  <c:v>5.8483124729937358E-3</c:v>
                </c:pt>
                <c:pt idx="8">
                  <c:v>6.6837291729937359E-3</c:v>
                </c:pt>
                <c:pt idx="9">
                  <c:v>7.5191458729937351E-3</c:v>
                </c:pt>
                <c:pt idx="10">
                  <c:v>8.3545625729937352E-3</c:v>
                </c:pt>
                <c:pt idx="11">
                  <c:v>8.3545625729937352E-3</c:v>
                </c:pt>
                <c:pt idx="12">
                  <c:v>9.1899792729937362E-3</c:v>
                </c:pt>
                <c:pt idx="13">
                  <c:v>1.0025395972993735E-2</c:v>
                </c:pt>
                <c:pt idx="14">
                  <c:v>1.0860812672993735E-2</c:v>
                </c:pt>
                <c:pt idx="15">
                  <c:v>1.1696229372993734E-2</c:v>
                </c:pt>
                <c:pt idx="16">
                  <c:v>1.2531646072993735E-2</c:v>
                </c:pt>
                <c:pt idx="17">
                  <c:v>1.3367062772993734E-2</c:v>
                </c:pt>
                <c:pt idx="18">
                  <c:v>1.4202479472993733E-2</c:v>
                </c:pt>
                <c:pt idx="19">
                  <c:v>1.5037896172993734E-2</c:v>
                </c:pt>
                <c:pt idx="20">
                  <c:v>1.5873312872993733E-2</c:v>
                </c:pt>
                <c:pt idx="21">
                  <c:v>1.6708729572993734E-2</c:v>
                </c:pt>
                <c:pt idx="22">
                  <c:v>1.6708729572993734E-2</c:v>
                </c:pt>
                <c:pt idx="23">
                  <c:v>1.7544146272993732E-2</c:v>
                </c:pt>
                <c:pt idx="24">
                  <c:v>1.8379562972993733E-2</c:v>
                </c:pt>
                <c:pt idx="25">
                  <c:v>1.921497967299373E-2</c:v>
                </c:pt>
                <c:pt idx="26">
                  <c:v>2.0050396372993731E-2</c:v>
                </c:pt>
                <c:pt idx="27">
                  <c:v>2.0885813072993732E-2</c:v>
                </c:pt>
                <c:pt idx="28">
                  <c:v>2.172122977299373E-2</c:v>
                </c:pt>
                <c:pt idx="29">
                  <c:v>2.2556646472993731E-2</c:v>
                </c:pt>
                <c:pt idx="30">
                  <c:v>2.3392063172993732E-2</c:v>
                </c:pt>
                <c:pt idx="31">
                  <c:v>2.4227479872993729E-2</c:v>
                </c:pt>
                <c:pt idx="32">
                  <c:v>2.506289657299373E-2</c:v>
                </c:pt>
                <c:pt idx="33">
                  <c:v>2.506289657299373E-2</c:v>
                </c:pt>
                <c:pt idx="34">
                  <c:v>2.5898313272993731E-2</c:v>
                </c:pt>
                <c:pt idx="35">
                  <c:v>2.6733729972993728E-2</c:v>
                </c:pt>
                <c:pt idx="36">
                  <c:v>2.7569146672993729E-2</c:v>
                </c:pt>
                <c:pt idx="37">
                  <c:v>2.8404563372993727E-2</c:v>
                </c:pt>
                <c:pt idx="38">
                  <c:v>2.9239980072993728E-2</c:v>
                </c:pt>
                <c:pt idx="39">
                  <c:v>3.0075396772993729E-2</c:v>
                </c:pt>
                <c:pt idx="40">
                  <c:v>3.0910813472993726E-2</c:v>
                </c:pt>
                <c:pt idx="41">
                  <c:v>3.1746230172993731E-2</c:v>
                </c:pt>
                <c:pt idx="42">
                  <c:v>3.2581646872993732E-2</c:v>
                </c:pt>
                <c:pt idx="43">
                  <c:v>3.3417063572993726E-2</c:v>
                </c:pt>
                <c:pt idx="44">
                  <c:v>3.3417063572993726E-2</c:v>
                </c:pt>
                <c:pt idx="45">
                  <c:v>3.4252480272993727E-2</c:v>
                </c:pt>
                <c:pt idx="46">
                  <c:v>3.5087896972993735E-2</c:v>
                </c:pt>
                <c:pt idx="47">
                  <c:v>3.5923313672993736E-2</c:v>
                </c:pt>
                <c:pt idx="48">
                  <c:v>3.6758730372993736E-2</c:v>
                </c:pt>
                <c:pt idx="49">
                  <c:v>3.7594147072993744E-2</c:v>
                </c:pt>
                <c:pt idx="50">
                  <c:v>3.8429563772993745E-2</c:v>
                </c:pt>
                <c:pt idx="51">
                  <c:v>3.9264980472993746E-2</c:v>
                </c:pt>
                <c:pt idx="52">
                  <c:v>4.0100397172993754E-2</c:v>
                </c:pt>
                <c:pt idx="53">
                  <c:v>4.0935813872993755E-2</c:v>
                </c:pt>
                <c:pt idx="54">
                  <c:v>4.1771230572993721E-2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-2.9599999999999998E-4</c:v>
                </c:pt>
                <c:pt idx="2">
                  <c:v>-2.92E-4</c:v>
                </c:pt>
                <c:pt idx="3">
                  <c:v>-2.8699999999999998E-4</c:v>
                </c:pt>
                <c:pt idx="4">
                  <c:v>-2.8299999999999999E-4</c:v>
                </c:pt>
                <c:pt idx="5">
                  <c:v>-2.7799999999999998E-4</c:v>
                </c:pt>
                <c:pt idx="6">
                  <c:v>-2.7300000000000002E-4</c:v>
                </c:pt>
                <c:pt idx="7">
                  <c:v>-2.6899999999999998E-4</c:v>
                </c:pt>
                <c:pt idx="8">
                  <c:v>-2.6400000000000002E-4</c:v>
                </c:pt>
                <c:pt idx="9">
                  <c:v>-2.5999999999999998E-4</c:v>
                </c:pt>
                <c:pt idx="10">
                  <c:v>-2.5500000000000002E-4</c:v>
                </c:pt>
                <c:pt idx="11">
                  <c:v>-2.5500000000000002E-4</c:v>
                </c:pt>
                <c:pt idx="12">
                  <c:v>-2.5099999999999998E-4</c:v>
                </c:pt>
                <c:pt idx="13">
                  <c:v>-2.4600000000000002E-4</c:v>
                </c:pt>
                <c:pt idx="14">
                  <c:v>-2.41E-4</c:v>
                </c:pt>
                <c:pt idx="15">
                  <c:v>-2.3699999999999999E-4</c:v>
                </c:pt>
                <c:pt idx="16">
                  <c:v>-2.32E-4</c:v>
                </c:pt>
                <c:pt idx="17">
                  <c:v>-2.2800000000000001E-4</c:v>
                </c:pt>
                <c:pt idx="18">
                  <c:v>-2.23E-4</c:v>
                </c:pt>
                <c:pt idx="19">
                  <c:v>-2.1900000000000001E-4</c:v>
                </c:pt>
                <c:pt idx="20">
                  <c:v>-2.2100000000000001E-4</c:v>
                </c:pt>
                <c:pt idx="21">
                  <c:v>-2.2499999999999999E-4</c:v>
                </c:pt>
                <c:pt idx="22">
                  <c:v>-2.2499999999999999E-4</c:v>
                </c:pt>
                <c:pt idx="23">
                  <c:v>-2.2900000000000001E-4</c:v>
                </c:pt>
                <c:pt idx="24">
                  <c:v>-2.32E-4</c:v>
                </c:pt>
                <c:pt idx="25">
                  <c:v>-2.3599999999999999E-4</c:v>
                </c:pt>
                <c:pt idx="26">
                  <c:v>-2.4000000000000001E-4</c:v>
                </c:pt>
                <c:pt idx="27">
                  <c:v>-2.43E-4</c:v>
                </c:pt>
                <c:pt idx="28">
                  <c:v>-2.4699999999999999E-4</c:v>
                </c:pt>
                <c:pt idx="29">
                  <c:v>-2.5099999999999998E-4</c:v>
                </c:pt>
                <c:pt idx="30">
                  <c:v>-2.5500000000000002E-4</c:v>
                </c:pt>
                <c:pt idx="31">
                  <c:v>-2.5799999999999998E-4</c:v>
                </c:pt>
                <c:pt idx="32">
                  <c:v>-2.6200000000000003E-4</c:v>
                </c:pt>
                <c:pt idx="33">
                  <c:v>-2.6200000000000003E-4</c:v>
                </c:pt>
                <c:pt idx="34">
                  <c:v>-2.6600000000000001E-4</c:v>
                </c:pt>
                <c:pt idx="35">
                  <c:v>-2.7E-4</c:v>
                </c:pt>
                <c:pt idx="36">
                  <c:v>-2.7300000000000002E-4</c:v>
                </c:pt>
                <c:pt idx="37">
                  <c:v>-2.7700000000000001E-4</c:v>
                </c:pt>
                <c:pt idx="38">
                  <c:v>-2.81E-4</c:v>
                </c:pt>
                <c:pt idx="39">
                  <c:v>-2.8499999999999999E-4</c:v>
                </c:pt>
                <c:pt idx="40">
                  <c:v>-2.8899999999999998E-4</c:v>
                </c:pt>
                <c:pt idx="41">
                  <c:v>-2.9300000000000002E-4</c:v>
                </c:pt>
                <c:pt idx="42">
                  <c:v>-2.9700000000000001E-4</c:v>
                </c:pt>
                <c:pt idx="43">
                  <c:v>-3.01E-4</c:v>
                </c:pt>
                <c:pt idx="44">
                  <c:v>-3.01E-4</c:v>
                </c:pt>
                <c:pt idx="45">
                  <c:v>-3.0600000000000001E-4</c:v>
                </c:pt>
                <c:pt idx="46">
                  <c:v>-3.1100000000000002E-4</c:v>
                </c:pt>
                <c:pt idx="47">
                  <c:v>-3.1599999999999998E-4</c:v>
                </c:pt>
                <c:pt idx="48">
                  <c:v>-3.21E-4</c:v>
                </c:pt>
                <c:pt idx="49">
                  <c:v>-3.2600000000000001E-4</c:v>
                </c:pt>
                <c:pt idx="50">
                  <c:v>-3.3100000000000002E-4</c:v>
                </c:pt>
                <c:pt idx="51">
                  <c:v>-3.3599999999999998E-4</c:v>
                </c:pt>
                <c:pt idx="52">
                  <c:v>-3.4099999999999999E-4</c:v>
                </c:pt>
                <c:pt idx="53">
                  <c:v>-3.4699999999999998E-4</c:v>
                </c:pt>
                <c:pt idx="54">
                  <c:v>-3.5399999999999999E-4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3.9557299373688176E-7</c:v>
                </c:pt>
                <c:pt idx="1">
                  <c:v>6.9657615632707029E-4</c:v>
                </c:pt>
                <c:pt idx="2">
                  <c:v>1.3927567396604034E-3</c:v>
                </c:pt>
                <c:pt idx="3">
                  <c:v>2.0889373229937367E-3</c:v>
                </c:pt>
                <c:pt idx="4">
                  <c:v>2.78511790632707E-3</c:v>
                </c:pt>
                <c:pt idx="5">
                  <c:v>3.4812984896604032E-3</c:v>
                </c:pt>
                <c:pt idx="6">
                  <c:v>4.1774790729937365E-3</c:v>
                </c:pt>
                <c:pt idx="7">
                  <c:v>4.8736596563270698E-3</c:v>
                </c:pt>
                <c:pt idx="8">
                  <c:v>5.5698402396604039E-3</c:v>
                </c:pt>
                <c:pt idx="9">
                  <c:v>6.2660208229937371E-3</c:v>
                </c:pt>
                <c:pt idx="10">
                  <c:v>6.9622014063270713E-3</c:v>
                </c:pt>
                <c:pt idx="11">
                  <c:v>7.6583819896604045E-3</c:v>
                </c:pt>
                <c:pt idx="12">
                  <c:v>8.3545625729937369E-3</c:v>
                </c:pt>
                <c:pt idx="13">
                  <c:v>9.0507431563270711E-3</c:v>
                </c:pt>
                <c:pt idx="14">
                  <c:v>9.7469237396604052E-3</c:v>
                </c:pt>
                <c:pt idx="15">
                  <c:v>1.0443104322993739E-2</c:v>
                </c:pt>
                <c:pt idx="16">
                  <c:v>1.1139284906327072E-2</c:v>
                </c:pt>
                <c:pt idx="17">
                  <c:v>1.1835465489660406E-2</c:v>
                </c:pt>
                <c:pt idx="18">
                  <c:v>1.253164607299374E-2</c:v>
                </c:pt>
                <c:pt idx="19">
                  <c:v>1.3227826656327074E-2</c:v>
                </c:pt>
                <c:pt idx="20">
                  <c:v>1.3924007239660407E-2</c:v>
                </c:pt>
                <c:pt idx="21">
                  <c:v>1.4620187822993741E-2</c:v>
                </c:pt>
                <c:pt idx="22">
                  <c:v>1.5316368406327075E-2</c:v>
                </c:pt>
                <c:pt idx="23">
                  <c:v>1.6012548989660407E-2</c:v>
                </c:pt>
                <c:pt idx="24">
                  <c:v>1.6708729572993741E-2</c:v>
                </c:pt>
                <c:pt idx="25">
                  <c:v>1.7404910156327072E-2</c:v>
                </c:pt>
                <c:pt idx="26">
                  <c:v>1.8101090739660406E-2</c:v>
                </c:pt>
                <c:pt idx="27">
                  <c:v>1.879727132299374E-2</c:v>
                </c:pt>
                <c:pt idx="28">
                  <c:v>1.9493451906327074E-2</c:v>
                </c:pt>
                <c:pt idx="29">
                  <c:v>2.0189632489660408E-2</c:v>
                </c:pt>
                <c:pt idx="30">
                  <c:v>2.0885813072993743E-2</c:v>
                </c:pt>
                <c:pt idx="31">
                  <c:v>2.1581993656327077E-2</c:v>
                </c:pt>
                <c:pt idx="32">
                  <c:v>2.2278174239660411E-2</c:v>
                </c:pt>
                <c:pt idx="33">
                  <c:v>2.2974354822993742E-2</c:v>
                </c:pt>
                <c:pt idx="34">
                  <c:v>2.3670535406327076E-2</c:v>
                </c:pt>
                <c:pt idx="35">
                  <c:v>2.436671598966041E-2</c:v>
                </c:pt>
                <c:pt idx="36">
                  <c:v>2.5062896572993744E-2</c:v>
                </c:pt>
                <c:pt idx="37">
                  <c:v>2.5759077156327078E-2</c:v>
                </c:pt>
                <c:pt idx="38">
                  <c:v>2.6455257739660412E-2</c:v>
                </c:pt>
                <c:pt idx="39">
                  <c:v>2.7151438322993746E-2</c:v>
                </c:pt>
                <c:pt idx="40">
                  <c:v>2.7847618906327077E-2</c:v>
                </c:pt>
                <c:pt idx="41">
                  <c:v>2.8543799489660411E-2</c:v>
                </c:pt>
                <c:pt idx="42">
                  <c:v>2.9239980072993745E-2</c:v>
                </c:pt>
                <c:pt idx="43">
                  <c:v>2.9936160656327079E-2</c:v>
                </c:pt>
                <c:pt idx="44">
                  <c:v>3.0632341239660413E-2</c:v>
                </c:pt>
                <c:pt idx="45">
                  <c:v>3.1328521822993748E-2</c:v>
                </c:pt>
                <c:pt idx="46">
                  <c:v>3.2024702406327078E-2</c:v>
                </c:pt>
                <c:pt idx="47">
                  <c:v>3.2720882989660409E-2</c:v>
                </c:pt>
                <c:pt idx="48">
                  <c:v>3.341706357299374E-2</c:v>
                </c:pt>
                <c:pt idx="49">
                  <c:v>3.411324415632707E-2</c:v>
                </c:pt>
                <c:pt idx="50">
                  <c:v>3.4809424739660401E-2</c:v>
                </c:pt>
                <c:pt idx="51">
                  <c:v>3.5505605322993732E-2</c:v>
                </c:pt>
                <c:pt idx="52">
                  <c:v>3.6201785906327062E-2</c:v>
                </c:pt>
                <c:pt idx="53">
                  <c:v>3.6897966489660393E-2</c:v>
                </c:pt>
                <c:pt idx="54">
                  <c:v>3.7594147072993724E-2</c:v>
                </c:pt>
                <c:pt idx="55">
                  <c:v>3.8290327656327054E-2</c:v>
                </c:pt>
                <c:pt idx="56">
                  <c:v>3.8986508239660385E-2</c:v>
                </c:pt>
                <c:pt idx="57">
                  <c:v>3.9682688822993709E-2</c:v>
                </c:pt>
                <c:pt idx="58">
                  <c:v>4.0378869406327039E-2</c:v>
                </c:pt>
                <c:pt idx="59">
                  <c:v>4.107504998966037E-2</c:v>
                </c:pt>
                <c:pt idx="60">
                  <c:v>4.1771230572993701E-2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-2.7999999999999998E-4</c:v>
                </c:pt>
                <c:pt idx="2">
                  <c:v>-2.7700000000000001E-4</c:v>
                </c:pt>
                <c:pt idx="3">
                  <c:v>-2.7300000000000002E-4</c:v>
                </c:pt>
                <c:pt idx="4">
                  <c:v>-2.7E-4</c:v>
                </c:pt>
                <c:pt idx="5">
                  <c:v>-2.6699999999999998E-4</c:v>
                </c:pt>
                <c:pt idx="6">
                  <c:v>-2.63E-4</c:v>
                </c:pt>
                <c:pt idx="7">
                  <c:v>-2.5999999999999998E-4</c:v>
                </c:pt>
                <c:pt idx="8">
                  <c:v>-2.5700000000000001E-4</c:v>
                </c:pt>
                <c:pt idx="9">
                  <c:v>-2.5399999999999999E-4</c:v>
                </c:pt>
                <c:pt idx="10">
                  <c:v>-2.5000000000000001E-4</c:v>
                </c:pt>
                <c:pt idx="11">
                  <c:v>-2.4699999999999999E-4</c:v>
                </c:pt>
                <c:pt idx="12">
                  <c:v>-2.4399999999999999E-4</c:v>
                </c:pt>
                <c:pt idx="13">
                  <c:v>-2.4000000000000001E-4</c:v>
                </c:pt>
                <c:pt idx="14">
                  <c:v>-2.3699999999999999E-4</c:v>
                </c:pt>
                <c:pt idx="15">
                  <c:v>-2.34E-4</c:v>
                </c:pt>
                <c:pt idx="16">
                  <c:v>-2.31E-4</c:v>
                </c:pt>
                <c:pt idx="17">
                  <c:v>-2.2699999999999999E-4</c:v>
                </c:pt>
                <c:pt idx="18">
                  <c:v>-2.24E-4</c:v>
                </c:pt>
                <c:pt idx="19">
                  <c:v>-2.2100000000000001E-4</c:v>
                </c:pt>
                <c:pt idx="20">
                  <c:v>-2.1699999999999999E-4</c:v>
                </c:pt>
                <c:pt idx="21">
                  <c:v>-2.14E-4</c:v>
                </c:pt>
                <c:pt idx="22">
                  <c:v>-2.12E-4</c:v>
                </c:pt>
                <c:pt idx="23">
                  <c:v>-2.1499999999999999E-4</c:v>
                </c:pt>
                <c:pt idx="24">
                  <c:v>-2.1699999999999999E-4</c:v>
                </c:pt>
                <c:pt idx="25">
                  <c:v>-2.2000000000000001E-4</c:v>
                </c:pt>
                <c:pt idx="26">
                  <c:v>-2.23E-4</c:v>
                </c:pt>
                <c:pt idx="27">
                  <c:v>-2.2499999999999999E-4</c:v>
                </c:pt>
                <c:pt idx="28">
                  <c:v>-2.2800000000000001E-4</c:v>
                </c:pt>
                <c:pt idx="29">
                  <c:v>-2.3000000000000001E-4</c:v>
                </c:pt>
                <c:pt idx="30">
                  <c:v>-2.33E-4</c:v>
                </c:pt>
                <c:pt idx="31">
                  <c:v>-2.3499999999999999E-4</c:v>
                </c:pt>
                <c:pt idx="32">
                  <c:v>-2.3800000000000001E-4</c:v>
                </c:pt>
                <c:pt idx="33">
                  <c:v>-2.41E-4</c:v>
                </c:pt>
                <c:pt idx="34">
                  <c:v>-2.43E-4</c:v>
                </c:pt>
                <c:pt idx="35">
                  <c:v>-2.4600000000000002E-4</c:v>
                </c:pt>
                <c:pt idx="36">
                  <c:v>-2.4800000000000001E-4</c:v>
                </c:pt>
                <c:pt idx="37">
                  <c:v>-2.5099999999999998E-4</c:v>
                </c:pt>
                <c:pt idx="38">
                  <c:v>-2.5399999999999999E-4</c:v>
                </c:pt>
                <c:pt idx="39">
                  <c:v>-2.5599999999999999E-4</c:v>
                </c:pt>
                <c:pt idx="40">
                  <c:v>-2.5900000000000001E-4</c:v>
                </c:pt>
                <c:pt idx="41">
                  <c:v>-2.6200000000000003E-4</c:v>
                </c:pt>
                <c:pt idx="42">
                  <c:v>-2.6400000000000002E-4</c:v>
                </c:pt>
                <c:pt idx="43">
                  <c:v>-2.6699999999999998E-4</c:v>
                </c:pt>
                <c:pt idx="44">
                  <c:v>-2.7E-4</c:v>
                </c:pt>
                <c:pt idx="45">
                  <c:v>-2.72E-4</c:v>
                </c:pt>
                <c:pt idx="46">
                  <c:v>-2.7500000000000002E-4</c:v>
                </c:pt>
                <c:pt idx="47">
                  <c:v>-2.7799999999999998E-4</c:v>
                </c:pt>
                <c:pt idx="48">
                  <c:v>-2.81E-4</c:v>
                </c:pt>
                <c:pt idx="49">
                  <c:v>-2.8499999999999999E-4</c:v>
                </c:pt>
                <c:pt idx="50">
                  <c:v>-2.8800000000000001E-4</c:v>
                </c:pt>
                <c:pt idx="51">
                  <c:v>-2.92E-4</c:v>
                </c:pt>
                <c:pt idx="52">
                  <c:v>-2.9599999999999998E-4</c:v>
                </c:pt>
                <c:pt idx="53">
                  <c:v>-2.99E-4</c:v>
                </c:pt>
                <c:pt idx="54">
                  <c:v>-3.0299999999999999E-4</c:v>
                </c:pt>
                <c:pt idx="55">
                  <c:v>-3.0699999999999998E-4</c:v>
                </c:pt>
                <c:pt idx="56">
                  <c:v>-3.1E-4</c:v>
                </c:pt>
                <c:pt idx="57">
                  <c:v>-3.1399999999999999E-4</c:v>
                </c:pt>
                <c:pt idx="58">
                  <c:v>-3.1799999999999998E-4</c:v>
                </c:pt>
                <c:pt idx="59">
                  <c:v>-3.2200000000000002E-4</c:v>
                </c:pt>
                <c:pt idx="60">
                  <c:v>-3.2699999999999998E-4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3.9557299373688176E-7</c:v>
                </c:pt>
                <c:pt idx="1">
                  <c:v>8.358122729937369E-4</c:v>
                </c:pt>
                <c:pt idx="2">
                  <c:v>1.6712289729937369E-3</c:v>
                </c:pt>
                <c:pt idx="3">
                  <c:v>2.5066456729937372E-3</c:v>
                </c:pt>
                <c:pt idx="4">
                  <c:v>3.3420623729937368E-3</c:v>
                </c:pt>
                <c:pt idx="5">
                  <c:v>4.1774790729937365E-3</c:v>
                </c:pt>
                <c:pt idx="6">
                  <c:v>5.0128957729937357E-3</c:v>
                </c:pt>
                <c:pt idx="7">
                  <c:v>5.8483124729937358E-3</c:v>
                </c:pt>
                <c:pt idx="8">
                  <c:v>6.6837291729937359E-3</c:v>
                </c:pt>
                <c:pt idx="9">
                  <c:v>7.5191458729937351E-3</c:v>
                </c:pt>
                <c:pt idx="10">
                  <c:v>8.3545625729937352E-3</c:v>
                </c:pt>
                <c:pt idx="11">
                  <c:v>8.3545625729937352E-3</c:v>
                </c:pt>
                <c:pt idx="12">
                  <c:v>9.1899792729937362E-3</c:v>
                </c:pt>
                <c:pt idx="13">
                  <c:v>1.0025395972993735E-2</c:v>
                </c:pt>
                <c:pt idx="14">
                  <c:v>1.0860812672993735E-2</c:v>
                </c:pt>
                <c:pt idx="15">
                  <c:v>1.1696229372993734E-2</c:v>
                </c:pt>
                <c:pt idx="16">
                  <c:v>1.2531646072993735E-2</c:v>
                </c:pt>
                <c:pt idx="17">
                  <c:v>1.3367062772993734E-2</c:v>
                </c:pt>
                <c:pt idx="18">
                  <c:v>1.4202479472993733E-2</c:v>
                </c:pt>
                <c:pt idx="19">
                  <c:v>1.5037896172993734E-2</c:v>
                </c:pt>
                <c:pt idx="20">
                  <c:v>1.5873312872993733E-2</c:v>
                </c:pt>
                <c:pt idx="21">
                  <c:v>1.6708729572993734E-2</c:v>
                </c:pt>
                <c:pt idx="22">
                  <c:v>1.6708729572993734E-2</c:v>
                </c:pt>
                <c:pt idx="23">
                  <c:v>1.7544146272993732E-2</c:v>
                </c:pt>
                <c:pt idx="24">
                  <c:v>1.8379562972993733E-2</c:v>
                </c:pt>
                <c:pt idx="25">
                  <c:v>1.921497967299373E-2</c:v>
                </c:pt>
                <c:pt idx="26">
                  <c:v>2.0050396372993731E-2</c:v>
                </c:pt>
                <c:pt idx="27">
                  <c:v>2.0885813072993732E-2</c:v>
                </c:pt>
                <c:pt idx="28">
                  <c:v>2.172122977299373E-2</c:v>
                </c:pt>
                <c:pt idx="29">
                  <c:v>2.2556646472993731E-2</c:v>
                </c:pt>
                <c:pt idx="30">
                  <c:v>2.3392063172993732E-2</c:v>
                </c:pt>
                <c:pt idx="31">
                  <c:v>2.4227479872993729E-2</c:v>
                </c:pt>
                <c:pt idx="32">
                  <c:v>2.506289657299373E-2</c:v>
                </c:pt>
                <c:pt idx="33">
                  <c:v>2.506289657299373E-2</c:v>
                </c:pt>
                <c:pt idx="34">
                  <c:v>2.5898313272993731E-2</c:v>
                </c:pt>
                <c:pt idx="35">
                  <c:v>2.6733729972993728E-2</c:v>
                </c:pt>
                <c:pt idx="36">
                  <c:v>2.7569146672993729E-2</c:v>
                </c:pt>
                <c:pt idx="37">
                  <c:v>2.8404563372993727E-2</c:v>
                </c:pt>
                <c:pt idx="38">
                  <c:v>2.9239980072993728E-2</c:v>
                </c:pt>
                <c:pt idx="39">
                  <c:v>3.0075396772993729E-2</c:v>
                </c:pt>
                <c:pt idx="40">
                  <c:v>3.0910813472993726E-2</c:v>
                </c:pt>
                <c:pt idx="41">
                  <c:v>3.1746230172993731E-2</c:v>
                </c:pt>
                <c:pt idx="42">
                  <c:v>3.2581646872993732E-2</c:v>
                </c:pt>
                <c:pt idx="43">
                  <c:v>3.3417063572993726E-2</c:v>
                </c:pt>
                <c:pt idx="44">
                  <c:v>3.3417063572993726E-2</c:v>
                </c:pt>
                <c:pt idx="45">
                  <c:v>3.4252480272993727E-2</c:v>
                </c:pt>
                <c:pt idx="46">
                  <c:v>3.5087896972993735E-2</c:v>
                </c:pt>
                <c:pt idx="47">
                  <c:v>3.5923313672993736E-2</c:v>
                </c:pt>
                <c:pt idx="48">
                  <c:v>3.6758730372993736E-2</c:v>
                </c:pt>
                <c:pt idx="49">
                  <c:v>3.7594147072993744E-2</c:v>
                </c:pt>
                <c:pt idx="50">
                  <c:v>3.8429563772993745E-2</c:v>
                </c:pt>
                <c:pt idx="51">
                  <c:v>3.9264980472993746E-2</c:v>
                </c:pt>
                <c:pt idx="52">
                  <c:v>4.0100397172993754E-2</c:v>
                </c:pt>
                <c:pt idx="53">
                  <c:v>4.0935813872993755E-2</c:v>
                </c:pt>
                <c:pt idx="54">
                  <c:v>4.1771230572993721E-2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-2.7900000000000001E-4</c:v>
                </c:pt>
                <c:pt idx="2">
                  <c:v>-2.7500000000000002E-4</c:v>
                </c:pt>
                <c:pt idx="3">
                  <c:v>-2.7099999999999997E-4</c:v>
                </c:pt>
                <c:pt idx="4">
                  <c:v>-2.6699999999999998E-4</c:v>
                </c:pt>
                <c:pt idx="5">
                  <c:v>-2.63E-4</c:v>
                </c:pt>
                <c:pt idx="6">
                  <c:v>-2.5999999999999998E-4</c:v>
                </c:pt>
                <c:pt idx="7">
                  <c:v>-2.5599999999999999E-4</c:v>
                </c:pt>
                <c:pt idx="8">
                  <c:v>-2.52E-4</c:v>
                </c:pt>
                <c:pt idx="9">
                  <c:v>-2.4800000000000001E-4</c:v>
                </c:pt>
                <c:pt idx="10">
                  <c:v>-2.4399999999999999E-4</c:v>
                </c:pt>
                <c:pt idx="11">
                  <c:v>-2.4399999999999999E-4</c:v>
                </c:pt>
                <c:pt idx="12">
                  <c:v>-2.4000000000000001E-4</c:v>
                </c:pt>
                <c:pt idx="13">
                  <c:v>-2.3599999999999999E-4</c:v>
                </c:pt>
                <c:pt idx="14">
                  <c:v>-2.32E-4</c:v>
                </c:pt>
                <c:pt idx="15">
                  <c:v>-2.2800000000000001E-4</c:v>
                </c:pt>
                <c:pt idx="16">
                  <c:v>-2.24E-4</c:v>
                </c:pt>
                <c:pt idx="17">
                  <c:v>-2.2000000000000001E-4</c:v>
                </c:pt>
                <c:pt idx="18">
                  <c:v>-2.1599999999999999E-4</c:v>
                </c:pt>
                <c:pt idx="19">
                  <c:v>-2.12E-4</c:v>
                </c:pt>
                <c:pt idx="20">
                  <c:v>-2.14E-4</c:v>
                </c:pt>
                <c:pt idx="21">
                  <c:v>-2.1699999999999999E-4</c:v>
                </c:pt>
                <c:pt idx="22">
                  <c:v>-2.1699999999999999E-4</c:v>
                </c:pt>
                <c:pt idx="23">
                  <c:v>-2.2000000000000001E-4</c:v>
                </c:pt>
                <c:pt idx="24">
                  <c:v>-2.24E-4</c:v>
                </c:pt>
                <c:pt idx="25">
                  <c:v>-2.2699999999999999E-4</c:v>
                </c:pt>
                <c:pt idx="26">
                  <c:v>-2.3000000000000001E-4</c:v>
                </c:pt>
                <c:pt idx="27">
                  <c:v>-2.33E-4</c:v>
                </c:pt>
                <c:pt idx="28">
                  <c:v>-2.3599999999999999E-4</c:v>
                </c:pt>
                <c:pt idx="29">
                  <c:v>-2.3900000000000001E-4</c:v>
                </c:pt>
                <c:pt idx="30">
                  <c:v>-2.42E-4</c:v>
                </c:pt>
                <c:pt idx="31">
                  <c:v>-2.4499999999999999E-4</c:v>
                </c:pt>
                <c:pt idx="32">
                  <c:v>-2.4800000000000001E-4</c:v>
                </c:pt>
                <c:pt idx="33">
                  <c:v>-2.4800000000000001E-4</c:v>
                </c:pt>
                <c:pt idx="34">
                  <c:v>-2.5099999999999998E-4</c:v>
                </c:pt>
                <c:pt idx="35">
                  <c:v>-2.5500000000000002E-4</c:v>
                </c:pt>
                <c:pt idx="36">
                  <c:v>-2.5799999999999998E-4</c:v>
                </c:pt>
                <c:pt idx="37">
                  <c:v>-2.61E-4</c:v>
                </c:pt>
                <c:pt idx="38">
                  <c:v>-2.6400000000000002E-4</c:v>
                </c:pt>
                <c:pt idx="39">
                  <c:v>-2.6699999999999998E-4</c:v>
                </c:pt>
                <c:pt idx="40">
                  <c:v>-2.7099999999999997E-4</c:v>
                </c:pt>
                <c:pt idx="41">
                  <c:v>-2.7399999999999999E-4</c:v>
                </c:pt>
                <c:pt idx="42">
                  <c:v>-2.7799999999999998E-4</c:v>
                </c:pt>
                <c:pt idx="43">
                  <c:v>-2.81E-4</c:v>
                </c:pt>
                <c:pt idx="44">
                  <c:v>-2.81E-4</c:v>
                </c:pt>
                <c:pt idx="45">
                  <c:v>-2.8499999999999999E-4</c:v>
                </c:pt>
                <c:pt idx="46">
                  <c:v>-2.8899999999999998E-4</c:v>
                </c:pt>
                <c:pt idx="47">
                  <c:v>-2.9300000000000002E-4</c:v>
                </c:pt>
                <c:pt idx="48">
                  <c:v>-2.9799999999999998E-4</c:v>
                </c:pt>
                <c:pt idx="49">
                  <c:v>-3.0200000000000002E-4</c:v>
                </c:pt>
                <c:pt idx="50">
                  <c:v>-3.0600000000000001E-4</c:v>
                </c:pt>
                <c:pt idx="51">
                  <c:v>-3.1E-4</c:v>
                </c:pt>
                <c:pt idx="52">
                  <c:v>-3.1399999999999999E-4</c:v>
                </c:pt>
                <c:pt idx="53">
                  <c:v>-3.2000000000000003E-4</c:v>
                </c:pt>
                <c:pt idx="54">
                  <c:v>-3.2499999999999999E-4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3.9557299373688176E-7</c:v>
                </c:pt>
                <c:pt idx="1">
                  <c:v>6.9657615632707029E-4</c:v>
                </c:pt>
                <c:pt idx="2">
                  <c:v>1.3927567396604034E-3</c:v>
                </c:pt>
                <c:pt idx="3">
                  <c:v>2.0889373229937367E-3</c:v>
                </c:pt>
                <c:pt idx="4">
                  <c:v>2.78511790632707E-3</c:v>
                </c:pt>
                <c:pt idx="5">
                  <c:v>3.4812984896604032E-3</c:v>
                </c:pt>
                <c:pt idx="6">
                  <c:v>4.1774790729937365E-3</c:v>
                </c:pt>
                <c:pt idx="7">
                  <c:v>4.8736596563270698E-3</c:v>
                </c:pt>
                <c:pt idx="8">
                  <c:v>5.5698402396604039E-3</c:v>
                </c:pt>
                <c:pt idx="9">
                  <c:v>6.2660208229937371E-3</c:v>
                </c:pt>
                <c:pt idx="10">
                  <c:v>6.9622014063270713E-3</c:v>
                </c:pt>
                <c:pt idx="11">
                  <c:v>7.6583819896604045E-3</c:v>
                </c:pt>
                <c:pt idx="12">
                  <c:v>8.3545625729937369E-3</c:v>
                </c:pt>
                <c:pt idx="13">
                  <c:v>9.0507431563270711E-3</c:v>
                </c:pt>
                <c:pt idx="14">
                  <c:v>9.7469237396604052E-3</c:v>
                </c:pt>
                <c:pt idx="15">
                  <c:v>1.0443104322993739E-2</c:v>
                </c:pt>
                <c:pt idx="16">
                  <c:v>1.1139284906327072E-2</c:v>
                </c:pt>
                <c:pt idx="17">
                  <c:v>1.1835465489660406E-2</c:v>
                </c:pt>
                <c:pt idx="18">
                  <c:v>1.253164607299374E-2</c:v>
                </c:pt>
                <c:pt idx="19">
                  <c:v>1.3227826656327074E-2</c:v>
                </c:pt>
                <c:pt idx="20">
                  <c:v>1.3924007239660407E-2</c:v>
                </c:pt>
                <c:pt idx="21">
                  <c:v>1.4620187822993741E-2</c:v>
                </c:pt>
                <c:pt idx="22">
                  <c:v>1.5316368406327075E-2</c:v>
                </c:pt>
                <c:pt idx="23">
                  <c:v>1.6012548989660407E-2</c:v>
                </c:pt>
                <c:pt idx="24">
                  <c:v>1.6708729572993741E-2</c:v>
                </c:pt>
                <c:pt idx="25">
                  <c:v>1.7404910156327072E-2</c:v>
                </c:pt>
                <c:pt idx="26">
                  <c:v>1.8101090739660406E-2</c:v>
                </c:pt>
                <c:pt idx="27">
                  <c:v>1.879727132299374E-2</c:v>
                </c:pt>
                <c:pt idx="28">
                  <c:v>1.9493451906327074E-2</c:v>
                </c:pt>
                <c:pt idx="29">
                  <c:v>2.0189632489660408E-2</c:v>
                </c:pt>
                <c:pt idx="30">
                  <c:v>2.0885813072993743E-2</c:v>
                </c:pt>
                <c:pt idx="31">
                  <c:v>2.1581993656327077E-2</c:v>
                </c:pt>
                <c:pt idx="32">
                  <c:v>2.2278174239660411E-2</c:v>
                </c:pt>
                <c:pt idx="33">
                  <c:v>2.2974354822993742E-2</c:v>
                </c:pt>
                <c:pt idx="34">
                  <c:v>2.3670535406327076E-2</c:v>
                </c:pt>
                <c:pt idx="35">
                  <c:v>2.436671598966041E-2</c:v>
                </c:pt>
                <c:pt idx="36">
                  <c:v>2.5062896572993744E-2</c:v>
                </c:pt>
                <c:pt idx="37">
                  <c:v>2.5759077156327078E-2</c:v>
                </c:pt>
                <c:pt idx="38">
                  <c:v>2.6455257739660412E-2</c:v>
                </c:pt>
                <c:pt idx="39">
                  <c:v>2.7151438322993746E-2</c:v>
                </c:pt>
                <c:pt idx="40">
                  <c:v>2.7847618906327077E-2</c:v>
                </c:pt>
                <c:pt idx="41">
                  <c:v>2.8543799489660411E-2</c:v>
                </c:pt>
                <c:pt idx="42">
                  <c:v>2.9239980072993745E-2</c:v>
                </c:pt>
                <c:pt idx="43">
                  <c:v>2.9936160656327079E-2</c:v>
                </c:pt>
                <c:pt idx="44">
                  <c:v>3.0632341239660413E-2</c:v>
                </c:pt>
                <c:pt idx="45">
                  <c:v>3.1328521822993748E-2</c:v>
                </c:pt>
                <c:pt idx="46">
                  <c:v>3.2024702406327078E-2</c:v>
                </c:pt>
                <c:pt idx="47">
                  <c:v>3.2720882989660409E-2</c:v>
                </c:pt>
                <c:pt idx="48">
                  <c:v>3.341706357299374E-2</c:v>
                </c:pt>
                <c:pt idx="49">
                  <c:v>3.411324415632707E-2</c:v>
                </c:pt>
                <c:pt idx="50">
                  <c:v>3.4809424739660401E-2</c:v>
                </c:pt>
                <c:pt idx="51">
                  <c:v>3.5505605322993732E-2</c:v>
                </c:pt>
                <c:pt idx="52">
                  <c:v>3.6201785906327062E-2</c:v>
                </c:pt>
                <c:pt idx="53">
                  <c:v>3.6897966489660393E-2</c:v>
                </c:pt>
                <c:pt idx="54">
                  <c:v>3.7594147072993724E-2</c:v>
                </c:pt>
                <c:pt idx="55">
                  <c:v>3.8290327656327054E-2</c:v>
                </c:pt>
                <c:pt idx="56">
                  <c:v>3.8986508239660385E-2</c:v>
                </c:pt>
                <c:pt idx="57">
                  <c:v>3.9682688822993709E-2</c:v>
                </c:pt>
                <c:pt idx="58">
                  <c:v>4.0378869406327039E-2</c:v>
                </c:pt>
                <c:pt idx="59">
                  <c:v>4.107504998966037E-2</c:v>
                </c:pt>
                <c:pt idx="60">
                  <c:v>4.1771230572993701E-2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-8.7999999999999998E-5</c:v>
                </c:pt>
                <c:pt idx="2">
                  <c:v>-9.1000000000000003E-5</c:v>
                </c:pt>
                <c:pt idx="3">
                  <c:v>-9.2999999999999997E-5</c:v>
                </c:pt>
                <c:pt idx="4">
                  <c:v>-9.6000000000000002E-5</c:v>
                </c:pt>
                <c:pt idx="5">
                  <c:v>-9.7999999999999997E-5</c:v>
                </c:pt>
                <c:pt idx="6">
                  <c:v>-1.01E-4</c:v>
                </c:pt>
                <c:pt idx="7">
                  <c:v>-1.03E-4</c:v>
                </c:pt>
                <c:pt idx="8">
                  <c:v>-1.06E-4</c:v>
                </c:pt>
                <c:pt idx="9">
                  <c:v>-1.08E-4</c:v>
                </c:pt>
                <c:pt idx="10">
                  <c:v>-1.11E-4</c:v>
                </c:pt>
                <c:pt idx="11">
                  <c:v>-1.13E-4</c:v>
                </c:pt>
                <c:pt idx="12">
                  <c:v>-1.16E-4</c:v>
                </c:pt>
                <c:pt idx="13">
                  <c:v>-1.18E-4</c:v>
                </c:pt>
                <c:pt idx="14">
                  <c:v>-1.21E-4</c:v>
                </c:pt>
                <c:pt idx="15">
                  <c:v>-1.2400000000000001E-4</c:v>
                </c:pt>
                <c:pt idx="16">
                  <c:v>-1.26E-4</c:v>
                </c:pt>
                <c:pt idx="17">
                  <c:v>-1.2899999999999999E-4</c:v>
                </c:pt>
                <c:pt idx="18">
                  <c:v>-1.3100000000000001E-4</c:v>
                </c:pt>
                <c:pt idx="19">
                  <c:v>-1.34E-4</c:v>
                </c:pt>
                <c:pt idx="20">
                  <c:v>-1.36E-4</c:v>
                </c:pt>
                <c:pt idx="21">
                  <c:v>-1.3899999999999999E-4</c:v>
                </c:pt>
                <c:pt idx="22">
                  <c:v>-1.3999999999999999E-4</c:v>
                </c:pt>
                <c:pt idx="23">
                  <c:v>-1.37E-4</c:v>
                </c:pt>
                <c:pt idx="24">
                  <c:v>-1.3300000000000001E-4</c:v>
                </c:pt>
                <c:pt idx="25">
                  <c:v>-1.2999999999999999E-4</c:v>
                </c:pt>
                <c:pt idx="26">
                  <c:v>-1.27E-4</c:v>
                </c:pt>
                <c:pt idx="27">
                  <c:v>-1.2400000000000001E-4</c:v>
                </c:pt>
                <c:pt idx="28">
                  <c:v>-1.2E-4</c:v>
                </c:pt>
                <c:pt idx="29">
                  <c:v>-1.17E-4</c:v>
                </c:pt>
                <c:pt idx="30">
                  <c:v>-1.1400000000000001E-4</c:v>
                </c:pt>
                <c:pt idx="31">
                  <c:v>-1.1E-4</c:v>
                </c:pt>
                <c:pt idx="32">
                  <c:v>-1.07E-4</c:v>
                </c:pt>
                <c:pt idx="33">
                  <c:v>-1.0399999999999999E-4</c:v>
                </c:pt>
                <c:pt idx="34">
                  <c:v>-1.01E-4</c:v>
                </c:pt>
                <c:pt idx="35">
                  <c:v>-9.7E-5</c:v>
                </c:pt>
                <c:pt idx="36">
                  <c:v>-9.3999999999999994E-5</c:v>
                </c:pt>
                <c:pt idx="37">
                  <c:v>-9.1000000000000003E-5</c:v>
                </c:pt>
                <c:pt idx="38">
                  <c:v>-8.7000000000000001E-5</c:v>
                </c:pt>
                <c:pt idx="39">
                  <c:v>-8.3999999999999995E-5</c:v>
                </c:pt>
                <c:pt idx="40">
                  <c:v>-8.1000000000000004E-5</c:v>
                </c:pt>
                <c:pt idx="41">
                  <c:v>-7.7000000000000001E-5</c:v>
                </c:pt>
                <c:pt idx="42">
                  <c:v>-7.3999999999999996E-5</c:v>
                </c:pt>
                <c:pt idx="43">
                  <c:v>-7.1000000000000005E-5</c:v>
                </c:pt>
                <c:pt idx="44">
                  <c:v>-6.7000000000000002E-5</c:v>
                </c:pt>
                <c:pt idx="45">
                  <c:v>-6.3999999999999997E-5</c:v>
                </c:pt>
                <c:pt idx="46">
                  <c:v>-6.0000000000000002E-5</c:v>
                </c:pt>
                <c:pt idx="47">
                  <c:v>-5.7000000000000003E-5</c:v>
                </c:pt>
                <c:pt idx="48">
                  <c:v>-5.3000000000000001E-5</c:v>
                </c:pt>
                <c:pt idx="49">
                  <c:v>-4.8999999999999998E-5</c:v>
                </c:pt>
                <c:pt idx="50">
                  <c:v>-4.5000000000000003E-5</c:v>
                </c:pt>
                <c:pt idx="51">
                  <c:v>-4.1E-5</c:v>
                </c:pt>
                <c:pt idx="52">
                  <c:v>-3.6000000000000001E-5</c:v>
                </c:pt>
                <c:pt idx="53">
                  <c:v>-3.1999999999999999E-5</c:v>
                </c:pt>
                <c:pt idx="54">
                  <c:v>-2.8E-5</c:v>
                </c:pt>
                <c:pt idx="55">
                  <c:v>-2.4000000000000001E-5</c:v>
                </c:pt>
                <c:pt idx="56">
                  <c:v>-2.0000000000000002E-5</c:v>
                </c:pt>
                <c:pt idx="57">
                  <c:v>-1.5E-5</c:v>
                </c:pt>
                <c:pt idx="58">
                  <c:v>-1.1E-5</c:v>
                </c:pt>
                <c:pt idx="59">
                  <c:v>-6.0000000000000002E-6</c:v>
                </c:pt>
                <c:pt idx="60">
                  <c:v>-9.9999999999999995E-7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3.9557299373688176E-7</c:v>
                </c:pt>
                <c:pt idx="1">
                  <c:v>8.358122729937369E-4</c:v>
                </c:pt>
                <c:pt idx="2">
                  <c:v>1.6712289729937369E-3</c:v>
                </c:pt>
                <c:pt idx="3">
                  <c:v>2.5066456729937372E-3</c:v>
                </c:pt>
                <c:pt idx="4">
                  <c:v>3.3420623729937368E-3</c:v>
                </c:pt>
                <c:pt idx="5">
                  <c:v>4.1774790729937365E-3</c:v>
                </c:pt>
                <c:pt idx="6">
                  <c:v>5.0128957729937357E-3</c:v>
                </c:pt>
                <c:pt idx="7">
                  <c:v>5.8483124729937358E-3</c:v>
                </c:pt>
                <c:pt idx="8">
                  <c:v>6.6837291729937359E-3</c:v>
                </c:pt>
                <c:pt idx="9">
                  <c:v>7.5191458729937351E-3</c:v>
                </c:pt>
                <c:pt idx="10">
                  <c:v>8.3545625729937352E-3</c:v>
                </c:pt>
                <c:pt idx="11">
                  <c:v>8.3545625729937352E-3</c:v>
                </c:pt>
                <c:pt idx="12">
                  <c:v>9.1899792729937362E-3</c:v>
                </c:pt>
                <c:pt idx="13">
                  <c:v>1.0025395972993735E-2</c:v>
                </c:pt>
                <c:pt idx="14">
                  <c:v>1.0860812672993735E-2</c:v>
                </c:pt>
                <c:pt idx="15">
                  <c:v>1.1696229372993734E-2</c:v>
                </c:pt>
                <c:pt idx="16">
                  <c:v>1.2531646072993735E-2</c:v>
                </c:pt>
                <c:pt idx="17">
                  <c:v>1.3367062772993734E-2</c:v>
                </c:pt>
                <c:pt idx="18">
                  <c:v>1.4202479472993733E-2</c:v>
                </c:pt>
                <c:pt idx="19">
                  <c:v>1.5037896172993734E-2</c:v>
                </c:pt>
                <c:pt idx="20">
                  <c:v>1.5873312872993733E-2</c:v>
                </c:pt>
                <c:pt idx="21">
                  <c:v>1.6708729572993734E-2</c:v>
                </c:pt>
                <c:pt idx="22">
                  <c:v>1.6708729572993734E-2</c:v>
                </c:pt>
                <c:pt idx="23">
                  <c:v>1.7544146272993732E-2</c:v>
                </c:pt>
                <c:pt idx="24">
                  <c:v>1.8379562972993733E-2</c:v>
                </c:pt>
                <c:pt idx="25">
                  <c:v>1.921497967299373E-2</c:v>
                </c:pt>
                <c:pt idx="26">
                  <c:v>2.0050396372993731E-2</c:v>
                </c:pt>
                <c:pt idx="27">
                  <c:v>2.0885813072993732E-2</c:v>
                </c:pt>
                <c:pt idx="28">
                  <c:v>2.172122977299373E-2</c:v>
                </c:pt>
                <c:pt idx="29">
                  <c:v>2.2556646472993731E-2</c:v>
                </c:pt>
                <c:pt idx="30">
                  <c:v>2.3392063172993732E-2</c:v>
                </c:pt>
                <c:pt idx="31">
                  <c:v>2.4227479872993729E-2</c:v>
                </c:pt>
                <c:pt idx="32">
                  <c:v>2.506289657299373E-2</c:v>
                </c:pt>
                <c:pt idx="33">
                  <c:v>2.506289657299373E-2</c:v>
                </c:pt>
                <c:pt idx="34">
                  <c:v>2.5898313272993731E-2</c:v>
                </c:pt>
                <c:pt idx="35">
                  <c:v>2.6733729972993728E-2</c:v>
                </c:pt>
                <c:pt idx="36">
                  <c:v>2.7569146672993729E-2</c:v>
                </c:pt>
                <c:pt idx="37">
                  <c:v>2.8404563372993727E-2</c:v>
                </c:pt>
                <c:pt idx="38">
                  <c:v>2.9239980072993728E-2</c:v>
                </c:pt>
                <c:pt idx="39">
                  <c:v>3.0075396772993729E-2</c:v>
                </c:pt>
                <c:pt idx="40">
                  <c:v>3.0910813472993726E-2</c:v>
                </c:pt>
                <c:pt idx="41">
                  <c:v>3.1746230172993731E-2</c:v>
                </c:pt>
                <c:pt idx="42">
                  <c:v>3.2581646872993732E-2</c:v>
                </c:pt>
                <c:pt idx="43">
                  <c:v>3.3417063572993726E-2</c:v>
                </c:pt>
                <c:pt idx="44">
                  <c:v>3.3417063572993726E-2</c:v>
                </c:pt>
                <c:pt idx="45">
                  <c:v>3.4252480272993727E-2</c:v>
                </c:pt>
                <c:pt idx="46">
                  <c:v>3.5087896972993735E-2</c:v>
                </c:pt>
                <c:pt idx="47">
                  <c:v>3.5923313672993736E-2</c:v>
                </c:pt>
                <c:pt idx="48">
                  <c:v>3.6758730372993736E-2</c:v>
                </c:pt>
                <c:pt idx="49">
                  <c:v>3.7594147072993744E-2</c:v>
                </c:pt>
                <c:pt idx="50">
                  <c:v>3.8429563772993745E-2</c:v>
                </c:pt>
                <c:pt idx="51">
                  <c:v>3.9264980472993746E-2</c:v>
                </c:pt>
                <c:pt idx="52">
                  <c:v>4.0100397172993754E-2</c:v>
                </c:pt>
                <c:pt idx="53">
                  <c:v>4.0935813872993755E-2</c:v>
                </c:pt>
                <c:pt idx="54">
                  <c:v>4.1771230572993721E-2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-8.8999999999999995E-5</c:v>
                </c:pt>
                <c:pt idx="2">
                  <c:v>-9.2E-5</c:v>
                </c:pt>
                <c:pt idx="3">
                  <c:v>-9.5000000000000005E-5</c:v>
                </c:pt>
                <c:pt idx="4">
                  <c:v>-9.7999999999999997E-5</c:v>
                </c:pt>
                <c:pt idx="5">
                  <c:v>-1.01E-4</c:v>
                </c:pt>
                <c:pt idx="6">
                  <c:v>-1.0399999999999999E-4</c:v>
                </c:pt>
                <c:pt idx="7">
                  <c:v>-1.07E-4</c:v>
                </c:pt>
                <c:pt idx="8">
                  <c:v>-1.1E-4</c:v>
                </c:pt>
                <c:pt idx="9">
                  <c:v>-1.13E-4</c:v>
                </c:pt>
                <c:pt idx="10">
                  <c:v>-1.16E-4</c:v>
                </c:pt>
                <c:pt idx="11">
                  <c:v>-1.16E-4</c:v>
                </c:pt>
                <c:pt idx="12">
                  <c:v>-1.1900000000000001E-4</c:v>
                </c:pt>
                <c:pt idx="13">
                  <c:v>-1.22E-4</c:v>
                </c:pt>
                <c:pt idx="14">
                  <c:v>-1.25E-4</c:v>
                </c:pt>
                <c:pt idx="15">
                  <c:v>-1.2799999999999999E-4</c:v>
                </c:pt>
                <c:pt idx="16">
                  <c:v>-1.3100000000000001E-4</c:v>
                </c:pt>
                <c:pt idx="17">
                  <c:v>-1.34E-4</c:v>
                </c:pt>
                <c:pt idx="18">
                  <c:v>-1.37E-4</c:v>
                </c:pt>
                <c:pt idx="19">
                  <c:v>-1.3999999999999999E-4</c:v>
                </c:pt>
                <c:pt idx="20">
                  <c:v>-1.37E-4</c:v>
                </c:pt>
                <c:pt idx="21">
                  <c:v>-1.3300000000000001E-4</c:v>
                </c:pt>
                <c:pt idx="22">
                  <c:v>-1.3300000000000001E-4</c:v>
                </c:pt>
                <c:pt idx="23">
                  <c:v>-1.2999999999999999E-4</c:v>
                </c:pt>
                <c:pt idx="24">
                  <c:v>-1.26E-4</c:v>
                </c:pt>
                <c:pt idx="25">
                  <c:v>-1.22E-4</c:v>
                </c:pt>
                <c:pt idx="26">
                  <c:v>-1.18E-4</c:v>
                </c:pt>
                <c:pt idx="27">
                  <c:v>-1.1400000000000001E-4</c:v>
                </c:pt>
                <c:pt idx="28">
                  <c:v>-1.1E-4</c:v>
                </c:pt>
                <c:pt idx="29">
                  <c:v>-1.06E-4</c:v>
                </c:pt>
                <c:pt idx="30">
                  <c:v>-1.02E-4</c:v>
                </c:pt>
                <c:pt idx="31">
                  <c:v>-9.7999999999999997E-5</c:v>
                </c:pt>
                <c:pt idx="32">
                  <c:v>-9.3999999999999994E-5</c:v>
                </c:pt>
                <c:pt idx="33">
                  <c:v>-9.3999999999999994E-5</c:v>
                </c:pt>
                <c:pt idx="34">
                  <c:v>-9.0000000000000006E-5</c:v>
                </c:pt>
                <c:pt idx="35">
                  <c:v>-8.6000000000000003E-5</c:v>
                </c:pt>
                <c:pt idx="36">
                  <c:v>-8.2000000000000001E-5</c:v>
                </c:pt>
                <c:pt idx="37">
                  <c:v>-7.7999999999999999E-5</c:v>
                </c:pt>
                <c:pt idx="38">
                  <c:v>-7.3999999999999996E-5</c:v>
                </c:pt>
                <c:pt idx="39">
                  <c:v>-6.9999999999999994E-5</c:v>
                </c:pt>
                <c:pt idx="40">
                  <c:v>-6.6000000000000005E-5</c:v>
                </c:pt>
                <c:pt idx="41">
                  <c:v>-6.2000000000000003E-5</c:v>
                </c:pt>
                <c:pt idx="42">
                  <c:v>-5.8E-5</c:v>
                </c:pt>
                <c:pt idx="43">
                  <c:v>-5.3000000000000001E-5</c:v>
                </c:pt>
                <c:pt idx="44">
                  <c:v>-5.3000000000000001E-5</c:v>
                </c:pt>
                <c:pt idx="45">
                  <c:v>-4.8999999999999998E-5</c:v>
                </c:pt>
                <c:pt idx="46">
                  <c:v>-4.3999999999999999E-5</c:v>
                </c:pt>
                <c:pt idx="47">
                  <c:v>-3.8999999999999999E-5</c:v>
                </c:pt>
                <c:pt idx="48">
                  <c:v>-3.4E-5</c:v>
                </c:pt>
                <c:pt idx="49">
                  <c:v>-2.9E-5</c:v>
                </c:pt>
                <c:pt idx="50">
                  <c:v>-2.4000000000000001E-5</c:v>
                </c:pt>
                <c:pt idx="51">
                  <c:v>-1.9000000000000001E-5</c:v>
                </c:pt>
                <c:pt idx="52">
                  <c:v>-1.4E-5</c:v>
                </c:pt>
                <c:pt idx="53">
                  <c:v>-7.9999999999999996E-6</c:v>
                </c:pt>
                <c:pt idx="54">
                  <c:v>-1.9999999999999999E-6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4.1771230572993701E-2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4.1771230572993701E-2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4.1771230572993701E-2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4.1771230572993701E-2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4.1771230572993701E-2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4.1771230572993701E-2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8.0857069182295652E-7</c:v>
                      </c:pt>
                      <c:pt idx="1">
                        <c:v>5.0475553294945189E-4</c:v>
                      </c:pt>
                      <c:pt idx="2">
                        <c:v>1.0087024952070808E-3</c:v>
                      </c:pt>
                      <c:pt idx="3">
                        <c:v>1.51264945746471E-3</c:v>
                      </c:pt>
                      <c:pt idx="4">
                        <c:v>2.0165964197223392E-3</c:v>
                      </c:pt>
                      <c:pt idx="5">
                        <c:v>2.5205433819799677E-3</c:v>
                      </c:pt>
                      <c:pt idx="6">
                        <c:v>3.0244903442375971E-3</c:v>
                      </c:pt>
                      <c:pt idx="7">
                        <c:v>3.5284373064952265E-3</c:v>
                      </c:pt>
                      <c:pt idx="8">
                        <c:v>4.032384268752855E-3</c:v>
                      </c:pt>
                      <c:pt idx="9">
                        <c:v>4.5363312310104835E-3</c:v>
                      </c:pt>
                      <c:pt idx="10">
                        <c:v>5.0402781932681129E-3</c:v>
                      </c:pt>
                      <c:pt idx="11">
                        <c:v>5.5442251555257414E-3</c:v>
                      </c:pt>
                      <c:pt idx="12">
                        <c:v>6.0481721177833708E-3</c:v>
                      </c:pt>
                      <c:pt idx="13">
                        <c:v>6.5521190800410002E-3</c:v>
                      </c:pt>
                      <c:pt idx="14">
                        <c:v>7.0560660422986296E-3</c:v>
                      </c:pt>
                      <c:pt idx="15">
                        <c:v>7.5600130045562581E-3</c:v>
                      </c:pt>
                      <c:pt idx="16">
                        <c:v>8.0639599668138884E-3</c:v>
                      </c:pt>
                      <c:pt idx="17">
                        <c:v>8.567906929071516E-3</c:v>
                      </c:pt>
                      <c:pt idx="18">
                        <c:v>9.0718538913291437E-3</c:v>
                      </c:pt>
                      <c:pt idx="19">
                        <c:v>9.5758008535867731E-3</c:v>
                      </c:pt>
                      <c:pt idx="20">
                        <c:v>1.0079747815844402E-2</c:v>
                      </c:pt>
                      <c:pt idx="21">
                        <c:v>1.0583694778102032E-2</c:v>
                      </c:pt>
                      <c:pt idx="22">
                        <c:v>1.1087641740359661E-2</c:v>
                      </c:pt>
                      <c:pt idx="23">
                        <c:v>1.1591588702617289E-2</c:v>
                      </c:pt>
                      <c:pt idx="24">
                        <c:v>1.2095535664874918E-2</c:v>
                      </c:pt>
                      <c:pt idx="25">
                        <c:v>1.2599482627132549E-2</c:v>
                      </c:pt>
                      <c:pt idx="26">
                        <c:v>1.3103429589390179E-2</c:v>
                      </c:pt>
                      <c:pt idx="27">
                        <c:v>1.360737655164781E-2</c:v>
                      </c:pt>
                      <c:pt idx="28">
                        <c:v>1.4111323513905439E-2</c:v>
                      </c:pt>
                      <c:pt idx="29">
                        <c:v>1.4615270476163069E-2</c:v>
                      </c:pt>
                      <c:pt idx="30">
                        <c:v>1.51192174384207E-2</c:v>
                      </c:pt>
                      <c:pt idx="31">
                        <c:v>1.5623164400678329E-2</c:v>
                      </c:pt>
                      <c:pt idx="32">
                        <c:v>1.6127111362935962E-2</c:v>
                      </c:pt>
                      <c:pt idx="33">
                        <c:v>1.6631058325193591E-2</c:v>
                      </c:pt>
                      <c:pt idx="34">
                        <c:v>1.7135005287451221E-2</c:v>
                      </c:pt>
                      <c:pt idx="35">
                        <c:v>1.763895224970885E-2</c:v>
                      </c:pt>
                      <c:pt idx="36">
                        <c:v>1.8142899211966483E-2</c:v>
                      </c:pt>
                      <c:pt idx="37">
                        <c:v>1.8646846174224112E-2</c:v>
                      </c:pt>
                      <c:pt idx="38">
                        <c:v>1.9150793136481742E-2</c:v>
                      </c:pt>
                      <c:pt idx="39">
                        <c:v>1.9654740098739371E-2</c:v>
                      </c:pt>
                      <c:pt idx="40">
                        <c:v>2.0158687060997001E-2</c:v>
                      </c:pt>
                      <c:pt idx="41">
                        <c:v>2.0662634023254633E-2</c:v>
                      </c:pt>
                      <c:pt idx="42">
                        <c:v>2.1166580985512263E-2</c:v>
                      </c:pt>
                      <c:pt idx="43">
                        <c:v>2.1670527947769892E-2</c:v>
                      </c:pt>
                      <c:pt idx="44">
                        <c:v>2.2174474910027522E-2</c:v>
                      </c:pt>
                      <c:pt idx="45">
                        <c:v>2.2678421872285155E-2</c:v>
                      </c:pt>
                      <c:pt idx="46">
                        <c:v>2.3182368834542787E-2</c:v>
                      </c:pt>
                      <c:pt idx="47">
                        <c:v>2.3686315796800413E-2</c:v>
                      </c:pt>
                      <c:pt idx="48">
                        <c:v>2.4190262759058039E-2</c:v>
                      </c:pt>
                      <c:pt idx="49">
                        <c:v>2.4694209721315672E-2</c:v>
                      </c:pt>
                      <c:pt idx="50">
                        <c:v>2.5198156683573298E-2</c:v>
                      </c:pt>
                      <c:pt idx="51">
                        <c:v>2.5702103645830924E-2</c:v>
                      </c:pt>
                      <c:pt idx="52">
                        <c:v>2.620605060808855E-2</c:v>
                      </c:pt>
                      <c:pt idx="53">
                        <c:v>2.6709997570346176E-2</c:v>
                      </c:pt>
                      <c:pt idx="54">
                        <c:v>2.7213944532603809E-2</c:v>
                      </c:pt>
                      <c:pt idx="55">
                        <c:v>2.7717891494861435E-2</c:v>
                      </c:pt>
                      <c:pt idx="56">
                        <c:v>2.822183845711906E-2</c:v>
                      </c:pt>
                      <c:pt idx="57">
                        <c:v>2.8725785419376686E-2</c:v>
                      </c:pt>
                      <c:pt idx="58">
                        <c:v>2.9229732381634319E-2</c:v>
                      </c:pt>
                      <c:pt idx="59">
                        <c:v>2.9733679343891945E-2</c:v>
                      </c:pt>
                      <c:pt idx="60">
                        <c:v>3.0237626306149564E-2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7.4324389504161095E-16</c:v>
                      </c:pt>
                      <c:pt idx="1">
                        <c:v>1.1526786000959157E-2</c:v>
                      </c:pt>
                      <c:pt idx="2">
                        <c:v>2.3077481830950243E-2</c:v>
                      </c:pt>
                      <c:pt idx="3">
                        <c:v>3.4616405275877456E-2</c:v>
                      </c:pt>
                      <c:pt idx="4">
                        <c:v>4.6155336912738903E-2</c:v>
                      </c:pt>
                      <c:pt idx="5">
                        <c:v>5.7694097146379637E-2</c:v>
                      </c:pt>
                      <c:pt idx="6">
                        <c:v>6.9228470990362348E-2</c:v>
                      </c:pt>
                      <c:pt idx="7">
                        <c:v>8.0764299320354796E-2</c:v>
                      </c:pt>
                      <c:pt idx="8">
                        <c:v>9.2299310174618468E-2</c:v>
                      </c:pt>
                      <c:pt idx="9">
                        <c:v>0.10383459557556812</c:v>
                      </c:pt>
                      <c:pt idx="10">
                        <c:v>0.11536988104603746</c:v>
                      </c:pt>
                      <c:pt idx="11">
                        <c:v>0.12690301622816982</c:v>
                      </c:pt>
                      <c:pt idx="12">
                        <c:v>0.13843440343355021</c:v>
                      </c:pt>
                      <c:pt idx="13">
                        <c:v>0.14996546805870584</c:v>
                      </c:pt>
                      <c:pt idx="14">
                        <c:v>0.16149480218731402</c:v>
                      </c:pt>
                      <c:pt idx="15">
                        <c:v>0.17302160080266055</c:v>
                      </c:pt>
                      <c:pt idx="16">
                        <c:v>0.18454943744005575</c:v>
                      </c:pt>
                      <c:pt idx="17">
                        <c:v>0.19607734093977891</c:v>
                      </c:pt>
                      <c:pt idx="18">
                        <c:v>0.20760260663919672</c:v>
                      </c:pt>
                      <c:pt idx="19">
                        <c:v>0.21913201925560541</c:v>
                      </c:pt>
                      <c:pt idx="20">
                        <c:v>0.23065843592821117</c:v>
                      </c:pt>
                      <c:pt idx="21">
                        <c:v>0.24218427596618425</c:v>
                      </c:pt>
                      <c:pt idx="22">
                        <c:v>0.253710989035557</c:v>
                      </c:pt>
                      <c:pt idx="23">
                        <c:v>0.26523290817916773</c:v>
                      </c:pt>
                      <c:pt idx="24">
                        <c:v>0.2767579255172013</c:v>
                      </c:pt>
                      <c:pt idx="25">
                        <c:v>0.28828155575866454</c:v>
                      </c:pt>
                      <c:pt idx="26">
                        <c:v>0.29980549309726778</c:v>
                      </c:pt>
                      <c:pt idx="27">
                        <c:v>0.31132870751115077</c:v>
                      </c:pt>
                      <c:pt idx="28">
                        <c:v>0.32282688383982788</c:v>
                      </c:pt>
                      <c:pt idx="29">
                        <c:v>0.33433391086970227</c:v>
                      </c:pt>
                      <c:pt idx="30">
                        <c:v>0.34583842828897954</c:v>
                      </c:pt>
                      <c:pt idx="31">
                        <c:v>0.35734506989639231</c:v>
                      </c:pt>
                      <c:pt idx="32">
                        <c:v>0.36885098349436557</c:v>
                      </c:pt>
                      <c:pt idx="33">
                        <c:v>0.38035617909420738</c:v>
                      </c:pt>
                      <c:pt idx="34">
                        <c:v>0.3918393470055459</c:v>
                      </c:pt>
                      <c:pt idx="35">
                        <c:v>0.40332946978355022</c:v>
                      </c:pt>
                      <c:pt idx="36">
                        <c:v>0.41481998129975761</c:v>
                      </c:pt>
                      <c:pt idx="37">
                        <c:v>0.42623671876305308</c:v>
                      </c:pt>
                      <c:pt idx="38">
                        <c:v>0.43768955502740042</c:v>
                      </c:pt>
                      <c:pt idx="39">
                        <c:v>0.44913345065019894</c:v>
                      </c:pt>
                      <c:pt idx="40">
                        <c:v>0.4605313933190005</c:v>
                      </c:pt>
                      <c:pt idx="41">
                        <c:v>0.47178790423980332</c:v>
                      </c:pt>
                      <c:pt idx="42">
                        <c:v>0.48311578720704429</c:v>
                      </c:pt>
                      <c:pt idx="43">
                        <c:v>0.49444233407293636</c:v>
                      </c:pt>
                      <c:pt idx="44">
                        <c:v>0.50536924725185273</c:v>
                      </c:pt>
                      <c:pt idx="45">
                        <c:v>0.5164057643449308</c:v>
                      </c:pt>
                      <c:pt idx="46">
                        <c:v>0.52746679219491444</c:v>
                      </c:pt>
                      <c:pt idx="47">
                        <c:v>0.53852829767264498</c:v>
                      </c:pt>
                      <c:pt idx="48">
                        <c:v>0.5495902561544751</c:v>
                      </c:pt>
                      <c:pt idx="49">
                        <c:v>0.56064995112086879</c:v>
                      </c:pt>
                      <c:pt idx="50">
                        <c:v>0.57171003511907681</c:v>
                      </c:pt>
                      <c:pt idx="51">
                        <c:v>0.58276957919530503</c:v>
                      </c:pt>
                      <c:pt idx="52">
                        <c:v>0.59382797295424139</c:v>
                      </c:pt>
                      <c:pt idx="53">
                        <c:v>0.60406122426750908</c:v>
                      </c:pt>
                      <c:pt idx="54">
                        <c:v>0.61458988734646147</c:v>
                      </c:pt>
                      <c:pt idx="55">
                        <c:v>0.62514636532505841</c:v>
                      </c:pt>
                      <c:pt idx="56">
                        <c:v>0.63570484500315938</c:v>
                      </c:pt>
                      <c:pt idx="57">
                        <c:v>0.64625748032832597</c:v>
                      </c:pt>
                      <c:pt idx="58">
                        <c:v>0.65681121412122279</c:v>
                      </c:pt>
                      <c:pt idx="59">
                        <c:v>0.66736702661503</c:v>
                      </c:pt>
                      <c:pt idx="60">
                        <c:v>0.67789867042988916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3.0236817828442623E-2</c:v>
                      </c:pt>
                      <c:pt idx="2">
                        <c:v>3.0236817828442623E-2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0.69681237793384743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2.8691630166360924E-7</c:v>
                      </c:pt>
                      <c:pt idx="1">
                        <c:v>5.0523938126411337E-4</c:v>
                      </c:pt>
                      <c:pt idx="2">
                        <c:v>1.0101918462265629E-3</c:v>
                      </c:pt>
                      <c:pt idx="3">
                        <c:v>1.5151443111890124E-3</c:v>
                      </c:pt>
                      <c:pt idx="4">
                        <c:v>2.020096776151462E-3</c:v>
                      </c:pt>
                      <c:pt idx="5">
                        <c:v>2.525049241113912E-3</c:v>
                      </c:pt>
                      <c:pt idx="6">
                        <c:v>3.0300017060763615E-3</c:v>
                      </c:pt>
                      <c:pt idx="7">
                        <c:v>3.534954171038811E-3</c:v>
                      </c:pt>
                      <c:pt idx="8">
                        <c:v>4.0399066360012614E-3</c:v>
                      </c:pt>
                      <c:pt idx="9">
                        <c:v>4.5448591009637105E-3</c:v>
                      </c:pt>
                      <c:pt idx="10">
                        <c:v>5.0498115659261614E-3</c:v>
                      </c:pt>
                      <c:pt idx="11">
                        <c:v>5.5547640308886105E-3</c:v>
                      </c:pt>
                      <c:pt idx="12">
                        <c:v>6.0597164958510596E-3</c:v>
                      </c:pt>
                      <c:pt idx="13">
                        <c:v>6.5646689608135104E-3</c:v>
                      </c:pt>
                      <c:pt idx="14">
                        <c:v>7.0696214257759604E-3</c:v>
                      </c:pt>
                      <c:pt idx="15">
                        <c:v>7.5745738907384104E-3</c:v>
                      </c:pt>
                      <c:pt idx="16">
                        <c:v>8.0795263557008595E-3</c:v>
                      </c:pt>
                      <c:pt idx="17">
                        <c:v>8.5844788206633094E-3</c:v>
                      </c:pt>
                      <c:pt idx="18">
                        <c:v>9.0894312856257594E-3</c:v>
                      </c:pt>
                      <c:pt idx="19">
                        <c:v>9.5943837505882111E-3</c:v>
                      </c:pt>
                      <c:pt idx="20">
                        <c:v>1.0099336215550659E-2</c:v>
                      </c:pt>
                      <c:pt idx="21">
                        <c:v>1.0604288680513109E-2</c:v>
                      </c:pt>
                      <c:pt idx="22">
                        <c:v>1.1109241145475559E-2</c:v>
                      </c:pt>
                      <c:pt idx="23">
                        <c:v>1.1614193610438009E-2</c:v>
                      </c:pt>
                      <c:pt idx="24">
                        <c:v>1.2119146075400459E-2</c:v>
                      </c:pt>
                      <c:pt idx="25">
                        <c:v>1.2624098540362907E-2</c:v>
                      </c:pt>
                      <c:pt idx="26">
                        <c:v>1.3129051005325357E-2</c:v>
                      </c:pt>
                      <c:pt idx="27">
                        <c:v>1.3634003470287807E-2</c:v>
                      </c:pt>
                      <c:pt idx="28">
                        <c:v>1.4138955935250257E-2</c:v>
                      </c:pt>
                      <c:pt idx="29">
                        <c:v>1.4643908400212707E-2</c:v>
                      </c:pt>
                      <c:pt idx="30">
                        <c:v>1.5148860865175159E-2</c:v>
                      </c:pt>
                      <c:pt idx="31">
                        <c:v>1.5653813330137607E-2</c:v>
                      </c:pt>
                      <c:pt idx="32">
                        <c:v>1.6158765795100057E-2</c:v>
                      </c:pt>
                      <c:pt idx="33">
                        <c:v>1.6663718260062507E-2</c:v>
                      </c:pt>
                      <c:pt idx="34">
                        <c:v>1.7168670725024957E-2</c:v>
                      </c:pt>
                      <c:pt idx="35">
                        <c:v>1.7673623189987407E-2</c:v>
                      </c:pt>
                      <c:pt idx="36">
                        <c:v>1.8178575654949857E-2</c:v>
                      </c:pt>
                      <c:pt idx="37">
                        <c:v>1.8683528119912307E-2</c:v>
                      </c:pt>
                      <c:pt idx="38">
                        <c:v>1.9188480584874757E-2</c:v>
                      </c:pt>
                      <c:pt idx="39">
                        <c:v>1.9693433049837207E-2</c:v>
                      </c:pt>
                      <c:pt idx="40">
                        <c:v>2.0198385514799657E-2</c:v>
                      </c:pt>
                      <c:pt idx="41">
                        <c:v>2.0703337979762107E-2</c:v>
                      </c:pt>
                      <c:pt idx="42">
                        <c:v>2.1208290444724557E-2</c:v>
                      </c:pt>
                      <c:pt idx="43">
                        <c:v>2.1713242909687007E-2</c:v>
                      </c:pt>
                      <c:pt idx="44">
                        <c:v>2.2218195374649457E-2</c:v>
                      </c:pt>
                      <c:pt idx="45">
                        <c:v>2.2723147839611907E-2</c:v>
                      </c:pt>
                      <c:pt idx="46">
                        <c:v>2.3228100304574353E-2</c:v>
                      </c:pt>
                      <c:pt idx="47">
                        <c:v>2.3733052769536803E-2</c:v>
                      </c:pt>
                      <c:pt idx="48">
                        <c:v>2.423800523449925E-2</c:v>
                      </c:pt>
                      <c:pt idx="49">
                        <c:v>2.4742957699461696E-2</c:v>
                      </c:pt>
                      <c:pt idx="50">
                        <c:v>2.5247910164424146E-2</c:v>
                      </c:pt>
                      <c:pt idx="51">
                        <c:v>2.5752862629386593E-2</c:v>
                      </c:pt>
                      <c:pt idx="52">
                        <c:v>2.6257815094349043E-2</c:v>
                      </c:pt>
                      <c:pt idx="53">
                        <c:v>2.6762767559311489E-2</c:v>
                      </c:pt>
                      <c:pt idx="54">
                        <c:v>2.7267720024273936E-2</c:v>
                      </c:pt>
                      <c:pt idx="55">
                        <c:v>2.7772672489236386E-2</c:v>
                      </c:pt>
                      <c:pt idx="56">
                        <c:v>2.8277624954198832E-2</c:v>
                      </c:pt>
                      <c:pt idx="57">
                        <c:v>2.8782577419161275E-2</c:v>
                      </c:pt>
                      <c:pt idx="58">
                        <c:v>2.9287529884123722E-2</c:v>
                      </c:pt>
                      <c:pt idx="59">
                        <c:v>2.9792482349086172E-2</c:v>
                      </c:pt>
                      <c:pt idx="60">
                        <c:v>3.0297434814048618E-2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1.720326666767533E-14</c:v>
                      </c:pt>
                      <c:pt idx="1">
                        <c:v>1.1502449563861396E-2</c:v>
                      </c:pt>
                      <c:pt idx="2">
                        <c:v>2.3029085140443484E-2</c:v>
                      </c:pt>
                      <c:pt idx="3">
                        <c:v>3.4543563901974536E-2</c:v>
                      </c:pt>
                      <c:pt idx="4">
                        <c:v>4.6058108605560907E-2</c:v>
                      </c:pt>
                      <c:pt idx="5">
                        <c:v>5.7572870146306493E-2</c:v>
                      </c:pt>
                      <c:pt idx="6">
                        <c:v>6.9086917856174157E-2</c:v>
                      </c:pt>
                      <c:pt idx="7">
                        <c:v>8.0598495147967228E-2</c:v>
                      </c:pt>
                      <c:pt idx="8">
                        <c:v>9.2110350064944738E-2</c:v>
                      </c:pt>
                      <c:pt idx="9">
                        <c:v>0.10361724625028822</c:v>
                      </c:pt>
                      <c:pt idx="10">
                        <c:v>0.11512500618136161</c:v>
                      </c:pt>
                      <c:pt idx="11">
                        <c:v>0.12662917130222168</c:v>
                      </c:pt>
                      <c:pt idx="12">
                        <c:v>0.13813245452594736</c:v>
                      </c:pt>
                      <c:pt idx="13">
                        <c:v>0.14963531013120004</c:v>
                      </c:pt>
                      <c:pt idx="14">
                        <c:v>0.16113764110435524</c:v>
                      </c:pt>
                      <c:pt idx="15">
                        <c:v>0.1726383100126607</c:v>
                      </c:pt>
                      <c:pt idx="16">
                        <c:v>0.18413504322517435</c:v>
                      </c:pt>
                      <c:pt idx="17">
                        <c:v>0.19562825047811996</c:v>
                      </c:pt>
                      <c:pt idx="18">
                        <c:v>0.2071238517283546</c:v>
                      </c:pt>
                      <c:pt idx="19">
                        <c:v>0.21861937052847513</c:v>
                      </c:pt>
                      <c:pt idx="20">
                        <c:v>0.23011512642155496</c:v>
                      </c:pt>
                      <c:pt idx="21">
                        <c:v>0.24161121995745599</c:v>
                      </c:pt>
                      <c:pt idx="22">
                        <c:v>0.25310761781974883</c:v>
                      </c:pt>
                      <c:pt idx="23">
                        <c:v>0.26460423704269975</c:v>
                      </c:pt>
                      <c:pt idx="24">
                        <c:v>0.27610070263231695</c:v>
                      </c:pt>
                      <c:pt idx="25">
                        <c:v>0.28759875298732274</c:v>
                      </c:pt>
                      <c:pt idx="26">
                        <c:v>0.29910022037159023</c:v>
                      </c:pt>
                      <c:pt idx="27">
                        <c:v>0.3105998439348982</c:v>
                      </c:pt>
                      <c:pt idx="28">
                        <c:v>0.32209897062697745</c:v>
                      </c:pt>
                      <c:pt idx="29">
                        <c:v>0.33360000510976662</c:v>
                      </c:pt>
                      <c:pt idx="30">
                        <c:v>0.34510468733048549</c:v>
                      </c:pt>
                      <c:pt idx="31">
                        <c:v>0.35660814901398846</c:v>
                      </c:pt>
                      <c:pt idx="32">
                        <c:v>0.36811186246168132</c:v>
                      </c:pt>
                      <c:pt idx="33">
                        <c:v>0.37960280197869128</c:v>
                      </c:pt>
                      <c:pt idx="34">
                        <c:v>0.39110465946990103</c:v>
                      </c:pt>
                      <c:pt idx="35">
                        <c:v>0.40259988059997076</c:v>
                      </c:pt>
                      <c:pt idx="36">
                        <c:v>0.41407934922401041</c:v>
                      </c:pt>
                      <c:pt idx="37">
                        <c:v>0.42554255080487563</c:v>
                      </c:pt>
                      <c:pt idx="38">
                        <c:v>0.43698918574788237</c:v>
                      </c:pt>
                      <c:pt idx="39">
                        <c:v>0.44844457690796424</c:v>
                      </c:pt>
                      <c:pt idx="40">
                        <c:v>0.45988680552688094</c:v>
                      </c:pt>
                      <c:pt idx="41">
                        <c:v>0.47133238715209813</c:v>
                      </c:pt>
                      <c:pt idx="42">
                        <c:v>0.48273853385562476</c:v>
                      </c:pt>
                      <c:pt idx="43">
                        <c:v>0.49416816204939107</c:v>
                      </c:pt>
                      <c:pt idx="44">
                        <c:v>0.50557098640193154</c:v>
                      </c:pt>
                      <c:pt idx="45">
                        <c:v>0.51697308541011822</c:v>
                      </c:pt>
                      <c:pt idx="46">
                        <c:v>0.5283096150383908</c:v>
                      </c:pt>
                      <c:pt idx="47">
                        <c:v>0.53946767917204852</c:v>
                      </c:pt>
                      <c:pt idx="48">
                        <c:v>0.55065576215691636</c:v>
                      </c:pt>
                      <c:pt idx="49">
                        <c:v>0.56169322341763339</c:v>
                      </c:pt>
                      <c:pt idx="50">
                        <c:v>0.57230656138682046</c:v>
                      </c:pt>
                      <c:pt idx="51">
                        <c:v>0.58301417378812137</c:v>
                      </c:pt>
                      <c:pt idx="52">
                        <c:v>0.59375658776760498</c:v>
                      </c:pt>
                      <c:pt idx="53">
                        <c:v>0.60449896816744753</c:v>
                      </c:pt>
                      <c:pt idx="54">
                        <c:v>0.61524063630914272</c:v>
                      </c:pt>
                      <c:pt idx="55">
                        <c:v>0.62598232476698668</c:v>
                      </c:pt>
                      <c:pt idx="56">
                        <c:v>0.63672371158432417</c:v>
                      </c:pt>
                      <c:pt idx="57">
                        <c:v>0.6474626095795224</c:v>
                      </c:pt>
                      <c:pt idx="58">
                        <c:v>0.65813024664767295</c:v>
                      </c:pt>
                      <c:pt idx="59">
                        <c:v>0.66804733113825754</c:v>
                      </c:pt>
                      <c:pt idx="60">
                        <c:v>0.67828741925766445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3.0297148134698144E-2</c:v>
                      </c:pt>
                      <c:pt idx="2">
                        <c:v>3.0297148134698144E-2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0.69542482475635059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917</v>
      </c>
      <c r="C2" s="6">
        <v>0.34699999999999998</v>
      </c>
      <c r="E2" s="51" t="s">
        <v>30</v>
      </c>
      <c r="F2" s="51"/>
    </row>
    <row r="3" spans="1:19" ht="13.9" customHeight="1" x14ac:dyDescent="0.25">
      <c r="B3" s="5" t="s">
        <v>918</v>
      </c>
      <c r="C3" s="6">
        <v>9.2999999999999999E-2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122</v>
      </c>
      <c r="E5" s="6"/>
      <c r="F5" s="6"/>
      <c r="S5" s="11"/>
    </row>
    <row r="6" spans="1:19" ht="13.9" customHeight="1" x14ac:dyDescent="0.25">
      <c r="B6" s="21" t="s">
        <v>133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2" t="s">
        <v>16</v>
      </c>
      <c r="C10" s="53"/>
      <c r="D10" s="53"/>
      <c r="E10" s="53"/>
      <c r="F10" s="53"/>
      <c r="G10" s="54"/>
    </row>
    <row r="11" spans="1:19" ht="13.9" customHeight="1" x14ac:dyDescent="0.25">
      <c r="B11" s="52" t="s">
        <v>17</v>
      </c>
      <c r="C11" s="54"/>
      <c r="E11" s="52" t="s">
        <v>18</v>
      </c>
      <c r="F11" s="53"/>
      <c r="G11" s="54"/>
    </row>
    <row r="12" spans="1:19" ht="13.9" customHeight="1" x14ac:dyDescent="0.25">
      <c r="B12" s="17" t="s">
        <v>919</v>
      </c>
      <c r="C12" s="18">
        <v>2298.992918176747</v>
      </c>
      <c r="E12" s="49" t="s">
        <v>919</v>
      </c>
      <c r="F12" s="50"/>
      <c r="G12" s="18">
        <v>2298.992918176747</v>
      </c>
    </row>
    <row r="13" spans="1:19" ht="13.9" customHeight="1" x14ac:dyDescent="0.2">
      <c r="B13" s="17" t="s">
        <v>920</v>
      </c>
      <c r="C13" s="18">
        <v>42.195477711782218</v>
      </c>
      <c r="E13" s="49" t="s">
        <v>921</v>
      </c>
      <c r="F13" s="50"/>
      <c r="G13" s="18">
        <v>41.740906171512997</v>
      </c>
      <c r="S13" s="11"/>
    </row>
    <row r="14" spans="1:19" ht="13.9" customHeight="1" x14ac:dyDescent="0.25">
      <c r="B14" s="17" t="s">
        <v>2</v>
      </c>
      <c r="C14" s="18">
        <v>1780.45833932551</v>
      </c>
      <c r="E14" s="49" t="s">
        <v>2</v>
      </c>
      <c r="F14" s="50"/>
      <c r="G14" s="18">
        <v>1742.3032480190518</v>
      </c>
    </row>
    <row r="15" spans="1:19" ht="13.9" customHeight="1" x14ac:dyDescent="0.25">
      <c r="B15" s="17" t="s">
        <v>3</v>
      </c>
      <c r="C15" s="18">
        <v>0.77445142403375944</v>
      </c>
      <c r="E15" s="49" t="s">
        <v>3</v>
      </c>
      <c r="F15" s="50"/>
      <c r="G15" s="18">
        <v>0.75785498695699038</v>
      </c>
    </row>
    <row r="16" spans="1:19" ht="13.9" customHeight="1" x14ac:dyDescent="0.25">
      <c r="B16" s="17" t="s">
        <v>922</v>
      </c>
      <c r="C16" s="18">
        <v>3.2130579682091827E-2</v>
      </c>
      <c r="E16" s="49" t="s">
        <v>923</v>
      </c>
      <c r="F16" s="50"/>
      <c r="G16" s="18">
        <v>3.3030073250530208E-2</v>
      </c>
    </row>
    <row r="17" spans="2:19" ht="13.9" customHeight="1" x14ac:dyDescent="0.2">
      <c r="B17" s="17" t="s">
        <v>924</v>
      </c>
      <c r="C17" s="18">
        <v>1.3557651588423483</v>
      </c>
      <c r="E17" s="49" t="s">
        <v>925</v>
      </c>
      <c r="F17" s="50"/>
      <c r="G17" s="18">
        <v>1.3787051883885826</v>
      </c>
      <c r="S17" s="11"/>
    </row>
    <row r="18" spans="2:19" ht="13.9" customHeight="1" x14ac:dyDescent="0.25">
      <c r="B18" s="17" t="s">
        <v>926</v>
      </c>
      <c r="C18" s="18">
        <v>1.3088503144910892</v>
      </c>
      <c r="E18" s="49" t="s">
        <v>927</v>
      </c>
      <c r="F18" s="50"/>
      <c r="G18" s="18">
        <v>1.3114618108715586</v>
      </c>
    </row>
    <row r="19" spans="2:19" ht="13.9" customHeight="1" x14ac:dyDescent="0.25">
      <c r="B19" s="17" t="s">
        <v>928</v>
      </c>
      <c r="C19" s="18">
        <v>5.3602305475504333E-2</v>
      </c>
      <c r="E19" s="49" t="s">
        <v>928</v>
      </c>
      <c r="F19" s="50"/>
      <c r="G19" s="18">
        <v>5.3602305475504333E-2</v>
      </c>
    </row>
    <row r="20" spans="2:19" ht="13.9" customHeight="1" x14ac:dyDescent="0.25">
      <c r="B20" s="17" t="s">
        <v>929</v>
      </c>
      <c r="C20" s="18">
        <v>0.26801152737752165</v>
      </c>
      <c r="E20" s="49" t="s">
        <v>929</v>
      </c>
      <c r="F20" s="50"/>
      <c r="G20" s="18">
        <v>0.26801152737752165</v>
      </c>
    </row>
    <row r="21" spans="2:19" ht="13.9" customHeight="1" x14ac:dyDescent="0.2">
      <c r="B21" s="17" t="s">
        <v>930</v>
      </c>
      <c r="C21" s="18">
        <v>0.69681237793384743</v>
      </c>
      <c r="E21" s="49" t="s">
        <v>931</v>
      </c>
      <c r="F21" s="50"/>
      <c r="G21" s="18">
        <v>0.69542482475635059</v>
      </c>
      <c r="S21" s="11"/>
    </row>
    <row r="22" spans="2:19" ht="13.9" customHeight="1" x14ac:dyDescent="0.25">
      <c r="B22" s="17" t="s">
        <v>1</v>
      </c>
      <c r="C22" s="18">
        <v>4.8005377220103522</v>
      </c>
      <c r="E22" s="49" t="s">
        <v>1</v>
      </c>
      <c r="F22" s="50"/>
      <c r="G22" s="18">
        <v>4.7909784753884432</v>
      </c>
    </row>
    <row r="23" spans="2:19" ht="13.9" customHeight="1" x14ac:dyDescent="0.25">
      <c r="B23" s="17" t="s">
        <v>932</v>
      </c>
      <c r="C23" s="18">
        <v>23.045162420444342</v>
      </c>
      <c r="E23" s="49" t="s">
        <v>932</v>
      </c>
      <c r="F23" s="50"/>
      <c r="G23" s="18">
        <v>22.953474751635373</v>
      </c>
    </row>
    <row r="24" spans="2:19" ht="13.9" customHeight="1" x14ac:dyDescent="0.25">
      <c r="B24" s="17" t="s">
        <v>933</v>
      </c>
      <c r="C24" s="19">
        <v>3.0236817828442623E-2</v>
      </c>
      <c r="E24" s="49" t="s">
        <v>934</v>
      </c>
      <c r="F24" s="50"/>
      <c r="G24" s="19">
        <v>3.0297148134698144E-2</v>
      </c>
    </row>
    <row r="25" spans="2:19" ht="13.9" customHeight="1" x14ac:dyDescent="0.2">
      <c r="B25" s="17" t="s">
        <v>935</v>
      </c>
      <c r="C25" s="19">
        <v>4.0994024126065662E-2</v>
      </c>
      <c r="E25" s="49" t="s">
        <v>936</v>
      </c>
      <c r="F25" s="50"/>
      <c r="G25" s="19">
        <v>4.1770835326685796E-2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5</v>
      </c>
      <c r="E27" s="49" t="s">
        <v>53</v>
      </c>
      <c r="F27" s="50"/>
      <c r="G27" s="20">
        <v>5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3.7109375" style="26" bestFit="1" customWidth="1"/>
    <col min="3" max="8" width="7.140625" style="26" bestFit="1" customWidth="1"/>
    <col min="9" max="10" width="9.140625" style="11"/>
    <col min="11" max="11" width="10" style="27" bestFit="1" customWidth="1"/>
    <col min="12" max="12" width="13.7109375" style="28" bestFit="1" customWidth="1"/>
    <col min="13" max="14" width="7.140625" style="29" bestFit="1" customWidth="1"/>
    <col min="15" max="15" width="8.7109375" style="30" customWidth="1"/>
    <col min="16" max="16" width="12.140625" style="30" bestFit="1" customWidth="1"/>
    <col min="17" max="17" width="16.7109375" style="29" bestFit="1" customWidth="1"/>
    <col min="18" max="18" width="9.140625" style="11"/>
    <col min="19" max="19" width="10" style="27" bestFit="1" customWidth="1"/>
    <col min="20" max="20" width="13.7109375" style="28" bestFit="1" customWidth="1"/>
    <col min="21" max="22" width="7.140625" style="29" bestFit="1" customWidth="1"/>
    <col min="23" max="23" width="8.7109375" style="30" customWidth="1"/>
    <col min="24" max="24" width="12.140625" style="30" bestFit="1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19</v>
      </c>
      <c r="L2" s="56"/>
      <c r="M2" s="56"/>
      <c r="N2" s="56"/>
      <c r="O2" s="56"/>
      <c r="P2" s="56"/>
      <c r="Q2" s="57"/>
      <c r="S2" s="55" t="s">
        <v>96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937</v>
      </c>
      <c r="D4" s="7" t="s">
        <v>938</v>
      </c>
      <c r="E4" s="7" t="s">
        <v>939</v>
      </c>
      <c r="F4" s="7" t="s">
        <v>940</v>
      </c>
      <c r="G4" s="7" t="s">
        <v>941</v>
      </c>
      <c r="H4" s="7" t="s">
        <v>942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-21.815100000000001</v>
      </c>
      <c r="P5" s="30">
        <v>0.15110025974025976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-21.797699999999999</v>
      </c>
      <c r="X5" s="30">
        <v>0.15097974025974026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-15.7165</v>
      </c>
      <c r="P6" s="30">
        <v>4.4349911816578484E-2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-15.6791</v>
      </c>
      <c r="X6" s="30">
        <v>4.4244373897707232E-2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-1.3075000000000001</v>
      </c>
      <c r="P7" s="30">
        <v>3.8812615955473098E-3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-1.2585999999999999</v>
      </c>
      <c r="X7" s="30">
        <v>3.7361038961038957E-3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4.033204516914626E-3</v>
      </c>
      <c r="E8" s="26">
        <v>5.3776060225528347E-3</v>
      </c>
      <c r="F8" s="26">
        <v>7.4999999999999997E-3</v>
      </c>
      <c r="G8" s="26">
        <v>2.4E-2</v>
      </c>
      <c r="H8" s="26">
        <v>3.2000000000000001E-2</v>
      </c>
      <c r="K8" s="27">
        <v>198</v>
      </c>
      <c r="L8" s="28" t="s">
        <v>129</v>
      </c>
      <c r="M8" s="29">
        <v>700</v>
      </c>
      <c r="N8" s="29">
        <v>275</v>
      </c>
      <c r="O8" s="30">
        <v>-1.1644000000000001</v>
      </c>
      <c r="P8" s="30">
        <v>3.4564749536178112E-3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-1.1157999999999999</v>
      </c>
      <c r="X8" s="30">
        <v>3.3122077922077922E-3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4.0529005819887488E-3</v>
      </c>
      <c r="E9" s="26">
        <v>5.403867442651665E-3</v>
      </c>
      <c r="F9" s="26">
        <v>7.4999999999999997E-3</v>
      </c>
      <c r="G9" s="26">
        <v>2.4E-2</v>
      </c>
      <c r="H9" s="26">
        <v>3.2000000000000001E-2</v>
      </c>
      <c r="K9" s="27">
        <v>202</v>
      </c>
      <c r="L9" s="28" t="s">
        <v>128</v>
      </c>
      <c r="M9" s="29">
        <v>300</v>
      </c>
      <c r="N9" s="29">
        <v>675</v>
      </c>
      <c r="O9" s="30">
        <v>-18.983699999999999</v>
      </c>
      <c r="P9" s="30">
        <v>5.3569523809523803E-2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-18.945900000000002</v>
      </c>
      <c r="X9" s="30">
        <v>5.3462857142857145E-2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4.0529005819887488E-3</v>
      </c>
      <c r="E10" s="26">
        <v>5.403867442651665E-3</v>
      </c>
      <c r="F10" s="26">
        <v>7.4999999999999997E-3</v>
      </c>
      <c r="G10" s="26">
        <v>2.4E-2</v>
      </c>
      <c r="H10" s="26">
        <v>3.2000000000000001E-2</v>
      </c>
      <c r="K10" s="27">
        <v>190</v>
      </c>
      <c r="L10" s="28" t="s">
        <v>127</v>
      </c>
      <c r="M10" s="29">
        <v>300</v>
      </c>
      <c r="N10" s="29">
        <v>275</v>
      </c>
      <c r="O10" s="30">
        <v>4.6772</v>
      </c>
      <c r="P10" s="30">
        <v>3.2396190476190474E-2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4.6948999999999996</v>
      </c>
      <c r="X10" s="30">
        <v>3.2518787878787876E-2</v>
      </c>
      <c r="Y10" s="29">
        <v>1</v>
      </c>
    </row>
    <row r="11" spans="2:25" x14ac:dyDescent="0.2">
      <c r="K11" s="27">
        <v>206</v>
      </c>
      <c r="L11" s="28" t="s">
        <v>128</v>
      </c>
      <c r="M11" s="29">
        <v>300</v>
      </c>
      <c r="N11" s="29">
        <v>675</v>
      </c>
      <c r="O11" s="30">
        <v>-42.423999999999999</v>
      </c>
      <c r="P11" s="30">
        <v>0.11971499118165785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-42.391100000000002</v>
      </c>
      <c r="X11" s="30">
        <v>0.11962215167548501</v>
      </c>
      <c r="Y11" s="29">
        <v>1</v>
      </c>
    </row>
    <row r="12" spans="2:25" x14ac:dyDescent="0.2">
      <c r="K12" s="27">
        <v>191</v>
      </c>
      <c r="L12" s="28" t="s">
        <v>129</v>
      </c>
      <c r="M12" s="29">
        <v>700</v>
      </c>
      <c r="N12" s="29">
        <v>275</v>
      </c>
      <c r="O12" s="30">
        <v>-10.9527</v>
      </c>
      <c r="P12" s="30">
        <v>3.2512653061224493E-2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-10.883900000000001</v>
      </c>
      <c r="X12" s="30">
        <v>3.230842300556587E-2</v>
      </c>
      <c r="Y12" s="29">
        <v>1</v>
      </c>
    </row>
    <row r="13" spans="2:25" x14ac:dyDescent="0.2">
      <c r="K13" s="27">
        <v>209</v>
      </c>
      <c r="L13" s="28" t="s">
        <v>128</v>
      </c>
      <c r="M13" s="29">
        <v>300</v>
      </c>
      <c r="N13" s="29">
        <v>675</v>
      </c>
      <c r="O13" s="30">
        <v>-27.7241</v>
      </c>
      <c r="P13" s="30">
        <v>7.8233791887125217E-2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-27.671299999999999</v>
      </c>
      <c r="X13" s="30">
        <v>7.8084797178130508E-2</v>
      </c>
      <c r="Y13" s="29">
        <v>1</v>
      </c>
    </row>
    <row r="14" spans="2:25" x14ac:dyDescent="0.2">
      <c r="K14" s="27">
        <v>210</v>
      </c>
      <c r="L14" s="28" t="s">
        <v>128</v>
      </c>
      <c r="M14" s="29">
        <v>300</v>
      </c>
      <c r="N14" s="29">
        <v>675</v>
      </c>
      <c r="O14" s="30">
        <v>-26.7898</v>
      </c>
      <c r="P14" s="30">
        <v>7.5597319223985895E-2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-26.735900000000001</v>
      </c>
      <c r="X14" s="30">
        <v>7.5445220458553799E-2</v>
      </c>
      <c r="Y14" s="29">
        <v>1</v>
      </c>
    </row>
    <row r="15" spans="2:25" x14ac:dyDescent="0.2">
      <c r="K15" s="27">
        <v>193</v>
      </c>
      <c r="L15" s="28" t="s">
        <v>129</v>
      </c>
      <c r="M15" s="29">
        <v>700</v>
      </c>
      <c r="N15" s="29">
        <v>275</v>
      </c>
      <c r="O15" s="30">
        <v>-11.7364</v>
      </c>
      <c r="P15" s="30">
        <v>3.4839035250463821E-2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-11.667199999999999</v>
      </c>
      <c r="X15" s="30">
        <v>3.4633617810760665E-2</v>
      </c>
      <c r="Y15" s="29">
        <v>1</v>
      </c>
    </row>
    <row r="16" spans="2:25" x14ac:dyDescent="0.2">
      <c r="K16" s="27">
        <v>204</v>
      </c>
      <c r="L16" s="28" t="s">
        <v>128</v>
      </c>
      <c r="M16" s="29">
        <v>300</v>
      </c>
      <c r="N16" s="29">
        <v>675</v>
      </c>
      <c r="O16" s="30">
        <v>14.2249</v>
      </c>
      <c r="P16" s="30">
        <v>4.0140811287477957E-2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14.2569</v>
      </c>
      <c r="X16" s="30">
        <v>4.0231111111111113E-2</v>
      </c>
      <c r="Y16" s="29">
        <v>1</v>
      </c>
    </row>
    <row r="17" spans="11:25" x14ac:dyDescent="0.2">
      <c r="K17" s="27">
        <v>205</v>
      </c>
      <c r="L17" s="28" t="s">
        <v>128</v>
      </c>
      <c r="M17" s="29">
        <v>300</v>
      </c>
      <c r="N17" s="29">
        <v>675</v>
      </c>
      <c r="O17" s="30">
        <v>-42.452300000000001</v>
      </c>
      <c r="P17" s="30">
        <v>0.11979485008818343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-42.418999999999997</v>
      </c>
      <c r="X17" s="30">
        <v>0.11970088183421516</v>
      </c>
      <c r="Y17" s="29">
        <v>1</v>
      </c>
    </row>
    <row r="18" spans="11:25" x14ac:dyDescent="0.2">
      <c r="K18" s="27">
        <v>192</v>
      </c>
      <c r="L18" s="28" t="s">
        <v>129</v>
      </c>
      <c r="M18" s="29">
        <v>700</v>
      </c>
      <c r="N18" s="29">
        <v>275</v>
      </c>
      <c r="O18" s="30">
        <v>-11.0113</v>
      </c>
      <c r="P18" s="30">
        <v>3.2686604823747682E-2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-10.942</v>
      </c>
      <c r="X18" s="30">
        <v>3.2480890538033394E-2</v>
      </c>
      <c r="Y18" s="29">
        <v>1</v>
      </c>
    </row>
    <row r="19" spans="11:25" x14ac:dyDescent="0.2">
      <c r="K19" s="27">
        <v>207</v>
      </c>
      <c r="L19" s="28" t="s">
        <v>128</v>
      </c>
      <c r="M19" s="29">
        <v>300</v>
      </c>
      <c r="N19" s="29">
        <v>675</v>
      </c>
      <c r="O19" s="30">
        <v>-27.768599999999999</v>
      </c>
      <c r="P19" s="30">
        <v>7.835936507936507E-2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-27.715499999999999</v>
      </c>
      <c r="X19" s="30">
        <v>7.8209523809523812E-2</v>
      </c>
      <c r="Y19" s="29">
        <v>1</v>
      </c>
    </row>
    <row r="20" spans="11:25" x14ac:dyDescent="0.2">
      <c r="K20" s="27">
        <v>208</v>
      </c>
      <c r="L20" s="28" t="s">
        <v>128</v>
      </c>
      <c r="M20" s="29">
        <v>300</v>
      </c>
      <c r="N20" s="29">
        <v>675</v>
      </c>
      <c r="O20" s="30">
        <v>-26.838000000000001</v>
      </c>
      <c r="P20" s="30">
        <v>7.5733333333333333E-2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-26.7835</v>
      </c>
      <c r="X20" s="30">
        <v>7.5579541446208112E-2</v>
      </c>
      <c r="Y20" s="29">
        <v>1</v>
      </c>
    </row>
    <row r="21" spans="11:25" x14ac:dyDescent="0.2">
      <c r="K21" s="27">
        <v>194</v>
      </c>
      <c r="L21" s="28" t="s">
        <v>129</v>
      </c>
      <c r="M21" s="29">
        <v>700</v>
      </c>
      <c r="N21" s="29">
        <v>275</v>
      </c>
      <c r="O21" s="30">
        <v>-12.4466</v>
      </c>
      <c r="P21" s="30">
        <v>3.6947235621521336E-2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-12.3771</v>
      </c>
      <c r="X21" s="30">
        <v>3.6740927643784789E-2</v>
      </c>
      <c r="Y21" s="29">
        <v>1</v>
      </c>
    </row>
    <row r="22" spans="11:25" x14ac:dyDescent="0.2">
      <c r="K22" s="27">
        <v>203</v>
      </c>
      <c r="L22" s="28" t="s">
        <v>128</v>
      </c>
      <c r="M22" s="29">
        <v>300</v>
      </c>
      <c r="N22" s="29">
        <v>675</v>
      </c>
      <c r="O22" s="30">
        <v>14.6036</v>
      </c>
      <c r="P22" s="30">
        <v>4.1209453262786598E-2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14.6357</v>
      </c>
      <c r="X22" s="30">
        <v>4.1300035273368611E-2</v>
      </c>
      <c r="Y22" s="29">
        <v>1</v>
      </c>
    </row>
    <row r="23" spans="11:25" x14ac:dyDescent="0.2">
      <c r="K23" s="27">
        <v>187</v>
      </c>
      <c r="L23" s="28" t="s">
        <v>127</v>
      </c>
      <c r="M23" s="29">
        <v>300</v>
      </c>
      <c r="N23" s="29">
        <v>275</v>
      </c>
      <c r="O23" s="30">
        <v>-21.869900000000001</v>
      </c>
      <c r="P23" s="30">
        <v>0.15147982683982686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-21.851700000000001</v>
      </c>
      <c r="X23" s="30">
        <v>0.15135376623376623</v>
      </c>
      <c r="Y23" s="29">
        <v>1</v>
      </c>
    </row>
    <row r="24" spans="11:25" x14ac:dyDescent="0.2">
      <c r="K24" s="27">
        <v>199</v>
      </c>
      <c r="L24" s="28" t="s">
        <v>128</v>
      </c>
      <c r="M24" s="29">
        <v>300</v>
      </c>
      <c r="N24" s="29">
        <v>675</v>
      </c>
      <c r="O24" s="30">
        <v>-15.823700000000001</v>
      </c>
      <c r="P24" s="30">
        <v>4.4652416225749558E-2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-15.785</v>
      </c>
      <c r="X24" s="30">
        <v>4.4543209876543213E-2</v>
      </c>
      <c r="Y24" s="29">
        <v>1</v>
      </c>
    </row>
    <row r="25" spans="11:25" x14ac:dyDescent="0.2">
      <c r="K25" s="27">
        <v>195</v>
      </c>
      <c r="L25" s="28" t="s">
        <v>129</v>
      </c>
      <c r="M25" s="29">
        <v>700</v>
      </c>
      <c r="N25" s="29">
        <v>275</v>
      </c>
      <c r="O25" s="30">
        <v>-1.4308000000000001</v>
      </c>
      <c r="P25" s="30">
        <v>4.247272727272728E-3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-1.3822000000000001</v>
      </c>
      <c r="X25" s="30">
        <v>4.103005565862709E-3</v>
      </c>
      <c r="Y25" s="29">
        <v>1</v>
      </c>
    </row>
    <row r="26" spans="11:25" x14ac:dyDescent="0.2">
      <c r="K26" s="27">
        <v>196</v>
      </c>
      <c r="L26" s="28" t="s">
        <v>129</v>
      </c>
      <c r="M26" s="29">
        <v>700</v>
      </c>
      <c r="N26" s="29">
        <v>275</v>
      </c>
      <c r="O26" s="30">
        <v>-1.2658</v>
      </c>
      <c r="P26" s="30">
        <v>3.7574768089053802E-3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-1.2168000000000001</v>
      </c>
      <c r="X26" s="30">
        <v>3.6120222634508353E-3</v>
      </c>
      <c r="Y26" s="29">
        <v>1</v>
      </c>
    </row>
    <row r="27" spans="11:25" x14ac:dyDescent="0.2">
      <c r="K27" s="27">
        <v>200</v>
      </c>
      <c r="L27" s="28" t="s">
        <v>128</v>
      </c>
      <c r="M27" s="29">
        <v>300</v>
      </c>
      <c r="N27" s="29">
        <v>675</v>
      </c>
      <c r="O27" s="30">
        <v>-19.5608</v>
      </c>
      <c r="P27" s="30">
        <v>5.5198024691358025E-2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-19.521799999999999</v>
      </c>
      <c r="X27" s="30">
        <v>5.508797178130511E-2</v>
      </c>
      <c r="Y27" s="29">
        <v>1</v>
      </c>
    </row>
    <row r="28" spans="11:25" x14ac:dyDescent="0.2">
      <c r="K28" s="27">
        <v>188</v>
      </c>
      <c r="L28" s="28" t="s">
        <v>127</v>
      </c>
      <c r="M28" s="29">
        <v>300</v>
      </c>
      <c r="N28" s="29">
        <v>275</v>
      </c>
      <c r="O28" s="30">
        <v>5.0152999999999999</v>
      </c>
      <c r="P28" s="30">
        <v>3.4738008658008662E-2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5.0339</v>
      </c>
      <c r="X28" s="30">
        <v>3.4866839826839822E-2</v>
      </c>
      <c r="Y28" s="29">
        <v>1</v>
      </c>
    </row>
    <row r="29" spans="11:25" x14ac:dyDescent="0.2">
      <c r="K29" s="27">
        <v>251</v>
      </c>
      <c r="L29" s="28" t="s">
        <v>127</v>
      </c>
      <c r="M29" s="29">
        <v>300</v>
      </c>
      <c r="N29" s="29">
        <v>275</v>
      </c>
      <c r="O29" s="30">
        <v>-22.618300000000001</v>
      </c>
      <c r="P29" s="30">
        <v>0.15666354978354979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-22.6035</v>
      </c>
      <c r="X29" s="30">
        <v>0.15656103896103896</v>
      </c>
      <c r="Y29" s="29">
        <v>1</v>
      </c>
    </row>
    <row r="30" spans="11:25" x14ac:dyDescent="0.2">
      <c r="K30" s="27">
        <v>263</v>
      </c>
      <c r="L30" s="28" t="s">
        <v>128</v>
      </c>
      <c r="M30" s="29">
        <v>300</v>
      </c>
      <c r="N30" s="29">
        <v>675</v>
      </c>
      <c r="O30" s="30">
        <v>-24.392900000000001</v>
      </c>
      <c r="P30" s="30">
        <v>6.8833580246913578E-2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-24.3568</v>
      </c>
      <c r="X30" s="30">
        <v>6.8731710758377418E-2</v>
      </c>
      <c r="Y30" s="29">
        <v>1</v>
      </c>
    </row>
    <row r="31" spans="11:25" x14ac:dyDescent="0.2">
      <c r="K31" s="27">
        <v>259</v>
      </c>
      <c r="L31" s="28" t="s">
        <v>129</v>
      </c>
      <c r="M31" s="29">
        <v>700</v>
      </c>
      <c r="N31" s="29">
        <v>275</v>
      </c>
      <c r="O31" s="30">
        <v>-36.918300000000002</v>
      </c>
      <c r="P31" s="30">
        <v>0.10959050092764379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-36.816499999999998</v>
      </c>
      <c r="X31" s="30">
        <v>0.10928831168831168</v>
      </c>
      <c r="Y31" s="29">
        <v>1</v>
      </c>
    </row>
    <row r="32" spans="11:25" x14ac:dyDescent="0.2">
      <c r="K32" s="27">
        <v>260</v>
      </c>
      <c r="L32" s="28" t="s">
        <v>129</v>
      </c>
      <c r="M32" s="29">
        <v>700</v>
      </c>
      <c r="N32" s="29">
        <v>275</v>
      </c>
      <c r="O32" s="30">
        <v>-36.848700000000001</v>
      </c>
      <c r="P32" s="30">
        <v>0.10938389610389612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-36.746099999999998</v>
      </c>
      <c r="X32" s="30">
        <v>0.10907933209647495</v>
      </c>
      <c r="Y32" s="29">
        <v>1</v>
      </c>
    </row>
    <row r="33" spans="11:25" x14ac:dyDescent="0.2">
      <c r="K33" s="27">
        <v>264</v>
      </c>
      <c r="L33" s="28" t="s">
        <v>128</v>
      </c>
      <c r="M33" s="29">
        <v>300</v>
      </c>
      <c r="N33" s="29">
        <v>675</v>
      </c>
      <c r="O33" s="30">
        <v>-27.186399999999999</v>
      </c>
      <c r="P33" s="30">
        <v>7.6716472663139329E-2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-27.150099999999998</v>
      </c>
      <c r="X33" s="30">
        <v>7.661403880070547E-2</v>
      </c>
      <c r="Y33" s="29">
        <v>1</v>
      </c>
    </row>
    <row r="34" spans="11:25" x14ac:dyDescent="0.2">
      <c r="K34" s="27">
        <v>252</v>
      </c>
      <c r="L34" s="28" t="s">
        <v>127</v>
      </c>
      <c r="M34" s="29">
        <v>300</v>
      </c>
      <c r="N34" s="29">
        <v>275</v>
      </c>
      <c r="O34" s="30">
        <v>-0.7117</v>
      </c>
      <c r="P34" s="30">
        <v>4.9295238095238099E-3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-0.69410000000000005</v>
      </c>
      <c r="X34" s="30">
        <v>4.8076190476190475E-3</v>
      </c>
      <c r="Y34" s="29">
        <v>1</v>
      </c>
    </row>
    <row r="35" spans="11:25" x14ac:dyDescent="0.2">
      <c r="K35" s="27">
        <v>268</v>
      </c>
      <c r="L35" s="28" t="s">
        <v>128</v>
      </c>
      <c r="M35" s="29">
        <v>300</v>
      </c>
      <c r="N35" s="29">
        <v>675</v>
      </c>
      <c r="O35" s="30">
        <v>-37.7517</v>
      </c>
      <c r="P35" s="30">
        <v>0.10653037037037036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-37.719000000000001</v>
      </c>
      <c r="X35" s="30">
        <v>0.10643809523809523</v>
      </c>
      <c r="Y35" s="29">
        <v>1</v>
      </c>
    </row>
    <row r="36" spans="11:25" x14ac:dyDescent="0.2">
      <c r="K36" s="27">
        <v>253</v>
      </c>
      <c r="L36" s="28" t="s">
        <v>129</v>
      </c>
      <c r="M36" s="29">
        <v>700</v>
      </c>
      <c r="N36" s="29">
        <v>275</v>
      </c>
      <c r="O36" s="30">
        <v>-46.288200000000003</v>
      </c>
      <c r="P36" s="30">
        <v>0.13740467532467535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-46.180700000000002</v>
      </c>
      <c r="X36" s="30">
        <v>0.13708556586270873</v>
      </c>
      <c r="Y36" s="29">
        <v>1</v>
      </c>
    </row>
    <row r="37" spans="11:25" x14ac:dyDescent="0.2">
      <c r="K37" s="27">
        <v>271</v>
      </c>
      <c r="L37" s="28" t="s">
        <v>128</v>
      </c>
      <c r="M37" s="29">
        <v>300</v>
      </c>
      <c r="N37" s="29">
        <v>675</v>
      </c>
      <c r="O37" s="30">
        <v>-34.927300000000002</v>
      </c>
      <c r="P37" s="30">
        <v>9.8560282186948858E-2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-34.882899999999999</v>
      </c>
      <c r="X37" s="30">
        <v>9.8434991181657855E-2</v>
      </c>
      <c r="Y37" s="29">
        <v>1</v>
      </c>
    </row>
    <row r="38" spans="11:25" x14ac:dyDescent="0.2">
      <c r="K38" s="27">
        <v>272</v>
      </c>
      <c r="L38" s="28" t="s">
        <v>128</v>
      </c>
      <c r="M38" s="29">
        <v>300</v>
      </c>
      <c r="N38" s="29">
        <v>675</v>
      </c>
      <c r="O38" s="30">
        <v>-33.490699999999997</v>
      </c>
      <c r="P38" s="30">
        <v>9.4506384479717806E-2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-33.445500000000003</v>
      </c>
      <c r="X38" s="30">
        <v>9.4378835978835979E-2</v>
      </c>
      <c r="Y38" s="29">
        <v>1</v>
      </c>
    </row>
    <row r="39" spans="11:25" x14ac:dyDescent="0.2">
      <c r="K39" s="27">
        <v>255</v>
      </c>
      <c r="L39" s="28" t="s">
        <v>129</v>
      </c>
      <c r="M39" s="29">
        <v>700</v>
      </c>
      <c r="N39" s="29">
        <v>275</v>
      </c>
      <c r="O39" s="30">
        <v>-47.250900000000001</v>
      </c>
      <c r="P39" s="30">
        <v>0.14026241187384045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-47.143500000000003</v>
      </c>
      <c r="X39" s="30">
        <v>0.13994359925788497</v>
      </c>
      <c r="Y39" s="29">
        <v>1</v>
      </c>
    </row>
    <row r="40" spans="11:25" x14ac:dyDescent="0.2">
      <c r="K40" s="27">
        <v>266</v>
      </c>
      <c r="L40" s="28" t="s">
        <v>128</v>
      </c>
      <c r="M40" s="29">
        <v>300</v>
      </c>
      <c r="N40" s="29">
        <v>675</v>
      </c>
      <c r="O40" s="30">
        <v>-1.7093</v>
      </c>
      <c r="P40" s="30">
        <v>4.8234215167548503E-3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-1.6778999999999999</v>
      </c>
      <c r="X40" s="30">
        <v>4.7348148148148141E-3</v>
      </c>
      <c r="Y40" s="29">
        <v>1</v>
      </c>
    </row>
    <row r="41" spans="11:25" x14ac:dyDescent="0.2">
      <c r="K41" s="27">
        <v>267</v>
      </c>
      <c r="L41" s="28" t="s">
        <v>128</v>
      </c>
      <c r="M41" s="29">
        <v>300</v>
      </c>
      <c r="N41" s="29">
        <v>675</v>
      </c>
      <c r="O41" s="30">
        <v>-37.771000000000001</v>
      </c>
      <c r="P41" s="30">
        <v>0.10658483245149912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-37.737900000000003</v>
      </c>
      <c r="X41" s="30">
        <v>0.10649142857142857</v>
      </c>
      <c r="Y41" s="29">
        <v>1</v>
      </c>
    </row>
    <row r="42" spans="11:25" x14ac:dyDescent="0.2">
      <c r="K42" s="27">
        <v>254</v>
      </c>
      <c r="L42" s="28" t="s">
        <v>129</v>
      </c>
      <c r="M42" s="29">
        <v>700</v>
      </c>
      <c r="N42" s="29">
        <v>275</v>
      </c>
      <c r="O42" s="30">
        <v>-46.328800000000001</v>
      </c>
      <c r="P42" s="30">
        <v>0.13752519480519482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-46.220599999999997</v>
      </c>
      <c r="X42" s="30">
        <v>0.13720400742115027</v>
      </c>
      <c r="Y42" s="29">
        <v>1</v>
      </c>
    </row>
    <row r="43" spans="11:25" x14ac:dyDescent="0.2">
      <c r="K43" s="27">
        <v>269</v>
      </c>
      <c r="L43" s="28" t="s">
        <v>128</v>
      </c>
      <c r="M43" s="29">
        <v>300</v>
      </c>
      <c r="N43" s="29">
        <v>675</v>
      </c>
      <c r="O43" s="30">
        <v>-34.959200000000003</v>
      </c>
      <c r="P43" s="30">
        <v>9.8650299823633172E-2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-34.914400000000001</v>
      </c>
      <c r="X43" s="30">
        <v>9.8523880070546743E-2</v>
      </c>
      <c r="Y43" s="29">
        <v>1</v>
      </c>
    </row>
    <row r="44" spans="11:25" x14ac:dyDescent="0.2">
      <c r="K44" s="27">
        <v>270</v>
      </c>
      <c r="L44" s="28" t="s">
        <v>128</v>
      </c>
      <c r="M44" s="29">
        <v>300</v>
      </c>
      <c r="N44" s="29">
        <v>675</v>
      </c>
      <c r="O44" s="30">
        <v>-33.517099999999999</v>
      </c>
      <c r="P44" s="30">
        <v>9.4580881834215161E-2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-33.471400000000003</v>
      </c>
      <c r="X44" s="30">
        <v>9.4451922398589072E-2</v>
      </c>
      <c r="Y44" s="29">
        <v>1</v>
      </c>
    </row>
    <row r="45" spans="11:25" x14ac:dyDescent="0.2">
      <c r="K45" s="27">
        <v>256</v>
      </c>
      <c r="L45" s="28" t="s">
        <v>129</v>
      </c>
      <c r="M45" s="29">
        <v>700</v>
      </c>
      <c r="N45" s="29">
        <v>275</v>
      </c>
      <c r="O45" s="30">
        <v>-46.511699999999998</v>
      </c>
      <c r="P45" s="30">
        <v>0.13806812615955472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-46.403700000000001</v>
      </c>
      <c r="X45" s="30">
        <v>0.13774753246753246</v>
      </c>
      <c r="Y45" s="29">
        <v>1</v>
      </c>
    </row>
    <row r="46" spans="11:25" x14ac:dyDescent="0.2">
      <c r="K46" s="27">
        <v>265</v>
      </c>
      <c r="L46" s="28" t="s">
        <v>128</v>
      </c>
      <c r="M46" s="29">
        <v>300</v>
      </c>
      <c r="N46" s="29">
        <v>675</v>
      </c>
      <c r="O46" s="30">
        <v>-2.3532000000000002</v>
      </c>
      <c r="P46" s="30">
        <v>6.6404232804232813E-3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-2.3216000000000001</v>
      </c>
      <c r="X46" s="30">
        <v>6.5512522045855373E-3</v>
      </c>
      <c r="Y46" s="29">
        <v>1</v>
      </c>
    </row>
    <row r="47" spans="11:25" x14ac:dyDescent="0.2">
      <c r="K47" s="27">
        <v>249</v>
      </c>
      <c r="L47" s="28" t="s">
        <v>127</v>
      </c>
      <c r="M47" s="29">
        <v>300</v>
      </c>
      <c r="N47" s="29">
        <v>275</v>
      </c>
      <c r="O47" s="30">
        <v>-22.658000000000001</v>
      </c>
      <c r="P47" s="30">
        <v>0.15693852813852813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-22.642800000000001</v>
      </c>
      <c r="X47" s="30">
        <v>0.15683324675324678</v>
      </c>
      <c r="Y47" s="29">
        <v>1</v>
      </c>
    </row>
    <row r="48" spans="11:25" x14ac:dyDescent="0.2">
      <c r="K48" s="27">
        <v>261</v>
      </c>
      <c r="L48" s="28" t="s">
        <v>128</v>
      </c>
      <c r="M48" s="29">
        <v>300</v>
      </c>
      <c r="N48" s="29">
        <v>675</v>
      </c>
      <c r="O48" s="30">
        <v>-24.4727</v>
      </c>
      <c r="P48" s="30">
        <v>6.9058765432098768E-2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-24.435500000000001</v>
      </c>
      <c r="X48" s="30">
        <v>6.8953791887125221E-2</v>
      </c>
      <c r="Y48" s="29">
        <v>1</v>
      </c>
    </row>
    <row r="49" spans="11:25" x14ac:dyDescent="0.2">
      <c r="K49" s="27">
        <v>257</v>
      </c>
      <c r="L49" s="28" t="s">
        <v>129</v>
      </c>
      <c r="M49" s="29">
        <v>700</v>
      </c>
      <c r="N49" s="29">
        <v>275</v>
      </c>
      <c r="O49" s="30">
        <v>-37.017400000000002</v>
      </c>
      <c r="P49" s="30">
        <v>0.10988467532467533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-36.9129</v>
      </c>
      <c r="X49" s="30">
        <v>0.10957447124304268</v>
      </c>
      <c r="Y49" s="29">
        <v>1</v>
      </c>
    </row>
    <row r="50" spans="11:25" x14ac:dyDescent="0.2">
      <c r="K50" s="27">
        <v>258</v>
      </c>
      <c r="L50" s="28" t="s">
        <v>129</v>
      </c>
      <c r="M50" s="29">
        <v>700</v>
      </c>
      <c r="N50" s="29">
        <v>275</v>
      </c>
      <c r="O50" s="30">
        <v>-36.9651</v>
      </c>
      <c r="P50" s="30">
        <v>0.10972942486085342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-36.8596</v>
      </c>
      <c r="X50" s="30">
        <v>0.10941625231910945</v>
      </c>
      <c r="Y50" s="29">
        <v>1</v>
      </c>
    </row>
    <row r="51" spans="11:25" x14ac:dyDescent="0.2">
      <c r="K51" s="27">
        <v>262</v>
      </c>
      <c r="L51" s="28" t="s">
        <v>128</v>
      </c>
      <c r="M51" s="29">
        <v>300</v>
      </c>
      <c r="N51" s="29">
        <v>675</v>
      </c>
      <c r="O51" s="30">
        <v>-26.590900000000001</v>
      </c>
      <c r="P51" s="30">
        <v>7.5036049382716047E-2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-26.5533</v>
      </c>
      <c r="X51" s="30">
        <v>7.4929947089947088E-2</v>
      </c>
      <c r="Y51" s="29">
        <v>1</v>
      </c>
    </row>
    <row r="52" spans="11:25" x14ac:dyDescent="0.2">
      <c r="K52" s="27">
        <v>250</v>
      </c>
      <c r="L52" s="28" t="s">
        <v>127</v>
      </c>
      <c r="M52" s="29">
        <v>300</v>
      </c>
      <c r="N52" s="29">
        <v>275</v>
      </c>
      <c r="O52" s="30">
        <v>-1.3608</v>
      </c>
      <c r="P52" s="30">
        <v>9.4254545454545459E-3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-1.3429</v>
      </c>
      <c r="X52" s="30">
        <v>9.3014718614718613E-3</v>
      </c>
      <c r="Y52" s="29">
        <v>1</v>
      </c>
    </row>
    <row r="53" spans="11:25" x14ac:dyDescent="0.2">
      <c r="K53" s="27">
        <v>65</v>
      </c>
      <c r="L53" s="28" t="s">
        <v>127</v>
      </c>
      <c r="M53" s="29">
        <v>300</v>
      </c>
      <c r="N53" s="29">
        <v>275</v>
      </c>
      <c r="O53" s="30">
        <v>-27.080400000000001</v>
      </c>
      <c r="P53" s="30">
        <v>0.18756987012987014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-27.075399999999998</v>
      </c>
      <c r="X53" s="30">
        <v>0.18753523809523809</v>
      </c>
      <c r="Y53" s="29">
        <v>1</v>
      </c>
    </row>
    <row r="54" spans="11:25" x14ac:dyDescent="0.2">
      <c r="K54" s="27">
        <v>77</v>
      </c>
      <c r="L54" s="28" t="s">
        <v>128</v>
      </c>
      <c r="M54" s="29">
        <v>300</v>
      </c>
      <c r="N54" s="29">
        <v>675</v>
      </c>
      <c r="O54" s="30">
        <v>-32.939900000000002</v>
      </c>
      <c r="P54" s="30">
        <v>9.2952098765432103E-2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-32.932000000000002</v>
      </c>
      <c r="X54" s="30">
        <v>9.2929805996472659E-2</v>
      </c>
      <c r="Y54" s="29">
        <v>1</v>
      </c>
    </row>
    <row r="55" spans="11:25" x14ac:dyDescent="0.2">
      <c r="K55" s="27">
        <v>73</v>
      </c>
      <c r="L55" s="28" t="s">
        <v>129</v>
      </c>
      <c r="M55" s="29">
        <v>700</v>
      </c>
      <c r="N55" s="29">
        <v>275</v>
      </c>
      <c r="O55" s="30">
        <v>-55.354799999999997</v>
      </c>
      <c r="P55" s="30">
        <v>0.16431851576994433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-55.320500000000003</v>
      </c>
      <c r="X55" s="30">
        <v>0.16421669758812615</v>
      </c>
      <c r="Y55" s="29">
        <v>1</v>
      </c>
    </row>
    <row r="56" spans="11:25" x14ac:dyDescent="0.2">
      <c r="K56" s="27">
        <v>74</v>
      </c>
      <c r="L56" s="28" t="s">
        <v>129</v>
      </c>
      <c r="M56" s="29">
        <v>700</v>
      </c>
      <c r="N56" s="29">
        <v>275</v>
      </c>
      <c r="O56" s="30">
        <v>-55.295000000000002</v>
      </c>
      <c r="P56" s="30">
        <v>0.16414100185528757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-55.262099999999997</v>
      </c>
      <c r="X56" s="30">
        <v>0.16404333951762523</v>
      </c>
      <c r="Y56" s="29">
        <v>1</v>
      </c>
    </row>
    <row r="57" spans="11:25" x14ac:dyDescent="0.2">
      <c r="K57" s="27">
        <v>78</v>
      </c>
      <c r="L57" s="28" t="s">
        <v>128</v>
      </c>
      <c r="M57" s="29">
        <v>300</v>
      </c>
      <c r="N57" s="29">
        <v>675</v>
      </c>
      <c r="O57" s="30">
        <v>-35.084600000000002</v>
      </c>
      <c r="P57" s="30">
        <v>9.9004162257495587E-2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-35.0747</v>
      </c>
      <c r="X57" s="30">
        <v>9.8976225749559069E-2</v>
      </c>
      <c r="Y57" s="29">
        <v>1</v>
      </c>
    </row>
    <row r="58" spans="11:25" x14ac:dyDescent="0.2">
      <c r="K58" s="27">
        <v>66</v>
      </c>
      <c r="L58" s="28" t="s">
        <v>127</v>
      </c>
      <c r="M58" s="29">
        <v>300</v>
      </c>
      <c r="N58" s="29">
        <v>275</v>
      </c>
      <c r="O58" s="30">
        <v>-5.1702000000000004</v>
      </c>
      <c r="P58" s="30">
        <v>3.5810909090909095E-2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-5.1684999999999999</v>
      </c>
      <c r="X58" s="30">
        <v>3.5799134199134199E-2</v>
      </c>
      <c r="Y58" s="29">
        <v>1</v>
      </c>
    </row>
    <row r="59" spans="11:25" x14ac:dyDescent="0.2">
      <c r="K59" s="27">
        <v>82</v>
      </c>
      <c r="L59" s="28" t="s">
        <v>128</v>
      </c>
      <c r="M59" s="29">
        <v>300</v>
      </c>
      <c r="N59" s="29">
        <v>675</v>
      </c>
      <c r="O59" s="30">
        <v>-46.850900000000003</v>
      </c>
      <c r="P59" s="30">
        <v>0.13220712522045855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-46.841500000000003</v>
      </c>
      <c r="X59" s="30">
        <v>0.13218059964726631</v>
      </c>
      <c r="Y59" s="29">
        <v>1</v>
      </c>
    </row>
    <row r="60" spans="11:25" x14ac:dyDescent="0.2">
      <c r="K60" s="27">
        <v>67</v>
      </c>
      <c r="L60" s="28" t="s">
        <v>129</v>
      </c>
      <c r="M60" s="29">
        <v>700</v>
      </c>
      <c r="N60" s="29">
        <v>275</v>
      </c>
      <c r="O60" s="30">
        <v>-67.050299999999993</v>
      </c>
      <c r="P60" s="30">
        <v>0.19903614100185527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-67.004400000000004</v>
      </c>
      <c r="X60" s="30">
        <v>0.19889988868274586</v>
      </c>
      <c r="Y60" s="29">
        <v>1</v>
      </c>
    </row>
    <row r="61" spans="11:25" x14ac:dyDescent="0.2">
      <c r="K61" s="27">
        <v>85</v>
      </c>
      <c r="L61" s="28" t="s">
        <v>128</v>
      </c>
      <c r="M61" s="29">
        <v>300</v>
      </c>
      <c r="N61" s="29">
        <v>675</v>
      </c>
      <c r="O61" s="30">
        <v>-45.721200000000003</v>
      </c>
      <c r="P61" s="30">
        <v>0.12901925925925928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-45.711399999999998</v>
      </c>
      <c r="X61" s="30">
        <v>0.12899160493827158</v>
      </c>
      <c r="Y61" s="29">
        <v>1</v>
      </c>
    </row>
    <row r="62" spans="11:25" x14ac:dyDescent="0.2">
      <c r="K62" s="27">
        <v>86</v>
      </c>
      <c r="L62" s="28" t="s">
        <v>128</v>
      </c>
      <c r="M62" s="29">
        <v>300</v>
      </c>
      <c r="N62" s="29">
        <v>675</v>
      </c>
      <c r="O62" s="30">
        <v>-44.365299999999998</v>
      </c>
      <c r="P62" s="30">
        <v>0.12519308641975307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-44.354799999999997</v>
      </c>
      <c r="X62" s="30">
        <v>0.12516345679012345</v>
      </c>
      <c r="Y62" s="29">
        <v>1</v>
      </c>
    </row>
    <row r="63" spans="11:25" x14ac:dyDescent="0.2">
      <c r="K63" s="27">
        <v>69</v>
      </c>
      <c r="L63" s="28" t="s">
        <v>129</v>
      </c>
      <c r="M63" s="29">
        <v>700</v>
      </c>
      <c r="N63" s="29">
        <v>275</v>
      </c>
      <c r="O63" s="30">
        <v>-67.741500000000002</v>
      </c>
      <c r="P63" s="30">
        <v>0.20108794063079777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-67.695400000000006</v>
      </c>
      <c r="X63" s="30">
        <v>0.20095109461966607</v>
      </c>
      <c r="Y63" s="29">
        <v>1</v>
      </c>
    </row>
    <row r="64" spans="11:25" x14ac:dyDescent="0.2">
      <c r="K64" s="27">
        <v>80</v>
      </c>
      <c r="L64" s="28" t="s">
        <v>128</v>
      </c>
      <c r="M64" s="29">
        <v>300</v>
      </c>
      <c r="N64" s="29">
        <v>675</v>
      </c>
      <c r="O64" s="30">
        <v>-8.6415000000000006</v>
      </c>
      <c r="P64" s="30">
        <v>2.4385185185185187E-2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-8.6328999999999994</v>
      </c>
      <c r="X64" s="30">
        <v>2.4360917107583775E-2</v>
      </c>
      <c r="Y64" s="29">
        <v>1</v>
      </c>
    </row>
    <row r="65" spans="11:25" x14ac:dyDescent="0.2">
      <c r="K65" s="27">
        <v>81</v>
      </c>
      <c r="L65" s="28" t="s">
        <v>128</v>
      </c>
      <c r="M65" s="29">
        <v>300</v>
      </c>
      <c r="N65" s="29">
        <v>675</v>
      </c>
      <c r="O65" s="30">
        <v>-46.8733</v>
      </c>
      <c r="P65" s="30">
        <v>0.13227033509700178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-46.863399999999999</v>
      </c>
      <c r="X65" s="30">
        <v>0.13224239858906525</v>
      </c>
      <c r="Y65" s="29">
        <v>1</v>
      </c>
    </row>
    <row r="66" spans="11:25" x14ac:dyDescent="0.2">
      <c r="K66" s="27">
        <v>68</v>
      </c>
      <c r="L66" s="28" t="s">
        <v>129</v>
      </c>
      <c r="M66" s="29">
        <v>700</v>
      </c>
      <c r="N66" s="29">
        <v>275</v>
      </c>
      <c r="O66" s="30">
        <v>-67.099100000000007</v>
      </c>
      <c r="P66" s="30">
        <v>0.19918100185528759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-67.052400000000006</v>
      </c>
      <c r="X66" s="30">
        <v>0.19904237476808909</v>
      </c>
      <c r="Y66" s="29">
        <v>1</v>
      </c>
    </row>
    <row r="67" spans="11:25" x14ac:dyDescent="0.2">
      <c r="K67" s="27">
        <v>83</v>
      </c>
      <c r="L67" s="28" t="s">
        <v>128</v>
      </c>
      <c r="M67" s="29">
        <v>300</v>
      </c>
      <c r="N67" s="29">
        <v>675</v>
      </c>
      <c r="O67" s="30">
        <v>-45.756900000000002</v>
      </c>
      <c r="P67" s="30">
        <v>0.12912000000000001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-45.746600000000001</v>
      </c>
      <c r="X67" s="30">
        <v>0.12909093474426808</v>
      </c>
      <c r="Y67" s="29">
        <v>1</v>
      </c>
    </row>
    <row r="68" spans="11:25" x14ac:dyDescent="0.2">
      <c r="K68" s="27">
        <v>84</v>
      </c>
      <c r="L68" s="28" t="s">
        <v>128</v>
      </c>
      <c r="M68" s="29">
        <v>300</v>
      </c>
      <c r="N68" s="29">
        <v>675</v>
      </c>
      <c r="O68" s="30">
        <v>-44.400500000000001</v>
      </c>
      <c r="P68" s="30">
        <v>0.12529241622574955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-44.389299999999999</v>
      </c>
      <c r="X68" s="30">
        <v>0.12526081128747793</v>
      </c>
      <c r="Y68" s="29">
        <v>1</v>
      </c>
    </row>
    <row r="69" spans="11:25" x14ac:dyDescent="0.2">
      <c r="K69" s="27">
        <v>70</v>
      </c>
      <c r="L69" s="28" t="s">
        <v>129</v>
      </c>
      <c r="M69" s="29">
        <v>700</v>
      </c>
      <c r="N69" s="29">
        <v>275</v>
      </c>
      <c r="O69" s="30">
        <v>-67.955500000000001</v>
      </c>
      <c r="P69" s="30">
        <v>0.20172319109461967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-67.908699999999996</v>
      </c>
      <c r="X69" s="30">
        <v>0.20158426716141001</v>
      </c>
      <c r="Y69" s="29">
        <v>1</v>
      </c>
    </row>
    <row r="70" spans="11:25" x14ac:dyDescent="0.2">
      <c r="K70" s="27">
        <v>79</v>
      </c>
      <c r="L70" s="28" t="s">
        <v>128</v>
      </c>
      <c r="M70" s="29">
        <v>300</v>
      </c>
      <c r="N70" s="29">
        <v>675</v>
      </c>
      <c r="O70" s="30">
        <v>-8.5399999999999991</v>
      </c>
      <c r="P70" s="30">
        <v>2.4098765432098764E-2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-8.5312999999999999</v>
      </c>
      <c r="X70" s="30">
        <v>2.4074215167548499E-2</v>
      </c>
      <c r="Y70" s="29">
        <v>1</v>
      </c>
    </row>
    <row r="71" spans="11:25" x14ac:dyDescent="0.2">
      <c r="K71" s="27">
        <v>63</v>
      </c>
      <c r="L71" s="28" t="s">
        <v>127</v>
      </c>
      <c r="M71" s="29">
        <v>300</v>
      </c>
      <c r="N71" s="29">
        <v>275</v>
      </c>
      <c r="O71" s="30">
        <v>-27.125699999999998</v>
      </c>
      <c r="P71" s="30">
        <v>0.18788363636363634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-27.120200000000001</v>
      </c>
      <c r="X71" s="30">
        <v>0.18784554112554114</v>
      </c>
      <c r="Y71" s="29">
        <v>1</v>
      </c>
    </row>
    <row r="72" spans="11:25" x14ac:dyDescent="0.2">
      <c r="K72" s="27">
        <v>75</v>
      </c>
      <c r="L72" s="28" t="s">
        <v>128</v>
      </c>
      <c r="M72" s="29">
        <v>300</v>
      </c>
      <c r="N72" s="29">
        <v>675</v>
      </c>
      <c r="O72" s="30">
        <v>-33.03</v>
      </c>
      <c r="P72" s="30">
        <v>9.3206349206349209E-2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-33.019500000000001</v>
      </c>
      <c r="X72" s="30">
        <v>9.317671957671958E-2</v>
      </c>
      <c r="Y72" s="29">
        <v>1</v>
      </c>
    </row>
    <row r="73" spans="11:25" x14ac:dyDescent="0.2">
      <c r="K73" s="27">
        <v>71</v>
      </c>
      <c r="L73" s="28" t="s">
        <v>129</v>
      </c>
      <c r="M73" s="29">
        <v>700</v>
      </c>
      <c r="N73" s="29">
        <v>275</v>
      </c>
      <c r="O73" s="30">
        <v>-55.474200000000003</v>
      </c>
      <c r="P73" s="30">
        <v>0.16467294990723563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-55.439799999999998</v>
      </c>
      <c r="X73" s="30">
        <v>0.1645708348794063</v>
      </c>
      <c r="Y73" s="29">
        <v>1</v>
      </c>
    </row>
    <row r="74" spans="11:25" x14ac:dyDescent="0.2">
      <c r="K74" s="27">
        <v>72</v>
      </c>
      <c r="L74" s="28" t="s">
        <v>129</v>
      </c>
      <c r="M74" s="29">
        <v>700</v>
      </c>
      <c r="N74" s="29">
        <v>275</v>
      </c>
      <c r="O74" s="30">
        <v>-55.406700000000001</v>
      </c>
      <c r="P74" s="30">
        <v>0.16447257884972169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-55.373600000000003</v>
      </c>
      <c r="X74" s="30">
        <v>0.16437432282003711</v>
      </c>
      <c r="Y74" s="29">
        <v>1</v>
      </c>
    </row>
    <row r="75" spans="11:25" x14ac:dyDescent="0.2">
      <c r="K75" s="27">
        <v>76</v>
      </c>
      <c r="L75" s="28" t="s">
        <v>128</v>
      </c>
      <c r="M75" s="29">
        <v>300</v>
      </c>
      <c r="N75" s="29">
        <v>675</v>
      </c>
      <c r="O75" s="30">
        <v>-35.305799999999998</v>
      </c>
      <c r="P75" s="30">
        <v>9.962835978835978E-2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-35.294199999999996</v>
      </c>
      <c r="X75" s="30">
        <v>9.9595626102292764E-2</v>
      </c>
      <c r="Y75" s="29">
        <v>1</v>
      </c>
    </row>
    <row r="76" spans="11:25" x14ac:dyDescent="0.2">
      <c r="K76" s="27">
        <v>64</v>
      </c>
      <c r="L76" s="28" t="s">
        <v>127</v>
      </c>
      <c r="M76" s="29">
        <v>300</v>
      </c>
      <c r="N76" s="29">
        <v>275</v>
      </c>
      <c r="O76" s="30">
        <v>-5.0944000000000003</v>
      </c>
      <c r="P76" s="30">
        <v>3.5285887445887447E-2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-5.0894000000000004</v>
      </c>
      <c r="X76" s="30">
        <v>3.5251255411255414E-2</v>
      </c>
      <c r="Y76" s="29">
        <v>1</v>
      </c>
    </row>
    <row r="77" spans="11:25" x14ac:dyDescent="0.2">
      <c r="K77" s="27">
        <v>127</v>
      </c>
      <c r="L77" s="28" t="s">
        <v>127</v>
      </c>
      <c r="M77" s="29">
        <v>300</v>
      </c>
      <c r="N77" s="29">
        <v>275</v>
      </c>
      <c r="O77" s="30">
        <v>-28.5947</v>
      </c>
      <c r="P77" s="30">
        <v>0.19805852813852814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-28.6112</v>
      </c>
      <c r="X77" s="30">
        <v>0.19817281385281385</v>
      </c>
      <c r="Y77" s="29">
        <v>1</v>
      </c>
    </row>
    <row r="78" spans="11:25" x14ac:dyDescent="0.2">
      <c r="K78" s="27">
        <v>139</v>
      </c>
      <c r="L78" s="28" t="s">
        <v>128</v>
      </c>
      <c r="M78" s="29">
        <v>300</v>
      </c>
      <c r="N78" s="29">
        <v>675</v>
      </c>
      <c r="O78" s="30">
        <v>-34.651499999999999</v>
      </c>
      <c r="P78" s="30">
        <v>9.7782010582010581E-2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-34.690800000000003</v>
      </c>
      <c r="X78" s="30">
        <v>9.7892910052910065E-2</v>
      </c>
      <c r="Y78" s="29">
        <v>1</v>
      </c>
    </row>
    <row r="79" spans="11:25" x14ac:dyDescent="0.2">
      <c r="K79" s="27">
        <v>135</v>
      </c>
      <c r="L79" s="28" t="s">
        <v>129</v>
      </c>
      <c r="M79" s="29">
        <v>700</v>
      </c>
      <c r="N79" s="29">
        <v>275</v>
      </c>
      <c r="O79" s="30">
        <v>-74.581299999999999</v>
      </c>
      <c r="P79" s="30">
        <v>0.22139161410018554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-74.679000000000002</v>
      </c>
      <c r="X79" s="30">
        <v>0.22168163265306123</v>
      </c>
      <c r="Y79" s="29">
        <v>1</v>
      </c>
    </row>
    <row r="80" spans="11:25" x14ac:dyDescent="0.2">
      <c r="K80" s="27">
        <v>136</v>
      </c>
      <c r="L80" s="28" t="s">
        <v>129</v>
      </c>
      <c r="M80" s="29">
        <v>700</v>
      </c>
      <c r="N80" s="29">
        <v>275</v>
      </c>
      <c r="O80" s="30">
        <v>-74.494200000000006</v>
      </c>
      <c r="P80" s="30">
        <v>0.22113306122448984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-74.582300000000004</v>
      </c>
      <c r="X80" s="30">
        <v>0.22139458256029684</v>
      </c>
      <c r="Y80" s="29">
        <v>1</v>
      </c>
    </row>
    <row r="81" spans="11:25" x14ac:dyDescent="0.2">
      <c r="K81" s="27">
        <v>140</v>
      </c>
      <c r="L81" s="28" t="s">
        <v>128</v>
      </c>
      <c r="M81" s="29">
        <v>300</v>
      </c>
      <c r="N81" s="29">
        <v>675</v>
      </c>
      <c r="O81" s="30">
        <v>-37.008299999999998</v>
      </c>
      <c r="P81" s="30">
        <v>0.10443259259259258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-37.0535</v>
      </c>
      <c r="X81" s="30">
        <v>0.10456014109347443</v>
      </c>
      <c r="Y81" s="29">
        <v>1</v>
      </c>
    </row>
    <row r="82" spans="11:25" x14ac:dyDescent="0.2">
      <c r="K82" s="27">
        <v>128</v>
      </c>
      <c r="L82" s="28" t="s">
        <v>127</v>
      </c>
      <c r="M82" s="29">
        <v>300</v>
      </c>
      <c r="N82" s="29">
        <v>275</v>
      </c>
      <c r="O82" s="30">
        <v>-4.7701000000000002</v>
      </c>
      <c r="P82" s="30">
        <v>3.3039653679653683E-2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-4.7865000000000002</v>
      </c>
      <c r="X82" s="30">
        <v>3.3153246753246754E-2</v>
      </c>
      <c r="Y82" s="29">
        <v>1</v>
      </c>
    </row>
    <row r="83" spans="11:25" x14ac:dyDescent="0.2">
      <c r="K83" s="27">
        <v>144</v>
      </c>
      <c r="L83" s="28" t="s">
        <v>128</v>
      </c>
      <c r="M83" s="29">
        <v>300</v>
      </c>
      <c r="N83" s="29">
        <v>675</v>
      </c>
      <c r="O83" s="30">
        <v>-49.677700000000002</v>
      </c>
      <c r="P83" s="30">
        <v>0.14018398589065256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-49.708199999999998</v>
      </c>
      <c r="X83" s="30">
        <v>0.1402700529100529</v>
      </c>
      <c r="Y83" s="29">
        <v>1</v>
      </c>
    </row>
    <row r="84" spans="11:25" x14ac:dyDescent="0.2">
      <c r="K84" s="27">
        <v>129</v>
      </c>
      <c r="L84" s="28" t="s">
        <v>129</v>
      </c>
      <c r="M84" s="29">
        <v>700</v>
      </c>
      <c r="N84" s="29">
        <v>275</v>
      </c>
      <c r="O84" s="30">
        <v>-83.403499999999994</v>
      </c>
      <c r="P84" s="30">
        <v>0.24757996289424861</v>
      </c>
      <c r="Q84" s="29">
        <v>1</v>
      </c>
      <c r="S84" s="27">
        <v>129</v>
      </c>
      <c r="T84" s="28" t="s">
        <v>129</v>
      </c>
      <c r="U84" s="29">
        <v>700</v>
      </c>
      <c r="V84" s="29">
        <v>275</v>
      </c>
      <c r="W84" s="30">
        <v>-83.550299999999993</v>
      </c>
      <c r="X84" s="30">
        <v>0.24801573283858994</v>
      </c>
      <c r="Y84" s="29">
        <v>1</v>
      </c>
    </row>
    <row r="85" spans="11:25" x14ac:dyDescent="0.2">
      <c r="K85" s="27">
        <v>147</v>
      </c>
      <c r="L85" s="28" t="s">
        <v>128</v>
      </c>
      <c r="M85" s="29">
        <v>300</v>
      </c>
      <c r="N85" s="29">
        <v>675</v>
      </c>
      <c r="O85" s="30">
        <v>-47.461399999999998</v>
      </c>
      <c r="P85" s="30">
        <v>0.13392987654320987</v>
      </c>
      <c r="Q85" s="29">
        <v>1</v>
      </c>
      <c r="S85" s="27">
        <v>147</v>
      </c>
      <c r="T85" s="28" t="s">
        <v>128</v>
      </c>
      <c r="U85" s="29">
        <v>300</v>
      </c>
      <c r="V85" s="29">
        <v>675</v>
      </c>
      <c r="W85" s="30">
        <v>-47.5105</v>
      </c>
      <c r="X85" s="30">
        <v>0.13406843033509699</v>
      </c>
      <c r="Y85" s="29">
        <v>1</v>
      </c>
    </row>
    <row r="86" spans="11:25" x14ac:dyDescent="0.2">
      <c r="K86" s="27">
        <v>148</v>
      </c>
      <c r="L86" s="28" t="s">
        <v>128</v>
      </c>
      <c r="M86" s="29">
        <v>300</v>
      </c>
      <c r="N86" s="29">
        <v>675</v>
      </c>
      <c r="O86" s="30">
        <v>-45.918700000000001</v>
      </c>
      <c r="P86" s="30">
        <v>0.12957657848324516</v>
      </c>
      <c r="Q86" s="29">
        <v>1</v>
      </c>
      <c r="S86" s="27">
        <v>148</v>
      </c>
      <c r="T86" s="28" t="s">
        <v>128</v>
      </c>
      <c r="U86" s="29">
        <v>300</v>
      </c>
      <c r="V86" s="29">
        <v>675</v>
      </c>
      <c r="W86" s="30">
        <v>-45.9664</v>
      </c>
      <c r="X86" s="30">
        <v>0.12971118165784834</v>
      </c>
      <c r="Y86" s="29">
        <v>1</v>
      </c>
    </row>
    <row r="87" spans="11:25" x14ac:dyDescent="0.2">
      <c r="K87" s="27">
        <v>131</v>
      </c>
      <c r="L87" s="28" t="s">
        <v>129</v>
      </c>
      <c r="M87" s="29">
        <v>700</v>
      </c>
      <c r="N87" s="29">
        <v>275</v>
      </c>
      <c r="O87" s="30">
        <v>-85.052099999999996</v>
      </c>
      <c r="P87" s="30">
        <v>0.25247376623376622</v>
      </c>
      <c r="Q87" s="29">
        <v>1</v>
      </c>
      <c r="S87" s="27">
        <v>131</v>
      </c>
      <c r="T87" s="28" t="s">
        <v>129</v>
      </c>
      <c r="U87" s="29">
        <v>700</v>
      </c>
      <c r="V87" s="29">
        <v>275</v>
      </c>
      <c r="W87" s="30">
        <v>-85.199100000000001</v>
      </c>
      <c r="X87" s="30">
        <v>0.2529101298701299</v>
      </c>
      <c r="Y87" s="29">
        <v>1</v>
      </c>
    </row>
    <row r="88" spans="11:25" x14ac:dyDescent="0.2">
      <c r="K88" s="27">
        <v>142</v>
      </c>
      <c r="L88" s="28" t="s">
        <v>128</v>
      </c>
      <c r="M88" s="29">
        <v>300</v>
      </c>
      <c r="N88" s="29">
        <v>675</v>
      </c>
      <c r="O88" s="30">
        <v>-9.1917000000000009</v>
      </c>
      <c r="P88" s="30">
        <v>2.5937777777777778E-2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-9.2232000000000003</v>
      </c>
      <c r="X88" s="30">
        <v>2.602666666666667E-2</v>
      </c>
      <c r="Y88" s="29">
        <v>1</v>
      </c>
    </row>
    <row r="89" spans="11:25" x14ac:dyDescent="0.2">
      <c r="K89" s="27">
        <v>143</v>
      </c>
      <c r="L89" s="28" t="s">
        <v>128</v>
      </c>
      <c r="M89" s="29">
        <v>300</v>
      </c>
      <c r="N89" s="29">
        <v>675</v>
      </c>
      <c r="O89" s="30">
        <v>-49.699100000000001</v>
      </c>
      <c r="P89" s="30">
        <v>0.14024437389770722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-49.729199999999999</v>
      </c>
      <c r="X89" s="30">
        <v>0.14032931216931216</v>
      </c>
      <c r="Y89" s="29">
        <v>1</v>
      </c>
    </row>
    <row r="90" spans="11:25" x14ac:dyDescent="0.2">
      <c r="K90" s="27">
        <v>130</v>
      </c>
      <c r="L90" s="28" t="s">
        <v>129</v>
      </c>
      <c r="M90" s="29">
        <v>700</v>
      </c>
      <c r="N90" s="29">
        <v>275</v>
      </c>
      <c r="O90" s="30">
        <v>-83.475200000000001</v>
      </c>
      <c r="P90" s="30">
        <v>0.24779280148423005</v>
      </c>
      <c r="Q90" s="29">
        <v>1</v>
      </c>
      <c r="S90" s="27">
        <v>130</v>
      </c>
      <c r="T90" s="28" t="s">
        <v>129</v>
      </c>
      <c r="U90" s="29">
        <v>700</v>
      </c>
      <c r="V90" s="29">
        <v>275</v>
      </c>
      <c r="W90" s="30">
        <v>-83.621200000000002</v>
      </c>
      <c r="X90" s="30">
        <v>0.24822619666048237</v>
      </c>
      <c r="Y90" s="29">
        <v>1</v>
      </c>
    </row>
    <row r="91" spans="11:25" x14ac:dyDescent="0.2">
      <c r="K91" s="27">
        <v>145</v>
      </c>
      <c r="L91" s="28" t="s">
        <v>128</v>
      </c>
      <c r="M91" s="29">
        <v>300</v>
      </c>
      <c r="N91" s="29">
        <v>675</v>
      </c>
      <c r="O91" s="30">
        <v>-47.4955</v>
      </c>
      <c r="P91" s="30">
        <v>0.13402610229276896</v>
      </c>
      <c r="Q91" s="29">
        <v>1</v>
      </c>
      <c r="S91" s="27">
        <v>145</v>
      </c>
      <c r="T91" s="28" t="s">
        <v>128</v>
      </c>
      <c r="U91" s="29">
        <v>300</v>
      </c>
      <c r="V91" s="29">
        <v>675</v>
      </c>
      <c r="W91" s="30">
        <v>-47.544199999999996</v>
      </c>
      <c r="X91" s="30">
        <v>0.13416352733686066</v>
      </c>
      <c r="Y91" s="29">
        <v>1</v>
      </c>
    </row>
    <row r="92" spans="11:25" x14ac:dyDescent="0.2">
      <c r="K92" s="27">
        <v>146</v>
      </c>
      <c r="L92" s="28" t="s">
        <v>128</v>
      </c>
      <c r="M92" s="29">
        <v>300</v>
      </c>
      <c r="N92" s="29">
        <v>675</v>
      </c>
      <c r="O92" s="30">
        <v>-45.952800000000003</v>
      </c>
      <c r="P92" s="30">
        <v>0.12967280423280425</v>
      </c>
      <c r="Q92" s="29">
        <v>1</v>
      </c>
      <c r="S92" s="27">
        <v>146</v>
      </c>
      <c r="T92" s="28" t="s">
        <v>128</v>
      </c>
      <c r="U92" s="29">
        <v>300</v>
      </c>
      <c r="V92" s="29">
        <v>675</v>
      </c>
      <c r="W92" s="30">
        <v>-45.999899999999997</v>
      </c>
      <c r="X92" s="30">
        <v>0.12980571428571427</v>
      </c>
      <c r="Y92" s="29">
        <v>1</v>
      </c>
    </row>
    <row r="93" spans="11:25" x14ac:dyDescent="0.2">
      <c r="K93" s="27">
        <v>132</v>
      </c>
      <c r="L93" s="28" t="s">
        <v>129</v>
      </c>
      <c r="M93" s="29">
        <v>700</v>
      </c>
      <c r="N93" s="29">
        <v>275</v>
      </c>
      <c r="O93" s="30">
        <v>-85.088399999999993</v>
      </c>
      <c r="P93" s="30">
        <v>0.25258152133580702</v>
      </c>
      <c r="Q93" s="29">
        <v>1</v>
      </c>
      <c r="S93" s="27">
        <v>132</v>
      </c>
      <c r="T93" s="28" t="s">
        <v>129</v>
      </c>
      <c r="U93" s="29">
        <v>700</v>
      </c>
      <c r="V93" s="29">
        <v>275</v>
      </c>
      <c r="W93" s="30">
        <v>-85.234499999999997</v>
      </c>
      <c r="X93" s="30">
        <v>0.25301521335807048</v>
      </c>
      <c r="Y93" s="29">
        <v>1</v>
      </c>
    </row>
    <row r="94" spans="11:25" x14ac:dyDescent="0.2">
      <c r="K94" s="27">
        <v>141</v>
      </c>
      <c r="L94" s="28" t="s">
        <v>128</v>
      </c>
      <c r="M94" s="29">
        <v>300</v>
      </c>
      <c r="N94" s="29">
        <v>675</v>
      </c>
      <c r="O94" s="30">
        <v>-9.24</v>
      </c>
      <c r="P94" s="30">
        <v>2.6074074074074072E-2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-9.2713999999999999</v>
      </c>
      <c r="X94" s="30">
        <v>2.6162680776014108E-2</v>
      </c>
      <c r="Y94" s="29">
        <v>1</v>
      </c>
    </row>
    <row r="95" spans="11:25" x14ac:dyDescent="0.2">
      <c r="K95" s="27">
        <v>125</v>
      </c>
      <c r="L95" s="28" t="s">
        <v>127</v>
      </c>
      <c r="M95" s="29">
        <v>300</v>
      </c>
      <c r="N95" s="29">
        <v>275</v>
      </c>
      <c r="O95" s="30">
        <v>-28.636800000000001</v>
      </c>
      <c r="P95" s="30">
        <v>0.19835012987012987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-28.6523</v>
      </c>
      <c r="X95" s="30">
        <v>0.19845748917748918</v>
      </c>
      <c r="Y95" s="29">
        <v>1</v>
      </c>
    </row>
    <row r="96" spans="11:25" x14ac:dyDescent="0.2">
      <c r="K96" s="27">
        <v>137</v>
      </c>
      <c r="L96" s="28" t="s">
        <v>128</v>
      </c>
      <c r="M96" s="29">
        <v>300</v>
      </c>
      <c r="N96" s="29">
        <v>675</v>
      </c>
      <c r="O96" s="30">
        <v>-34.736400000000003</v>
      </c>
      <c r="P96" s="30">
        <v>9.8021587301587304E-2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-34.7746</v>
      </c>
      <c r="X96" s="30">
        <v>9.8129382716049374E-2</v>
      </c>
      <c r="Y96" s="29">
        <v>1</v>
      </c>
    </row>
    <row r="97" spans="11:25" x14ac:dyDescent="0.2">
      <c r="K97" s="27">
        <v>133</v>
      </c>
      <c r="L97" s="28" t="s">
        <v>129</v>
      </c>
      <c r="M97" s="29">
        <v>700</v>
      </c>
      <c r="N97" s="29">
        <v>275</v>
      </c>
      <c r="O97" s="30">
        <v>-74.754900000000006</v>
      </c>
      <c r="P97" s="30">
        <v>0.22190693877551024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-74.843000000000004</v>
      </c>
      <c r="X97" s="30">
        <v>0.22216846011131725</v>
      </c>
      <c r="Y97" s="29">
        <v>1</v>
      </c>
    </row>
    <row r="98" spans="11:25" x14ac:dyDescent="0.2">
      <c r="K98" s="27">
        <v>134</v>
      </c>
      <c r="L98" s="28" t="s">
        <v>129</v>
      </c>
      <c r="M98" s="29">
        <v>700</v>
      </c>
      <c r="N98" s="29">
        <v>275</v>
      </c>
      <c r="O98" s="30">
        <v>-74.668800000000005</v>
      </c>
      <c r="P98" s="30">
        <v>0.22165135435992581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-74.745999999999995</v>
      </c>
      <c r="X98" s="30">
        <v>0.22188051948051948</v>
      </c>
      <c r="Y98" s="29">
        <v>1</v>
      </c>
    </row>
    <row r="99" spans="11:25" x14ac:dyDescent="0.2">
      <c r="K99" s="27">
        <v>138</v>
      </c>
      <c r="L99" s="28" t="s">
        <v>128</v>
      </c>
      <c r="M99" s="29">
        <v>300</v>
      </c>
      <c r="N99" s="29">
        <v>675</v>
      </c>
      <c r="O99" s="30">
        <v>-37.0702</v>
      </c>
      <c r="P99" s="30">
        <v>0.10460726631393297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-37.115900000000003</v>
      </c>
      <c r="X99" s="30">
        <v>0.10473622574955908</v>
      </c>
      <c r="Y99" s="29">
        <v>1</v>
      </c>
    </row>
    <row r="100" spans="11:25" x14ac:dyDescent="0.2">
      <c r="K100" s="27">
        <v>126</v>
      </c>
      <c r="L100" s="28" t="s">
        <v>127</v>
      </c>
      <c r="M100" s="29">
        <v>300</v>
      </c>
      <c r="N100" s="29">
        <v>275</v>
      </c>
      <c r="O100" s="30">
        <v>-4.8379000000000003</v>
      </c>
      <c r="P100" s="30">
        <v>3.3509264069264071E-2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-4.8545999999999996</v>
      </c>
      <c r="X100" s="30">
        <v>3.3624935064935059E-2</v>
      </c>
      <c r="Y100" s="29">
        <v>1</v>
      </c>
    </row>
    <row r="101" spans="11:25" x14ac:dyDescent="0.2">
      <c r="K101" s="27">
        <v>3</v>
      </c>
      <c r="L101" s="28" t="s">
        <v>130</v>
      </c>
      <c r="M101" s="29">
        <v>300</v>
      </c>
      <c r="N101" s="29">
        <v>275</v>
      </c>
      <c r="O101" s="30">
        <v>-22.9651</v>
      </c>
      <c r="P101" s="30">
        <v>0.15906562770562768</v>
      </c>
      <c r="Q101" s="29">
        <v>1</v>
      </c>
      <c r="S101" s="27">
        <v>3</v>
      </c>
      <c r="T101" s="28" t="s">
        <v>130</v>
      </c>
      <c r="U101" s="29">
        <v>300</v>
      </c>
      <c r="V101" s="29">
        <v>275</v>
      </c>
      <c r="W101" s="30">
        <v>-23.014199999999999</v>
      </c>
      <c r="X101" s="30">
        <v>0.15940571428571426</v>
      </c>
      <c r="Y101" s="29">
        <v>1</v>
      </c>
    </row>
    <row r="102" spans="11:25" x14ac:dyDescent="0.2">
      <c r="K102" s="27">
        <v>15</v>
      </c>
      <c r="L102" s="28" t="s">
        <v>131</v>
      </c>
      <c r="M102" s="29">
        <v>300</v>
      </c>
      <c r="N102" s="29">
        <v>675</v>
      </c>
      <c r="O102" s="30">
        <v>-33.4803</v>
      </c>
      <c r="P102" s="30">
        <v>9.447703703703704E-2</v>
      </c>
      <c r="Q102" s="29">
        <v>1</v>
      </c>
      <c r="S102" s="27">
        <v>15</v>
      </c>
      <c r="T102" s="28" t="s">
        <v>131</v>
      </c>
      <c r="U102" s="29">
        <v>300</v>
      </c>
      <c r="V102" s="29">
        <v>675</v>
      </c>
      <c r="W102" s="30">
        <v>-33.573300000000003</v>
      </c>
      <c r="X102" s="30">
        <v>9.4739470899470907E-2</v>
      </c>
      <c r="Y102" s="29">
        <v>1</v>
      </c>
    </row>
    <row r="103" spans="11:25" x14ac:dyDescent="0.2">
      <c r="K103" s="27">
        <v>11</v>
      </c>
      <c r="L103" s="28" t="s">
        <v>132</v>
      </c>
      <c r="M103" s="29">
        <v>700</v>
      </c>
      <c r="N103" s="29">
        <v>275</v>
      </c>
      <c r="O103" s="30">
        <v>-79.741600000000005</v>
      </c>
      <c r="P103" s="30">
        <v>0.23670975881261597</v>
      </c>
      <c r="Q103" s="29">
        <v>1</v>
      </c>
      <c r="S103" s="27">
        <v>11</v>
      </c>
      <c r="T103" s="28" t="s">
        <v>132</v>
      </c>
      <c r="U103" s="29">
        <v>700</v>
      </c>
      <c r="V103" s="29">
        <v>275</v>
      </c>
      <c r="W103" s="30">
        <v>-80.094499999999996</v>
      </c>
      <c r="X103" s="30">
        <v>0.2377573283858998</v>
      </c>
      <c r="Y103" s="29">
        <v>1</v>
      </c>
    </row>
    <row r="104" spans="11:25" x14ac:dyDescent="0.2">
      <c r="K104" s="27">
        <v>12</v>
      </c>
      <c r="L104" s="28" t="s">
        <v>132</v>
      </c>
      <c r="M104" s="29">
        <v>700</v>
      </c>
      <c r="N104" s="29">
        <v>275</v>
      </c>
      <c r="O104" s="30">
        <v>-79.300600000000003</v>
      </c>
      <c r="P104" s="30">
        <v>0.23540066790352507</v>
      </c>
      <c r="Q104" s="29">
        <v>1</v>
      </c>
      <c r="S104" s="27">
        <v>12</v>
      </c>
      <c r="T104" s="28" t="s">
        <v>132</v>
      </c>
      <c r="U104" s="29">
        <v>700</v>
      </c>
      <c r="V104" s="29">
        <v>275</v>
      </c>
      <c r="W104" s="30">
        <v>-79.713899999999995</v>
      </c>
      <c r="X104" s="30">
        <v>0.23662753246753246</v>
      </c>
      <c r="Y104" s="29">
        <v>1</v>
      </c>
    </row>
    <row r="105" spans="11:25" x14ac:dyDescent="0.2">
      <c r="K105" s="27">
        <v>16</v>
      </c>
      <c r="L105" s="28" t="s">
        <v>131</v>
      </c>
      <c r="M105" s="29">
        <v>300</v>
      </c>
      <c r="N105" s="29">
        <v>675</v>
      </c>
      <c r="O105" s="30">
        <v>-34.9099</v>
      </c>
      <c r="P105" s="30">
        <v>9.8511181657848335E-2</v>
      </c>
      <c r="Q105" s="29">
        <v>1</v>
      </c>
      <c r="S105" s="27">
        <v>16</v>
      </c>
      <c r="T105" s="28" t="s">
        <v>131</v>
      </c>
      <c r="U105" s="29">
        <v>300</v>
      </c>
      <c r="V105" s="29">
        <v>675</v>
      </c>
      <c r="W105" s="30">
        <v>-34.996699999999997</v>
      </c>
      <c r="X105" s="30">
        <v>9.8756119929453254E-2</v>
      </c>
      <c r="Y105" s="29">
        <v>1</v>
      </c>
    </row>
    <row r="106" spans="11:25" x14ac:dyDescent="0.2">
      <c r="K106" s="27">
        <v>4</v>
      </c>
      <c r="L106" s="28" t="s">
        <v>130</v>
      </c>
      <c r="M106" s="29">
        <v>300</v>
      </c>
      <c r="N106" s="29">
        <v>275</v>
      </c>
      <c r="O106" s="30">
        <v>-9.3391000000000002</v>
      </c>
      <c r="P106" s="30">
        <v>6.4686406926406925E-2</v>
      </c>
      <c r="Q106" s="29">
        <v>1</v>
      </c>
      <c r="S106" s="27">
        <v>4</v>
      </c>
      <c r="T106" s="28" t="s">
        <v>130</v>
      </c>
      <c r="U106" s="29">
        <v>300</v>
      </c>
      <c r="V106" s="29">
        <v>275</v>
      </c>
      <c r="W106" s="30">
        <v>-9.3754000000000008</v>
      </c>
      <c r="X106" s="30">
        <v>6.4937835497835508E-2</v>
      </c>
      <c r="Y106" s="29">
        <v>1</v>
      </c>
    </row>
    <row r="107" spans="11:25" x14ac:dyDescent="0.2">
      <c r="K107" s="27">
        <v>20</v>
      </c>
      <c r="L107" s="28" t="s">
        <v>131</v>
      </c>
      <c r="M107" s="29">
        <v>300</v>
      </c>
      <c r="N107" s="29">
        <v>675</v>
      </c>
      <c r="O107" s="30">
        <v>-42.295999999999999</v>
      </c>
      <c r="P107" s="30">
        <v>0.11935379188712522</v>
      </c>
      <c r="Q107" s="29">
        <v>1</v>
      </c>
      <c r="S107" s="27">
        <v>20</v>
      </c>
      <c r="T107" s="28" t="s">
        <v>131</v>
      </c>
      <c r="U107" s="29">
        <v>300</v>
      </c>
      <c r="V107" s="29">
        <v>675</v>
      </c>
      <c r="W107" s="30">
        <v>-42.392899999999997</v>
      </c>
      <c r="X107" s="30">
        <v>0.11962723104056436</v>
      </c>
      <c r="Y107" s="29">
        <v>1</v>
      </c>
    </row>
    <row r="108" spans="11:25" x14ac:dyDescent="0.2">
      <c r="K108" s="27">
        <v>5</v>
      </c>
      <c r="L108" s="28" t="s">
        <v>132</v>
      </c>
      <c r="M108" s="29">
        <v>700</v>
      </c>
      <c r="N108" s="29">
        <v>275</v>
      </c>
      <c r="O108" s="30">
        <v>-100.6018</v>
      </c>
      <c r="P108" s="30">
        <v>0.29863243042671617</v>
      </c>
      <c r="Q108" s="29">
        <v>1</v>
      </c>
      <c r="S108" s="27">
        <v>5</v>
      </c>
      <c r="T108" s="28" t="s">
        <v>132</v>
      </c>
      <c r="U108" s="29">
        <v>700</v>
      </c>
      <c r="V108" s="29">
        <v>275</v>
      </c>
      <c r="W108" s="30">
        <v>-100.75369999999999</v>
      </c>
      <c r="X108" s="30">
        <v>0.29908333951762522</v>
      </c>
      <c r="Y108" s="29">
        <v>1</v>
      </c>
    </row>
    <row r="109" spans="11:25" x14ac:dyDescent="0.2">
      <c r="K109" s="27">
        <v>23</v>
      </c>
      <c r="L109" s="28" t="s">
        <v>131</v>
      </c>
      <c r="M109" s="29">
        <v>300</v>
      </c>
      <c r="N109" s="29">
        <v>675</v>
      </c>
      <c r="O109" s="30">
        <v>-39.680799999999998</v>
      </c>
      <c r="P109" s="30">
        <v>0.11197403880070546</v>
      </c>
      <c r="Q109" s="29">
        <v>1</v>
      </c>
      <c r="S109" s="27">
        <v>23</v>
      </c>
      <c r="T109" s="28" t="s">
        <v>131</v>
      </c>
      <c r="U109" s="29">
        <v>300</v>
      </c>
      <c r="V109" s="29">
        <v>675</v>
      </c>
      <c r="W109" s="30">
        <v>-39.778199999999998</v>
      </c>
      <c r="X109" s="30">
        <v>0.11224888888888888</v>
      </c>
      <c r="Y109" s="29">
        <v>1</v>
      </c>
    </row>
    <row r="110" spans="11:25" x14ac:dyDescent="0.2">
      <c r="K110" s="27">
        <v>24</v>
      </c>
      <c r="L110" s="28" t="s">
        <v>131</v>
      </c>
      <c r="M110" s="29">
        <v>300</v>
      </c>
      <c r="N110" s="29">
        <v>675</v>
      </c>
      <c r="O110" s="30">
        <v>-38.800699999999999</v>
      </c>
      <c r="P110" s="30">
        <v>0.10949051146384479</v>
      </c>
      <c r="Q110" s="29">
        <v>1</v>
      </c>
      <c r="S110" s="27">
        <v>24</v>
      </c>
      <c r="T110" s="28" t="s">
        <v>131</v>
      </c>
      <c r="U110" s="29">
        <v>300</v>
      </c>
      <c r="V110" s="29">
        <v>675</v>
      </c>
      <c r="W110" s="30">
        <v>-38.9</v>
      </c>
      <c r="X110" s="30">
        <v>0.10977072310405643</v>
      </c>
      <c r="Y110" s="29">
        <v>1</v>
      </c>
    </row>
    <row r="111" spans="11:25" x14ac:dyDescent="0.2">
      <c r="K111" s="27">
        <v>7</v>
      </c>
      <c r="L111" s="28" t="s">
        <v>132</v>
      </c>
      <c r="M111" s="29">
        <v>700</v>
      </c>
      <c r="N111" s="29">
        <v>275</v>
      </c>
      <c r="O111" s="30">
        <v>-102.0487</v>
      </c>
      <c r="P111" s="30">
        <v>0.30292749536178104</v>
      </c>
      <c r="Q111" s="29">
        <v>1</v>
      </c>
      <c r="S111" s="27">
        <v>7</v>
      </c>
      <c r="T111" s="28" t="s">
        <v>132</v>
      </c>
      <c r="U111" s="29">
        <v>700</v>
      </c>
      <c r="V111" s="29">
        <v>275</v>
      </c>
      <c r="W111" s="30">
        <v>-102.2011</v>
      </c>
      <c r="X111" s="30">
        <v>0.30337988868274579</v>
      </c>
      <c r="Y111" s="29">
        <v>1</v>
      </c>
    </row>
    <row r="112" spans="11:25" x14ac:dyDescent="0.2">
      <c r="K112" s="27">
        <v>18</v>
      </c>
      <c r="L112" s="28" t="s">
        <v>131</v>
      </c>
      <c r="M112" s="29">
        <v>300</v>
      </c>
      <c r="N112" s="29">
        <v>675</v>
      </c>
      <c r="O112" s="30">
        <v>-20.084599999999998</v>
      </c>
      <c r="P112" s="30">
        <v>5.6676119929453261E-2</v>
      </c>
      <c r="Q112" s="29">
        <v>1</v>
      </c>
      <c r="S112" s="27">
        <v>18</v>
      </c>
      <c r="T112" s="28" t="s">
        <v>131</v>
      </c>
      <c r="U112" s="29">
        <v>300</v>
      </c>
      <c r="V112" s="29">
        <v>675</v>
      </c>
      <c r="W112" s="30">
        <v>-20.160299999999999</v>
      </c>
      <c r="X112" s="30">
        <v>5.6889735449735447E-2</v>
      </c>
      <c r="Y112" s="29">
        <v>1</v>
      </c>
    </row>
    <row r="113" spans="11:25" x14ac:dyDescent="0.2">
      <c r="K113" s="27">
        <v>19</v>
      </c>
      <c r="L113" s="28" t="s">
        <v>131</v>
      </c>
      <c r="M113" s="29">
        <v>300</v>
      </c>
      <c r="N113" s="29">
        <v>675</v>
      </c>
      <c r="O113" s="30">
        <v>-42.319200000000002</v>
      </c>
      <c r="P113" s="30">
        <v>0.11941925925925927</v>
      </c>
      <c r="Q113" s="29">
        <v>1</v>
      </c>
      <c r="S113" s="27">
        <v>19</v>
      </c>
      <c r="T113" s="28" t="s">
        <v>131</v>
      </c>
      <c r="U113" s="29">
        <v>300</v>
      </c>
      <c r="V113" s="29">
        <v>675</v>
      </c>
      <c r="W113" s="30">
        <v>-42.414999999999999</v>
      </c>
      <c r="X113" s="30">
        <v>0.11968959435626102</v>
      </c>
      <c r="Y113" s="29">
        <v>1</v>
      </c>
    </row>
    <row r="114" spans="11:25" x14ac:dyDescent="0.2">
      <c r="K114" s="27">
        <v>6</v>
      </c>
      <c r="L114" s="28" t="s">
        <v>132</v>
      </c>
      <c r="M114" s="29">
        <v>700</v>
      </c>
      <c r="N114" s="29">
        <v>275</v>
      </c>
      <c r="O114" s="30">
        <v>-100.6138</v>
      </c>
      <c r="P114" s="30">
        <v>0.29866805194805196</v>
      </c>
      <c r="Q114" s="29">
        <v>1</v>
      </c>
      <c r="S114" s="27">
        <v>6</v>
      </c>
      <c r="T114" s="28" t="s">
        <v>132</v>
      </c>
      <c r="U114" s="29">
        <v>700</v>
      </c>
      <c r="V114" s="29">
        <v>275</v>
      </c>
      <c r="W114" s="30">
        <v>-100.7636</v>
      </c>
      <c r="X114" s="30">
        <v>0.29911272727272725</v>
      </c>
      <c r="Y114" s="29">
        <v>1</v>
      </c>
    </row>
    <row r="115" spans="11:25" x14ac:dyDescent="0.2">
      <c r="K115" s="27">
        <v>21</v>
      </c>
      <c r="L115" s="28" t="s">
        <v>131</v>
      </c>
      <c r="M115" s="29">
        <v>300</v>
      </c>
      <c r="N115" s="29">
        <v>675</v>
      </c>
      <c r="O115" s="30">
        <v>-39.7102</v>
      </c>
      <c r="P115" s="30">
        <v>0.11205700176366842</v>
      </c>
      <c r="Q115" s="29">
        <v>1</v>
      </c>
      <c r="S115" s="27">
        <v>21</v>
      </c>
      <c r="T115" s="28" t="s">
        <v>131</v>
      </c>
      <c r="U115" s="29">
        <v>300</v>
      </c>
      <c r="V115" s="29">
        <v>675</v>
      </c>
      <c r="W115" s="30">
        <v>-39.8063</v>
      </c>
      <c r="X115" s="30">
        <v>0.11232818342151676</v>
      </c>
      <c r="Y115" s="29">
        <v>1</v>
      </c>
    </row>
    <row r="116" spans="11:25" x14ac:dyDescent="0.2">
      <c r="K116" s="27">
        <v>22</v>
      </c>
      <c r="L116" s="28" t="s">
        <v>131</v>
      </c>
      <c r="M116" s="29">
        <v>300</v>
      </c>
      <c r="N116" s="29">
        <v>675</v>
      </c>
      <c r="O116" s="30">
        <v>-38.829799999999999</v>
      </c>
      <c r="P116" s="30">
        <v>0.10957262786596118</v>
      </c>
      <c r="Q116" s="29">
        <v>1</v>
      </c>
      <c r="S116" s="27">
        <v>22</v>
      </c>
      <c r="T116" s="28" t="s">
        <v>131</v>
      </c>
      <c r="U116" s="29">
        <v>300</v>
      </c>
      <c r="V116" s="29">
        <v>675</v>
      </c>
      <c r="W116" s="30">
        <v>-38.927599999999998</v>
      </c>
      <c r="X116" s="30">
        <v>0.10984860670194004</v>
      </c>
      <c r="Y116" s="29">
        <v>1</v>
      </c>
    </row>
    <row r="117" spans="11:25" x14ac:dyDescent="0.2">
      <c r="K117" s="27">
        <v>8</v>
      </c>
      <c r="L117" s="28" t="s">
        <v>132</v>
      </c>
      <c r="M117" s="29">
        <v>700</v>
      </c>
      <c r="N117" s="29">
        <v>275</v>
      </c>
      <c r="O117" s="30">
        <v>-102.0722</v>
      </c>
      <c r="P117" s="30">
        <v>0.30299725417439705</v>
      </c>
      <c r="Q117" s="29">
        <v>1</v>
      </c>
      <c r="S117" s="27">
        <v>8</v>
      </c>
      <c r="T117" s="28" t="s">
        <v>132</v>
      </c>
      <c r="U117" s="29">
        <v>700</v>
      </c>
      <c r="V117" s="29">
        <v>275</v>
      </c>
      <c r="W117" s="30">
        <v>-102.2229</v>
      </c>
      <c r="X117" s="30">
        <v>0.30344460111317251</v>
      </c>
      <c r="Y117" s="29">
        <v>1</v>
      </c>
    </row>
    <row r="118" spans="11:25" x14ac:dyDescent="0.2">
      <c r="K118" s="27">
        <v>17</v>
      </c>
      <c r="L118" s="28" t="s">
        <v>131</v>
      </c>
      <c r="M118" s="29">
        <v>300</v>
      </c>
      <c r="N118" s="29">
        <v>675</v>
      </c>
      <c r="O118" s="30">
        <v>-20.102900000000002</v>
      </c>
      <c r="P118" s="30">
        <v>5.6727760141093479E-2</v>
      </c>
      <c r="Q118" s="29">
        <v>1</v>
      </c>
      <c r="S118" s="27">
        <v>17</v>
      </c>
      <c r="T118" s="28" t="s">
        <v>131</v>
      </c>
      <c r="U118" s="29">
        <v>300</v>
      </c>
      <c r="V118" s="29">
        <v>675</v>
      </c>
      <c r="W118" s="30">
        <v>-20.177399999999999</v>
      </c>
      <c r="X118" s="30">
        <v>5.6937989417989415E-2</v>
      </c>
      <c r="Y118" s="29">
        <v>1</v>
      </c>
    </row>
    <row r="119" spans="11:25" x14ac:dyDescent="0.2">
      <c r="K119" s="27">
        <v>1</v>
      </c>
      <c r="L119" s="28" t="s">
        <v>130</v>
      </c>
      <c r="M119" s="29">
        <v>300</v>
      </c>
      <c r="N119" s="29">
        <v>275</v>
      </c>
      <c r="O119" s="30">
        <v>-23.003799999999998</v>
      </c>
      <c r="P119" s="30">
        <v>0.15933367965367964</v>
      </c>
      <c r="Q119" s="29">
        <v>1</v>
      </c>
      <c r="S119" s="27">
        <v>1</v>
      </c>
      <c r="T119" s="28" t="s">
        <v>130</v>
      </c>
      <c r="U119" s="29">
        <v>300</v>
      </c>
      <c r="V119" s="29">
        <v>275</v>
      </c>
      <c r="W119" s="30">
        <v>-23.051200000000001</v>
      </c>
      <c r="X119" s="30">
        <v>0.15966199134199136</v>
      </c>
      <c r="Y119" s="29">
        <v>1</v>
      </c>
    </row>
    <row r="120" spans="11:25" x14ac:dyDescent="0.2">
      <c r="K120" s="27">
        <v>13</v>
      </c>
      <c r="L120" s="28" t="s">
        <v>131</v>
      </c>
      <c r="M120" s="29">
        <v>300</v>
      </c>
      <c r="N120" s="29">
        <v>675</v>
      </c>
      <c r="O120" s="30">
        <v>-33.561300000000003</v>
      </c>
      <c r="P120" s="30">
        <v>9.4705608465608479E-2</v>
      </c>
      <c r="Q120" s="29">
        <v>1</v>
      </c>
      <c r="S120" s="27">
        <v>13</v>
      </c>
      <c r="T120" s="28" t="s">
        <v>131</v>
      </c>
      <c r="U120" s="29">
        <v>300</v>
      </c>
      <c r="V120" s="29">
        <v>675</v>
      </c>
      <c r="W120" s="30">
        <v>-33.648699999999998</v>
      </c>
      <c r="X120" s="30">
        <v>9.4952239858906523E-2</v>
      </c>
      <c r="Y120" s="29">
        <v>1</v>
      </c>
    </row>
    <row r="121" spans="11:25" x14ac:dyDescent="0.2">
      <c r="K121" s="27">
        <v>9</v>
      </c>
      <c r="L121" s="28" t="s">
        <v>132</v>
      </c>
      <c r="M121" s="29">
        <v>700</v>
      </c>
      <c r="N121" s="29">
        <v>275</v>
      </c>
      <c r="O121" s="30">
        <v>-79.793599999999998</v>
      </c>
      <c r="P121" s="30">
        <v>0.23686411873840443</v>
      </c>
      <c r="Q121" s="29">
        <v>1</v>
      </c>
      <c r="S121" s="27">
        <v>9</v>
      </c>
      <c r="T121" s="28" t="s">
        <v>132</v>
      </c>
      <c r="U121" s="29">
        <v>700</v>
      </c>
      <c r="V121" s="29">
        <v>275</v>
      </c>
      <c r="W121" s="30">
        <v>-80.173400000000001</v>
      </c>
      <c r="X121" s="30">
        <v>0.23799153988868274</v>
      </c>
      <c r="Y121" s="29">
        <v>1</v>
      </c>
    </row>
    <row r="122" spans="11:25" x14ac:dyDescent="0.2">
      <c r="K122" s="27">
        <v>10</v>
      </c>
      <c r="L122" s="28" t="s">
        <v>132</v>
      </c>
      <c r="M122" s="29">
        <v>700</v>
      </c>
      <c r="N122" s="29">
        <v>275</v>
      </c>
      <c r="O122" s="30">
        <v>-79.354100000000003</v>
      </c>
      <c r="P122" s="30">
        <v>0.23555948051948053</v>
      </c>
      <c r="Q122" s="29">
        <v>1</v>
      </c>
      <c r="S122" s="27">
        <v>10</v>
      </c>
      <c r="T122" s="28" t="s">
        <v>132</v>
      </c>
      <c r="U122" s="29">
        <v>700</v>
      </c>
      <c r="V122" s="29">
        <v>275</v>
      </c>
      <c r="W122" s="30">
        <v>-79.799700000000001</v>
      </c>
      <c r="X122" s="30">
        <v>0.23688222634508349</v>
      </c>
      <c r="Y122" s="29">
        <v>1</v>
      </c>
    </row>
    <row r="123" spans="11:25" x14ac:dyDescent="0.2">
      <c r="K123" s="27">
        <v>14</v>
      </c>
      <c r="L123" s="28" t="s">
        <v>131</v>
      </c>
      <c r="M123" s="29">
        <v>300</v>
      </c>
      <c r="N123" s="29">
        <v>675</v>
      </c>
      <c r="O123" s="30">
        <v>-34.989600000000003</v>
      </c>
      <c r="P123" s="30">
        <v>9.8736084656084674E-2</v>
      </c>
      <c r="Q123" s="29">
        <v>1</v>
      </c>
      <c r="S123" s="27">
        <v>14</v>
      </c>
      <c r="T123" s="28" t="s">
        <v>131</v>
      </c>
      <c r="U123" s="29">
        <v>300</v>
      </c>
      <c r="V123" s="29">
        <v>675</v>
      </c>
      <c r="W123" s="30">
        <v>-35.069499999999998</v>
      </c>
      <c r="X123" s="30">
        <v>9.8961552028218699E-2</v>
      </c>
      <c r="Y123" s="29">
        <v>1</v>
      </c>
    </row>
    <row r="124" spans="11:25" x14ac:dyDescent="0.2">
      <c r="K124" s="27">
        <v>2</v>
      </c>
      <c r="L124" s="28" t="s">
        <v>130</v>
      </c>
      <c r="M124" s="29">
        <v>300</v>
      </c>
      <c r="N124" s="29">
        <v>275</v>
      </c>
      <c r="O124" s="30">
        <v>-9.3706999999999994</v>
      </c>
      <c r="P124" s="30">
        <v>6.4905281385281371E-2</v>
      </c>
      <c r="Q124" s="29">
        <v>1</v>
      </c>
      <c r="S124" s="27">
        <v>2</v>
      </c>
      <c r="T124" s="28" t="s">
        <v>130</v>
      </c>
      <c r="U124" s="29">
        <v>300</v>
      </c>
      <c r="V124" s="29">
        <v>275</v>
      </c>
      <c r="W124" s="30">
        <v>-9.4046000000000003</v>
      </c>
      <c r="X124" s="30">
        <v>6.5140086580086576E-2</v>
      </c>
      <c r="Y124" s="29">
        <v>1</v>
      </c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3.7109375" style="26" bestFit="1" customWidth="1"/>
    <col min="3" max="8" width="7.140625" style="26" bestFit="1" customWidth="1"/>
    <col min="9" max="10" width="9.140625" style="11"/>
    <col min="11" max="11" width="10" style="27" bestFit="1" customWidth="1"/>
    <col min="12" max="12" width="13.7109375" style="28" bestFit="1" customWidth="1"/>
    <col min="13" max="14" width="7.140625" style="29" bestFit="1" customWidth="1"/>
    <col min="15" max="15" width="8.7109375" style="30" customWidth="1"/>
    <col min="16" max="16" width="12.140625" style="30" bestFit="1" customWidth="1"/>
    <col min="17" max="17" width="16.7109375" style="29" bestFit="1" customWidth="1"/>
    <col min="18" max="18" width="9.140625" style="11"/>
    <col min="19" max="19" width="10" style="27" bestFit="1" customWidth="1"/>
    <col min="20" max="20" width="13.7109375" style="28" bestFit="1" customWidth="1"/>
    <col min="21" max="22" width="7.140625" style="29" bestFit="1" customWidth="1"/>
    <col min="23" max="23" width="8.7109375" style="30" customWidth="1"/>
    <col min="24" max="24" width="12.140625" style="30" bestFit="1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89</v>
      </c>
      <c r="L2" s="56"/>
      <c r="M2" s="56"/>
      <c r="N2" s="56"/>
      <c r="O2" s="56"/>
      <c r="P2" s="56"/>
      <c r="Q2" s="57"/>
      <c r="S2" s="55" t="s">
        <v>103</v>
      </c>
      <c r="T2" s="56"/>
      <c r="U2" s="56"/>
      <c r="V2" s="56"/>
      <c r="W2" s="56"/>
      <c r="X2" s="56"/>
      <c r="Y2" s="57"/>
    </row>
    <row r="3" spans="2:25" ht="14.45" customHeight="1" x14ac:dyDescent="0.2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2">
      <c r="B4" s="51"/>
      <c r="C4" s="7" t="s">
        <v>937</v>
      </c>
      <c r="D4" s="7" t="s">
        <v>938</v>
      </c>
      <c r="E4" s="7" t="s">
        <v>939</v>
      </c>
      <c r="F4" s="7" t="s">
        <v>940</v>
      </c>
      <c r="G4" s="7" t="s">
        <v>941</v>
      </c>
      <c r="H4" s="7" t="s">
        <v>942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-30.475200000000001</v>
      </c>
      <c r="P5" s="30">
        <v>0.21108363636363636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-30.482399999999998</v>
      </c>
      <c r="X5" s="30">
        <v>0.21113350649350648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-60.654600000000002</v>
      </c>
      <c r="P6" s="30">
        <v>0.17115936507936508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-60.612099999999998</v>
      </c>
      <c r="X6" s="30">
        <v>0.1710394356261023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-57.015799999999999</v>
      </c>
      <c r="P7" s="30">
        <v>0.16924912801484229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-56.994700000000002</v>
      </c>
      <c r="X7" s="30">
        <v>0.16918649350649351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4.033204516914626E-3</v>
      </c>
      <c r="E8" s="26">
        <v>5.3776060225528347E-3</v>
      </c>
      <c r="F8" s="26">
        <v>7.4999999999999997E-3</v>
      </c>
      <c r="G8" s="26">
        <v>2.4E-2</v>
      </c>
      <c r="H8" s="26">
        <v>3.2000000000000001E-2</v>
      </c>
      <c r="K8" s="27">
        <v>198</v>
      </c>
      <c r="L8" s="28" t="s">
        <v>129</v>
      </c>
      <c r="M8" s="29">
        <v>700</v>
      </c>
      <c r="N8" s="29">
        <v>275</v>
      </c>
      <c r="O8" s="30">
        <v>-56.965699999999998</v>
      </c>
      <c r="P8" s="30">
        <v>0.1691004081632653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-56.9377</v>
      </c>
      <c r="X8" s="30">
        <v>0.16901729128014842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4.0529005819887488E-3</v>
      </c>
      <c r="E9" s="26">
        <v>5.403867442651665E-3</v>
      </c>
      <c r="F9" s="26">
        <v>7.4999999999999997E-3</v>
      </c>
      <c r="G9" s="26">
        <v>2.4E-2</v>
      </c>
      <c r="H9" s="26">
        <v>3.2000000000000001E-2</v>
      </c>
      <c r="K9" s="27">
        <v>202</v>
      </c>
      <c r="L9" s="28" t="s">
        <v>128</v>
      </c>
      <c r="M9" s="29">
        <v>300</v>
      </c>
      <c r="N9" s="29">
        <v>675</v>
      </c>
      <c r="O9" s="30">
        <v>-59.344799999999999</v>
      </c>
      <c r="P9" s="30">
        <v>0.16746328042328043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-59.309100000000001</v>
      </c>
      <c r="X9" s="30">
        <v>0.16736253968253967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4.0529005819887488E-3</v>
      </c>
      <c r="E10" s="26">
        <v>5.403867442651665E-3</v>
      </c>
      <c r="F10" s="26">
        <v>7.4999999999999997E-3</v>
      </c>
      <c r="G10" s="26">
        <v>2.4E-2</v>
      </c>
      <c r="H10" s="26">
        <v>3.2000000000000001E-2</v>
      </c>
      <c r="K10" s="27">
        <v>190</v>
      </c>
      <c r="L10" s="28" t="s">
        <v>127</v>
      </c>
      <c r="M10" s="29">
        <v>300</v>
      </c>
      <c r="N10" s="29">
        <v>275</v>
      </c>
      <c r="O10" s="30">
        <v>-29.919499999999999</v>
      </c>
      <c r="P10" s="30">
        <v>0.20723463203463202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-29.888400000000001</v>
      </c>
      <c r="X10" s="30">
        <v>0.2070192207792208</v>
      </c>
      <c r="Y10" s="29">
        <v>1</v>
      </c>
    </row>
    <row r="11" spans="2:25" x14ac:dyDescent="0.2">
      <c r="K11" s="27">
        <v>206</v>
      </c>
      <c r="L11" s="28" t="s">
        <v>128</v>
      </c>
      <c r="M11" s="29">
        <v>300</v>
      </c>
      <c r="N11" s="29">
        <v>675</v>
      </c>
      <c r="O11" s="30">
        <v>-7.1173999999999999</v>
      </c>
      <c r="P11" s="30">
        <v>2.0084373897707231E-2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-7.0796000000000001</v>
      </c>
      <c r="X11" s="30">
        <v>1.9977707231040566E-2</v>
      </c>
      <c r="Y11" s="29">
        <v>1</v>
      </c>
    </row>
    <row r="12" spans="2:25" x14ac:dyDescent="0.2">
      <c r="K12" s="27">
        <v>191</v>
      </c>
      <c r="L12" s="28" t="s">
        <v>129</v>
      </c>
      <c r="M12" s="29">
        <v>700</v>
      </c>
      <c r="N12" s="29">
        <v>275</v>
      </c>
      <c r="O12" s="30">
        <v>-27.407699999999998</v>
      </c>
      <c r="P12" s="30">
        <v>8.1358664192949903E-2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-27.390899999999998</v>
      </c>
      <c r="X12" s="30">
        <v>8.1308794063079767E-2</v>
      </c>
      <c r="Y12" s="29">
        <v>1</v>
      </c>
    </row>
    <row r="13" spans="2:25" x14ac:dyDescent="0.2">
      <c r="K13" s="27">
        <v>209</v>
      </c>
      <c r="L13" s="28" t="s">
        <v>128</v>
      </c>
      <c r="M13" s="29">
        <v>300</v>
      </c>
      <c r="N13" s="29">
        <v>675</v>
      </c>
      <c r="O13" s="30">
        <v>-19.7608</v>
      </c>
      <c r="P13" s="30">
        <v>5.5762398589065253E-2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-19.700900000000001</v>
      </c>
      <c r="X13" s="30">
        <v>5.5593368606701943E-2</v>
      </c>
      <c r="Y13" s="29">
        <v>1</v>
      </c>
    </row>
    <row r="14" spans="2:25" x14ac:dyDescent="0.2">
      <c r="K14" s="27">
        <v>210</v>
      </c>
      <c r="L14" s="28" t="s">
        <v>128</v>
      </c>
      <c r="M14" s="29">
        <v>300</v>
      </c>
      <c r="N14" s="29">
        <v>675</v>
      </c>
      <c r="O14" s="30">
        <v>-19.8538</v>
      </c>
      <c r="P14" s="30">
        <v>5.6024832451499119E-2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-19.781700000000001</v>
      </c>
      <c r="X14" s="30">
        <v>5.5821375661375662E-2</v>
      </c>
      <c r="Y14" s="29">
        <v>1</v>
      </c>
    </row>
    <row r="15" spans="2:25" x14ac:dyDescent="0.2">
      <c r="K15" s="27">
        <v>193</v>
      </c>
      <c r="L15" s="28" t="s">
        <v>129</v>
      </c>
      <c r="M15" s="29">
        <v>700</v>
      </c>
      <c r="N15" s="29">
        <v>275</v>
      </c>
      <c r="O15" s="30">
        <v>-27.780799999999999</v>
      </c>
      <c r="P15" s="30">
        <v>8.2466196660482369E-2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-27.703199999999999</v>
      </c>
      <c r="X15" s="30">
        <v>8.2235844155844159E-2</v>
      </c>
      <c r="Y15" s="29">
        <v>1</v>
      </c>
    </row>
    <row r="16" spans="2:25" x14ac:dyDescent="0.2">
      <c r="K16" s="27">
        <v>204</v>
      </c>
      <c r="L16" s="28" t="s">
        <v>128</v>
      </c>
      <c r="M16" s="29">
        <v>300</v>
      </c>
      <c r="N16" s="29">
        <v>675</v>
      </c>
      <c r="O16" s="30">
        <v>-8.0143000000000004</v>
      </c>
      <c r="P16" s="30">
        <v>2.261530864197531E-2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-7.9561999999999999</v>
      </c>
      <c r="X16" s="30">
        <v>2.2451358024691358E-2</v>
      </c>
      <c r="Y16" s="29">
        <v>1</v>
      </c>
    </row>
    <row r="17" spans="11:25" x14ac:dyDescent="0.2">
      <c r="K17" s="27">
        <v>205</v>
      </c>
      <c r="L17" s="28" t="s">
        <v>128</v>
      </c>
      <c r="M17" s="29">
        <v>300</v>
      </c>
      <c r="N17" s="29">
        <v>675</v>
      </c>
      <c r="O17" s="30">
        <v>-11.690799999999999</v>
      </c>
      <c r="P17" s="30">
        <v>3.2989911816578482E-2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-11.652799999999999</v>
      </c>
      <c r="X17" s="30">
        <v>3.2882680776014105E-2</v>
      </c>
      <c r="Y17" s="29">
        <v>1</v>
      </c>
    </row>
    <row r="18" spans="11:25" x14ac:dyDescent="0.2">
      <c r="K18" s="27">
        <v>192</v>
      </c>
      <c r="L18" s="28" t="s">
        <v>129</v>
      </c>
      <c r="M18" s="29">
        <v>700</v>
      </c>
      <c r="N18" s="29">
        <v>275</v>
      </c>
      <c r="O18" s="30">
        <v>-27.860900000000001</v>
      </c>
      <c r="P18" s="30">
        <v>8.2703970315398889E-2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-27.845099999999999</v>
      </c>
      <c r="X18" s="30">
        <v>8.2657068645640069E-2</v>
      </c>
      <c r="Y18" s="29">
        <v>1</v>
      </c>
    </row>
    <row r="19" spans="11:25" x14ac:dyDescent="0.2">
      <c r="K19" s="27">
        <v>207</v>
      </c>
      <c r="L19" s="28" t="s">
        <v>128</v>
      </c>
      <c r="M19" s="29">
        <v>300</v>
      </c>
      <c r="N19" s="29">
        <v>675</v>
      </c>
      <c r="O19" s="30">
        <v>-22.697600000000001</v>
      </c>
      <c r="P19" s="30">
        <v>6.4049664902998238E-2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-22.639099999999999</v>
      </c>
      <c r="X19" s="30">
        <v>6.388458553791887E-2</v>
      </c>
      <c r="Y19" s="29">
        <v>1</v>
      </c>
    </row>
    <row r="20" spans="11:25" x14ac:dyDescent="0.2">
      <c r="K20" s="27">
        <v>208</v>
      </c>
      <c r="L20" s="28" t="s">
        <v>128</v>
      </c>
      <c r="M20" s="29">
        <v>300</v>
      </c>
      <c r="N20" s="29">
        <v>675</v>
      </c>
      <c r="O20" s="30">
        <v>-22.627300000000002</v>
      </c>
      <c r="P20" s="30">
        <v>6.3851287477954155E-2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-22.552800000000001</v>
      </c>
      <c r="X20" s="30">
        <v>6.3641058201058212E-2</v>
      </c>
      <c r="Y20" s="29">
        <v>1</v>
      </c>
    </row>
    <row r="21" spans="11:25" x14ac:dyDescent="0.2">
      <c r="K21" s="27">
        <v>194</v>
      </c>
      <c r="L21" s="28" t="s">
        <v>129</v>
      </c>
      <c r="M21" s="29">
        <v>700</v>
      </c>
      <c r="N21" s="29">
        <v>275</v>
      </c>
      <c r="O21" s="30">
        <v>-27.722000000000001</v>
      </c>
      <c r="P21" s="30">
        <v>8.2291651205936914E-2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-27.6431</v>
      </c>
      <c r="X21" s="30">
        <v>8.2057439703153989E-2</v>
      </c>
      <c r="Y21" s="29">
        <v>1</v>
      </c>
    </row>
    <row r="22" spans="11:25" x14ac:dyDescent="0.2">
      <c r="K22" s="27">
        <v>203</v>
      </c>
      <c r="L22" s="28" t="s">
        <v>128</v>
      </c>
      <c r="M22" s="29">
        <v>300</v>
      </c>
      <c r="N22" s="29">
        <v>675</v>
      </c>
      <c r="O22" s="30">
        <v>-11.461600000000001</v>
      </c>
      <c r="P22" s="30">
        <v>3.2343139329805995E-2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-11.399900000000001</v>
      </c>
      <c r="X22" s="30">
        <v>3.2169029982363317E-2</v>
      </c>
      <c r="Y22" s="29">
        <v>1</v>
      </c>
    </row>
    <row r="23" spans="11:25" x14ac:dyDescent="0.2">
      <c r="K23" s="27">
        <v>187</v>
      </c>
      <c r="L23" s="28" t="s">
        <v>127</v>
      </c>
      <c r="M23" s="29">
        <v>300</v>
      </c>
      <c r="N23" s="29">
        <v>275</v>
      </c>
      <c r="O23" s="30">
        <v>13.0398</v>
      </c>
      <c r="P23" s="30">
        <v>9.0318961038961032E-2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13.038500000000001</v>
      </c>
      <c r="X23" s="30">
        <v>9.0309956709956715E-2</v>
      </c>
      <c r="Y23" s="29">
        <v>1</v>
      </c>
    </row>
    <row r="24" spans="11:25" x14ac:dyDescent="0.2">
      <c r="K24" s="27">
        <v>199</v>
      </c>
      <c r="L24" s="28" t="s">
        <v>128</v>
      </c>
      <c r="M24" s="29">
        <v>300</v>
      </c>
      <c r="N24" s="29">
        <v>675</v>
      </c>
      <c r="O24" s="30">
        <v>58.125799999999998</v>
      </c>
      <c r="P24" s="30">
        <v>0.16402342151675484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58.169800000000002</v>
      </c>
      <c r="X24" s="30">
        <v>0.16414758377425046</v>
      </c>
      <c r="Y24" s="29">
        <v>1</v>
      </c>
    </row>
    <row r="25" spans="11:25" x14ac:dyDescent="0.2">
      <c r="K25" s="27">
        <v>195</v>
      </c>
      <c r="L25" s="28" t="s">
        <v>129</v>
      </c>
      <c r="M25" s="29">
        <v>700</v>
      </c>
      <c r="N25" s="29">
        <v>275</v>
      </c>
      <c r="O25" s="30">
        <v>30.004200000000001</v>
      </c>
      <c r="P25" s="30">
        <v>8.9066270871985154E-2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30.0275</v>
      </c>
      <c r="X25" s="30">
        <v>8.9135435992578851E-2</v>
      </c>
      <c r="Y25" s="29">
        <v>1</v>
      </c>
    </row>
    <row r="26" spans="11:25" x14ac:dyDescent="0.2">
      <c r="K26" s="27">
        <v>196</v>
      </c>
      <c r="L26" s="28" t="s">
        <v>129</v>
      </c>
      <c r="M26" s="29">
        <v>700</v>
      </c>
      <c r="N26" s="29">
        <v>275</v>
      </c>
      <c r="O26" s="30">
        <v>30.021899999999999</v>
      </c>
      <c r="P26" s="30">
        <v>8.9118812615955473E-2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30.054099999999998</v>
      </c>
      <c r="X26" s="30">
        <v>8.9214397031539883E-2</v>
      </c>
      <c r="Y26" s="29">
        <v>1</v>
      </c>
    </row>
    <row r="27" spans="11:25" x14ac:dyDescent="0.2">
      <c r="K27" s="27">
        <v>200</v>
      </c>
      <c r="L27" s="28" t="s">
        <v>128</v>
      </c>
      <c r="M27" s="29">
        <v>300</v>
      </c>
      <c r="N27" s="29">
        <v>675</v>
      </c>
      <c r="O27" s="30">
        <v>58.197400000000002</v>
      </c>
      <c r="P27" s="30">
        <v>0.16422546737213403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58.225099999999998</v>
      </c>
      <c r="X27" s="30">
        <v>0.1643036331569665</v>
      </c>
      <c r="Y27" s="29">
        <v>1</v>
      </c>
    </row>
    <row r="28" spans="11:25" x14ac:dyDescent="0.2">
      <c r="K28" s="27">
        <v>188</v>
      </c>
      <c r="L28" s="28" t="s">
        <v>127</v>
      </c>
      <c r="M28" s="29">
        <v>300</v>
      </c>
      <c r="N28" s="29">
        <v>275</v>
      </c>
      <c r="O28" s="30">
        <v>13.1153</v>
      </c>
      <c r="P28" s="30">
        <v>9.0841904761904763E-2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13.15</v>
      </c>
      <c r="X28" s="30">
        <v>9.1082251082251084E-2</v>
      </c>
      <c r="Y28" s="29">
        <v>1</v>
      </c>
    </row>
    <row r="29" spans="11:25" x14ac:dyDescent="0.2">
      <c r="K29" s="27">
        <v>251</v>
      </c>
      <c r="L29" s="28" t="s">
        <v>127</v>
      </c>
      <c r="M29" s="29">
        <v>300</v>
      </c>
      <c r="N29" s="29">
        <v>275</v>
      </c>
      <c r="O29" s="30">
        <v>-31.4435</v>
      </c>
      <c r="P29" s="30">
        <v>0.2177904761904762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-31.4604</v>
      </c>
      <c r="X29" s="30">
        <v>0.21790753246753247</v>
      </c>
      <c r="Y29" s="29">
        <v>1</v>
      </c>
    </row>
    <row r="30" spans="11:25" x14ac:dyDescent="0.2">
      <c r="K30" s="27">
        <v>263</v>
      </c>
      <c r="L30" s="28" t="s">
        <v>128</v>
      </c>
      <c r="M30" s="29">
        <v>300</v>
      </c>
      <c r="N30" s="29">
        <v>675</v>
      </c>
      <c r="O30" s="30">
        <v>-64.475300000000004</v>
      </c>
      <c r="P30" s="30">
        <v>0.18194088183421517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-64.437600000000003</v>
      </c>
      <c r="X30" s="30">
        <v>0.18183449735449736</v>
      </c>
      <c r="Y30" s="29">
        <v>1</v>
      </c>
    </row>
    <row r="31" spans="11:25" x14ac:dyDescent="0.2">
      <c r="K31" s="27">
        <v>259</v>
      </c>
      <c r="L31" s="28" t="s">
        <v>129</v>
      </c>
      <c r="M31" s="29">
        <v>700</v>
      </c>
      <c r="N31" s="29">
        <v>275</v>
      </c>
      <c r="O31" s="30">
        <v>-48.5931</v>
      </c>
      <c r="P31" s="30">
        <v>0.14424667903525046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-48.573799999999999</v>
      </c>
      <c r="X31" s="30">
        <v>0.14418938775510204</v>
      </c>
      <c r="Y31" s="29">
        <v>1</v>
      </c>
    </row>
    <row r="32" spans="11:25" x14ac:dyDescent="0.2">
      <c r="K32" s="27">
        <v>260</v>
      </c>
      <c r="L32" s="28" t="s">
        <v>129</v>
      </c>
      <c r="M32" s="29">
        <v>700</v>
      </c>
      <c r="N32" s="29">
        <v>275</v>
      </c>
      <c r="O32" s="30">
        <v>-48.618899999999996</v>
      </c>
      <c r="P32" s="30">
        <v>0.14432326530612244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-48.585900000000002</v>
      </c>
      <c r="X32" s="30">
        <v>0.14422530612244899</v>
      </c>
      <c r="Y32" s="29">
        <v>1</v>
      </c>
    </row>
    <row r="33" spans="11:25" x14ac:dyDescent="0.2">
      <c r="K33" s="27">
        <v>264</v>
      </c>
      <c r="L33" s="28" t="s">
        <v>128</v>
      </c>
      <c r="M33" s="29">
        <v>300</v>
      </c>
      <c r="N33" s="29">
        <v>675</v>
      </c>
      <c r="O33" s="30">
        <v>-65.822199999999995</v>
      </c>
      <c r="P33" s="30">
        <v>0.1857416578483245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-65.710300000000004</v>
      </c>
      <c r="X33" s="30">
        <v>0.18542589065255732</v>
      </c>
      <c r="Y33" s="29">
        <v>1</v>
      </c>
    </row>
    <row r="34" spans="11:25" x14ac:dyDescent="0.2">
      <c r="K34" s="27">
        <v>252</v>
      </c>
      <c r="L34" s="28" t="s">
        <v>127</v>
      </c>
      <c r="M34" s="29">
        <v>300</v>
      </c>
      <c r="N34" s="29">
        <v>275</v>
      </c>
      <c r="O34" s="30">
        <v>-32.206000000000003</v>
      </c>
      <c r="P34" s="30">
        <v>0.2230718614718615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-32.162100000000002</v>
      </c>
      <c r="X34" s="30">
        <v>0.22276779220779222</v>
      </c>
      <c r="Y34" s="29">
        <v>1</v>
      </c>
    </row>
    <row r="35" spans="11:25" x14ac:dyDescent="0.2">
      <c r="K35" s="27">
        <v>268</v>
      </c>
      <c r="L35" s="28" t="s">
        <v>128</v>
      </c>
      <c r="M35" s="29">
        <v>300</v>
      </c>
      <c r="N35" s="29">
        <v>675</v>
      </c>
      <c r="O35" s="30">
        <v>-35.2241</v>
      </c>
      <c r="P35" s="30">
        <v>9.939781305114638E-2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-35.216700000000003</v>
      </c>
      <c r="X35" s="30">
        <v>9.9376931216931225E-2</v>
      </c>
      <c r="Y35" s="29">
        <v>1</v>
      </c>
    </row>
    <row r="36" spans="11:25" x14ac:dyDescent="0.2">
      <c r="K36" s="27">
        <v>253</v>
      </c>
      <c r="L36" s="28" t="s">
        <v>129</v>
      </c>
      <c r="M36" s="29">
        <v>700</v>
      </c>
      <c r="N36" s="29">
        <v>275</v>
      </c>
      <c r="O36" s="30">
        <v>-33.665900000000001</v>
      </c>
      <c r="P36" s="30">
        <v>9.9935881261595555E-2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-33.664099999999998</v>
      </c>
      <c r="X36" s="30">
        <v>9.9930538033395175E-2</v>
      </c>
      <c r="Y36" s="29">
        <v>1</v>
      </c>
    </row>
    <row r="37" spans="11:25" x14ac:dyDescent="0.2">
      <c r="K37" s="27">
        <v>271</v>
      </c>
      <c r="L37" s="28" t="s">
        <v>128</v>
      </c>
      <c r="M37" s="29">
        <v>300</v>
      </c>
      <c r="N37" s="29">
        <v>675</v>
      </c>
      <c r="O37" s="30">
        <v>-46.971899999999998</v>
      </c>
      <c r="P37" s="30">
        <v>0.13254857142857143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-46.899099999999997</v>
      </c>
      <c r="X37" s="30">
        <v>0.13234313932980599</v>
      </c>
      <c r="Y37" s="29">
        <v>1</v>
      </c>
    </row>
    <row r="38" spans="11:25" x14ac:dyDescent="0.2">
      <c r="K38" s="27">
        <v>272</v>
      </c>
      <c r="L38" s="28" t="s">
        <v>128</v>
      </c>
      <c r="M38" s="29">
        <v>300</v>
      </c>
      <c r="N38" s="29">
        <v>675</v>
      </c>
      <c r="O38" s="30">
        <v>-46.827100000000002</v>
      </c>
      <c r="P38" s="30">
        <v>0.13213996472663139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-46.715200000000003</v>
      </c>
      <c r="X38" s="30">
        <v>0.13182419753086422</v>
      </c>
      <c r="Y38" s="29">
        <v>1</v>
      </c>
    </row>
    <row r="39" spans="11:25" x14ac:dyDescent="0.2">
      <c r="K39" s="27">
        <v>255</v>
      </c>
      <c r="L39" s="28" t="s">
        <v>129</v>
      </c>
      <c r="M39" s="29">
        <v>700</v>
      </c>
      <c r="N39" s="29">
        <v>275</v>
      </c>
      <c r="O39" s="30">
        <v>-32.760399999999997</v>
      </c>
      <c r="P39" s="30">
        <v>9.7247940630797766E-2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-32.6751</v>
      </c>
      <c r="X39" s="30">
        <v>9.6994730983302413E-2</v>
      </c>
      <c r="Y39" s="29">
        <v>1</v>
      </c>
    </row>
    <row r="40" spans="11:25" x14ac:dyDescent="0.2">
      <c r="K40" s="27">
        <v>266</v>
      </c>
      <c r="L40" s="28" t="s">
        <v>128</v>
      </c>
      <c r="M40" s="29">
        <v>300</v>
      </c>
      <c r="N40" s="29">
        <v>675</v>
      </c>
      <c r="O40" s="30">
        <v>-33.809399999999997</v>
      </c>
      <c r="P40" s="30">
        <v>9.5405714285714274E-2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-33.6449</v>
      </c>
      <c r="X40" s="30">
        <v>9.4941516754850089E-2</v>
      </c>
      <c r="Y40" s="29">
        <v>1</v>
      </c>
    </row>
    <row r="41" spans="11:25" x14ac:dyDescent="0.2">
      <c r="K41" s="27">
        <v>267</v>
      </c>
      <c r="L41" s="28" t="s">
        <v>128</v>
      </c>
      <c r="M41" s="29">
        <v>300</v>
      </c>
      <c r="N41" s="29">
        <v>675</v>
      </c>
      <c r="O41" s="30">
        <v>-37.294199999999996</v>
      </c>
      <c r="P41" s="30">
        <v>0.10523936507936507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-37.292200000000001</v>
      </c>
      <c r="X41" s="30">
        <v>0.10523372134038803</v>
      </c>
      <c r="Y41" s="29">
        <v>1</v>
      </c>
    </row>
    <row r="42" spans="11:25" x14ac:dyDescent="0.2">
      <c r="K42" s="27">
        <v>254</v>
      </c>
      <c r="L42" s="28" t="s">
        <v>129</v>
      </c>
      <c r="M42" s="29">
        <v>700</v>
      </c>
      <c r="N42" s="29">
        <v>275</v>
      </c>
      <c r="O42" s="30">
        <v>-33.322499999999998</v>
      </c>
      <c r="P42" s="30">
        <v>9.8916512059369202E-2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-33.320999999999998</v>
      </c>
      <c r="X42" s="30">
        <v>9.8912059369202221E-2</v>
      </c>
      <c r="Y42" s="29">
        <v>1</v>
      </c>
    </row>
    <row r="43" spans="11:25" x14ac:dyDescent="0.2">
      <c r="K43" s="27">
        <v>269</v>
      </c>
      <c r="L43" s="28" t="s">
        <v>128</v>
      </c>
      <c r="M43" s="29">
        <v>300</v>
      </c>
      <c r="N43" s="29">
        <v>675</v>
      </c>
      <c r="O43" s="30">
        <v>-45.5501</v>
      </c>
      <c r="P43" s="30">
        <v>0.12853643738977072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-45.4788</v>
      </c>
      <c r="X43" s="30">
        <v>0.12833523809523811</v>
      </c>
      <c r="Y43" s="29">
        <v>1</v>
      </c>
    </row>
    <row r="44" spans="11:25" x14ac:dyDescent="0.2">
      <c r="K44" s="27">
        <v>270</v>
      </c>
      <c r="L44" s="28" t="s">
        <v>128</v>
      </c>
      <c r="M44" s="29">
        <v>300</v>
      </c>
      <c r="N44" s="29">
        <v>675</v>
      </c>
      <c r="O44" s="30">
        <v>-45.5259</v>
      </c>
      <c r="P44" s="30">
        <v>0.12846814814814816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-45.413499999999999</v>
      </c>
      <c r="X44" s="30">
        <v>0.12815097001763667</v>
      </c>
      <c r="Y44" s="29">
        <v>1</v>
      </c>
    </row>
    <row r="45" spans="11:25" x14ac:dyDescent="0.2">
      <c r="K45" s="27">
        <v>256</v>
      </c>
      <c r="L45" s="28" t="s">
        <v>129</v>
      </c>
      <c r="M45" s="29">
        <v>700</v>
      </c>
      <c r="N45" s="29">
        <v>275</v>
      </c>
      <c r="O45" s="30">
        <v>-33.272799999999997</v>
      </c>
      <c r="P45" s="30">
        <v>9.8768979591836725E-2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-33.186999999999998</v>
      </c>
      <c r="X45" s="30">
        <v>9.8514285714285721E-2</v>
      </c>
      <c r="Y45" s="29">
        <v>1</v>
      </c>
    </row>
    <row r="46" spans="11:25" x14ac:dyDescent="0.2">
      <c r="K46" s="27">
        <v>265</v>
      </c>
      <c r="L46" s="28" t="s">
        <v>128</v>
      </c>
      <c r="M46" s="29">
        <v>300</v>
      </c>
      <c r="N46" s="29">
        <v>675</v>
      </c>
      <c r="O46" s="30">
        <v>-37.180500000000002</v>
      </c>
      <c r="P46" s="30">
        <v>0.10491851851851852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-37.018700000000003</v>
      </c>
      <c r="X46" s="30">
        <v>0.10446194003527338</v>
      </c>
      <c r="Y46" s="29">
        <v>1</v>
      </c>
    </row>
    <row r="47" spans="11:25" x14ac:dyDescent="0.2">
      <c r="K47" s="27">
        <v>249</v>
      </c>
      <c r="L47" s="28" t="s">
        <v>127</v>
      </c>
      <c r="M47" s="29">
        <v>300</v>
      </c>
      <c r="N47" s="29">
        <v>275</v>
      </c>
      <c r="O47" s="30">
        <v>8.2750000000000004</v>
      </c>
      <c r="P47" s="30">
        <v>5.7316017316017313E-2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8.2676999999999996</v>
      </c>
      <c r="X47" s="30">
        <v>5.7265454545454536E-2</v>
      </c>
      <c r="Y47" s="29">
        <v>1</v>
      </c>
    </row>
    <row r="48" spans="11:25" x14ac:dyDescent="0.2">
      <c r="K48" s="27">
        <v>261</v>
      </c>
      <c r="L48" s="28" t="s">
        <v>128</v>
      </c>
      <c r="M48" s="29">
        <v>300</v>
      </c>
      <c r="N48" s="29">
        <v>675</v>
      </c>
      <c r="O48" s="30">
        <v>5.8293999999999997</v>
      </c>
      <c r="P48" s="30">
        <v>1.6449805996472663E-2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5.8697999999999997</v>
      </c>
      <c r="X48" s="30">
        <v>1.6563809523809522E-2</v>
      </c>
      <c r="Y48" s="29">
        <v>1</v>
      </c>
    </row>
    <row r="49" spans="11:25" x14ac:dyDescent="0.2">
      <c r="K49" s="27">
        <v>257</v>
      </c>
      <c r="L49" s="28" t="s">
        <v>129</v>
      </c>
      <c r="M49" s="29">
        <v>700</v>
      </c>
      <c r="N49" s="29">
        <v>275</v>
      </c>
      <c r="O49" s="30">
        <v>11.2361</v>
      </c>
      <c r="P49" s="30">
        <v>3.3353914656771802E-2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11.257</v>
      </c>
      <c r="X49" s="30">
        <v>3.3415955473098329E-2</v>
      </c>
      <c r="Y49" s="29">
        <v>1</v>
      </c>
    </row>
    <row r="50" spans="11:25" x14ac:dyDescent="0.2">
      <c r="K50" s="27">
        <v>258</v>
      </c>
      <c r="L50" s="28" t="s">
        <v>129</v>
      </c>
      <c r="M50" s="29">
        <v>700</v>
      </c>
      <c r="N50" s="29">
        <v>275</v>
      </c>
      <c r="O50" s="30">
        <v>11.250999999999999</v>
      </c>
      <c r="P50" s="30">
        <v>3.3398144712430425E-2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11.286799999999999</v>
      </c>
      <c r="X50" s="30">
        <v>3.3504415584415581E-2</v>
      </c>
      <c r="Y50" s="29">
        <v>1</v>
      </c>
    </row>
    <row r="51" spans="11:25" x14ac:dyDescent="0.2">
      <c r="K51" s="27">
        <v>262</v>
      </c>
      <c r="L51" s="28" t="s">
        <v>128</v>
      </c>
      <c r="M51" s="29">
        <v>300</v>
      </c>
      <c r="N51" s="29">
        <v>675</v>
      </c>
      <c r="O51" s="30">
        <v>5.8897000000000004</v>
      </c>
      <c r="P51" s="30">
        <v>1.6619964726631395E-2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6.0011999999999999</v>
      </c>
      <c r="X51" s="30">
        <v>1.6934603174603175E-2</v>
      </c>
      <c r="Y51" s="29">
        <v>1</v>
      </c>
    </row>
    <row r="52" spans="11:25" x14ac:dyDescent="0.2">
      <c r="K52" s="27">
        <v>250</v>
      </c>
      <c r="L52" s="28" t="s">
        <v>127</v>
      </c>
      <c r="M52" s="29">
        <v>300</v>
      </c>
      <c r="N52" s="29">
        <v>275</v>
      </c>
      <c r="O52" s="30">
        <v>8.3325999999999993</v>
      </c>
      <c r="P52" s="30">
        <v>5.7714978354978345E-2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8.3722999999999992</v>
      </c>
      <c r="X52" s="30">
        <v>5.7989956709956707E-2</v>
      </c>
      <c r="Y52" s="29">
        <v>1</v>
      </c>
    </row>
    <row r="53" spans="11:25" x14ac:dyDescent="0.2">
      <c r="K53" s="27">
        <v>65</v>
      </c>
      <c r="L53" s="28" t="s">
        <v>127</v>
      </c>
      <c r="M53" s="29">
        <v>300</v>
      </c>
      <c r="N53" s="29">
        <v>275</v>
      </c>
      <c r="O53" s="30">
        <v>-34.701599999999999</v>
      </c>
      <c r="P53" s="30">
        <v>0.2403574025974026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-34.735999999999997</v>
      </c>
      <c r="X53" s="30">
        <v>0.240595670995671</v>
      </c>
      <c r="Y53" s="29">
        <v>1</v>
      </c>
    </row>
    <row r="54" spans="11:25" x14ac:dyDescent="0.2">
      <c r="K54" s="27">
        <v>77</v>
      </c>
      <c r="L54" s="28" t="s">
        <v>128</v>
      </c>
      <c r="M54" s="29">
        <v>300</v>
      </c>
      <c r="N54" s="29">
        <v>675</v>
      </c>
      <c r="O54" s="30">
        <v>-83.2727</v>
      </c>
      <c r="P54" s="30">
        <v>0.23498469135802469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-83.290800000000004</v>
      </c>
      <c r="X54" s="30">
        <v>0.23503576719576721</v>
      </c>
      <c r="Y54" s="29">
        <v>1</v>
      </c>
    </row>
    <row r="55" spans="11:25" x14ac:dyDescent="0.2">
      <c r="K55" s="27">
        <v>73</v>
      </c>
      <c r="L55" s="28" t="s">
        <v>129</v>
      </c>
      <c r="M55" s="29">
        <v>700</v>
      </c>
      <c r="N55" s="29">
        <v>275</v>
      </c>
      <c r="O55" s="30">
        <v>-55.9009</v>
      </c>
      <c r="P55" s="30">
        <v>0.16593959183673471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-55.892499999999998</v>
      </c>
      <c r="X55" s="30">
        <v>0.16591465677179962</v>
      </c>
      <c r="Y55" s="29">
        <v>1</v>
      </c>
    </row>
    <row r="56" spans="11:25" x14ac:dyDescent="0.2">
      <c r="K56" s="27">
        <v>74</v>
      </c>
      <c r="L56" s="28" t="s">
        <v>129</v>
      </c>
      <c r="M56" s="29">
        <v>700</v>
      </c>
      <c r="N56" s="29">
        <v>275</v>
      </c>
      <c r="O56" s="30">
        <v>-55.874400000000001</v>
      </c>
      <c r="P56" s="30">
        <v>0.16586092764378479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-55.8474</v>
      </c>
      <c r="X56" s="30">
        <v>0.16578077922077922</v>
      </c>
      <c r="Y56" s="29">
        <v>1</v>
      </c>
    </row>
    <row r="57" spans="11:25" x14ac:dyDescent="0.2">
      <c r="K57" s="27">
        <v>78</v>
      </c>
      <c r="L57" s="28" t="s">
        <v>128</v>
      </c>
      <c r="M57" s="29">
        <v>300</v>
      </c>
      <c r="N57" s="29">
        <v>675</v>
      </c>
      <c r="O57" s="30">
        <v>-82.875699999999995</v>
      </c>
      <c r="P57" s="30">
        <v>0.23386440917107584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-82.776200000000003</v>
      </c>
      <c r="X57" s="30">
        <v>0.23358363315696648</v>
      </c>
      <c r="Y57" s="29">
        <v>1</v>
      </c>
    </row>
    <row r="58" spans="11:25" x14ac:dyDescent="0.2">
      <c r="K58" s="27">
        <v>66</v>
      </c>
      <c r="L58" s="28" t="s">
        <v>127</v>
      </c>
      <c r="M58" s="29">
        <v>300</v>
      </c>
      <c r="N58" s="29">
        <v>275</v>
      </c>
      <c r="O58" s="30">
        <v>-34.513500000000001</v>
      </c>
      <c r="P58" s="30">
        <v>0.23905454545454546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-34.467100000000002</v>
      </c>
      <c r="X58" s="30">
        <v>0.23873316017316015</v>
      </c>
      <c r="Y58" s="29">
        <v>1</v>
      </c>
    </row>
    <row r="59" spans="11:25" x14ac:dyDescent="0.2">
      <c r="K59" s="27">
        <v>82</v>
      </c>
      <c r="L59" s="28" t="s">
        <v>128</v>
      </c>
      <c r="M59" s="29">
        <v>300</v>
      </c>
      <c r="N59" s="29">
        <v>675</v>
      </c>
      <c r="O59" s="30">
        <v>-52.043799999999997</v>
      </c>
      <c r="P59" s="30">
        <v>0.14686081128747794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-52.148600000000002</v>
      </c>
      <c r="X59" s="30">
        <v>0.14715654320987653</v>
      </c>
      <c r="Y59" s="29">
        <v>1</v>
      </c>
    </row>
    <row r="60" spans="11:25" x14ac:dyDescent="0.2">
      <c r="K60" s="27">
        <v>67</v>
      </c>
      <c r="L60" s="28" t="s">
        <v>129</v>
      </c>
      <c r="M60" s="29">
        <v>700</v>
      </c>
      <c r="N60" s="29">
        <v>275</v>
      </c>
      <c r="O60" s="30">
        <v>-41.329599999999999</v>
      </c>
      <c r="P60" s="30">
        <v>0.12268526901669759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-41.364600000000003</v>
      </c>
      <c r="X60" s="30">
        <v>0.12278916512059371</v>
      </c>
      <c r="Y60" s="29">
        <v>1</v>
      </c>
    </row>
    <row r="61" spans="11:25" x14ac:dyDescent="0.2">
      <c r="K61" s="27">
        <v>85</v>
      </c>
      <c r="L61" s="28" t="s">
        <v>128</v>
      </c>
      <c r="M61" s="29">
        <v>300</v>
      </c>
      <c r="N61" s="29">
        <v>675</v>
      </c>
      <c r="O61" s="30">
        <v>-65.839100000000002</v>
      </c>
      <c r="P61" s="30">
        <v>0.1857893474426808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-65.820700000000002</v>
      </c>
      <c r="X61" s="30">
        <v>0.18573742504409171</v>
      </c>
      <c r="Y61" s="29">
        <v>1</v>
      </c>
    </row>
    <row r="62" spans="11:25" x14ac:dyDescent="0.2">
      <c r="K62" s="27">
        <v>86</v>
      </c>
      <c r="L62" s="28" t="s">
        <v>128</v>
      </c>
      <c r="M62" s="29">
        <v>300</v>
      </c>
      <c r="N62" s="29">
        <v>675</v>
      </c>
      <c r="O62" s="30">
        <v>-65.8249</v>
      </c>
      <c r="P62" s="30">
        <v>0.18574927689594353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-65.749499999999998</v>
      </c>
      <c r="X62" s="30">
        <v>0.18553650793650794</v>
      </c>
      <c r="Y62" s="29">
        <v>1</v>
      </c>
    </row>
    <row r="63" spans="11:25" x14ac:dyDescent="0.2">
      <c r="K63" s="27">
        <v>69</v>
      </c>
      <c r="L63" s="28" t="s">
        <v>129</v>
      </c>
      <c r="M63" s="29">
        <v>700</v>
      </c>
      <c r="N63" s="29">
        <v>275</v>
      </c>
      <c r="O63" s="30">
        <v>-41.374000000000002</v>
      </c>
      <c r="P63" s="30">
        <v>0.12281706864564007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-41.299599999999998</v>
      </c>
      <c r="X63" s="30">
        <v>0.12259621521335806</v>
      </c>
      <c r="Y63" s="29">
        <v>1</v>
      </c>
    </row>
    <row r="64" spans="11:25" x14ac:dyDescent="0.2">
      <c r="K64" s="27">
        <v>80</v>
      </c>
      <c r="L64" s="28" t="s">
        <v>128</v>
      </c>
      <c r="M64" s="29">
        <v>300</v>
      </c>
      <c r="N64" s="29">
        <v>675</v>
      </c>
      <c r="O64" s="30">
        <v>-52.1312</v>
      </c>
      <c r="P64" s="30">
        <v>0.147107442680776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-51.990200000000002</v>
      </c>
      <c r="X64" s="30">
        <v>0.14670955908289243</v>
      </c>
      <c r="Y64" s="29">
        <v>1</v>
      </c>
    </row>
    <row r="65" spans="11:25" x14ac:dyDescent="0.2">
      <c r="K65" s="27">
        <v>81</v>
      </c>
      <c r="L65" s="28" t="s">
        <v>128</v>
      </c>
      <c r="M65" s="29">
        <v>300</v>
      </c>
      <c r="N65" s="29">
        <v>675</v>
      </c>
      <c r="O65" s="30">
        <v>-54.6738</v>
      </c>
      <c r="P65" s="30">
        <v>0.15428232804232805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-54.753</v>
      </c>
      <c r="X65" s="30">
        <v>0.15450582010582012</v>
      </c>
      <c r="Y65" s="29">
        <v>1</v>
      </c>
    </row>
    <row r="66" spans="11:25" x14ac:dyDescent="0.2">
      <c r="K66" s="27">
        <v>68</v>
      </c>
      <c r="L66" s="28" t="s">
        <v>129</v>
      </c>
      <c r="M66" s="29">
        <v>700</v>
      </c>
      <c r="N66" s="29">
        <v>275</v>
      </c>
      <c r="O66" s="30">
        <v>-41.320700000000002</v>
      </c>
      <c r="P66" s="30">
        <v>0.12265884972170688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-41.356400000000001</v>
      </c>
      <c r="X66" s="30">
        <v>0.1227648237476809</v>
      </c>
      <c r="Y66" s="29">
        <v>1</v>
      </c>
    </row>
    <row r="67" spans="11:25" x14ac:dyDescent="0.2">
      <c r="K67" s="27">
        <v>83</v>
      </c>
      <c r="L67" s="28" t="s">
        <v>128</v>
      </c>
      <c r="M67" s="29">
        <v>300</v>
      </c>
      <c r="N67" s="29">
        <v>675</v>
      </c>
      <c r="O67" s="30">
        <v>-65.762200000000007</v>
      </c>
      <c r="P67" s="30">
        <v>0.18557234567901237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-65.745000000000005</v>
      </c>
      <c r="X67" s="30">
        <v>0.18552380952380954</v>
      </c>
      <c r="Y67" s="29">
        <v>1</v>
      </c>
    </row>
    <row r="68" spans="11:25" x14ac:dyDescent="0.2">
      <c r="K68" s="27">
        <v>84</v>
      </c>
      <c r="L68" s="28" t="s">
        <v>128</v>
      </c>
      <c r="M68" s="29">
        <v>300</v>
      </c>
      <c r="N68" s="29">
        <v>675</v>
      </c>
      <c r="O68" s="30">
        <v>-65.711100000000002</v>
      </c>
      <c r="P68" s="30">
        <v>0.18542814814814818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-65.634100000000004</v>
      </c>
      <c r="X68" s="30">
        <v>0.18521086419753088</v>
      </c>
      <c r="Y68" s="29">
        <v>1</v>
      </c>
    </row>
    <row r="69" spans="11:25" x14ac:dyDescent="0.2">
      <c r="K69" s="27">
        <v>70</v>
      </c>
      <c r="L69" s="28" t="s">
        <v>129</v>
      </c>
      <c r="M69" s="29">
        <v>700</v>
      </c>
      <c r="N69" s="29">
        <v>275</v>
      </c>
      <c r="O69" s="30">
        <v>-41.213500000000003</v>
      </c>
      <c r="P69" s="30">
        <v>0.12234063079777366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-41.137799999999999</v>
      </c>
      <c r="X69" s="30">
        <v>0.12211591836734692</v>
      </c>
      <c r="Y69" s="29">
        <v>1</v>
      </c>
    </row>
    <row r="70" spans="11:25" x14ac:dyDescent="0.2">
      <c r="K70" s="27">
        <v>79</v>
      </c>
      <c r="L70" s="28" t="s">
        <v>128</v>
      </c>
      <c r="M70" s="29">
        <v>300</v>
      </c>
      <c r="N70" s="29">
        <v>675</v>
      </c>
      <c r="O70" s="30">
        <v>-54.474499999999999</v>
      </c>
      <c r="P70" s="30">
        <v>0.15371992945326279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-54.309199999999997</v>
      </c>
      <c r="X70" s="30">
        <v>0.15325347442680776</v>
      </c>
      <c r="Y70" s="29">
        <v>1</v>
      </c>
    </row>
    <row r="71" spans="11:25" x14ac:dyDescent="0.2">
      <c r="K71" s="27">
        <v>63</v>
      </c>
      <c r="L71" s="28" t="s">
        <v>127</v>
      </c>
      <c r="M71" s="29">
        <v>300</v>
      </c>
      <c r="N71" s="29">
        <v>275</v>
      </c>
      <c r="O71" s="30">
        <v>4.8525</v>
      </c>
      <c r="P71" s="30">
        <v>3.3610389610389611E-2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4.8276000000000003</v>
      </c>
      <c r="X71" s="30">
        <v>3.343792207792208E-2</v>
      </c>
      <c r="Y71" s="29">
        <v>1</v>
      </c>
    </row>
    <row r="72" spans="11:25" x14ac:dyDescent="0.2">
      <c r="K72" s="27">
        <v>75</v>
      </c>
      <c r="L72" s="28" t="s">
        <v>128</v>
      </c>
      <c r="M72" s="29">
        <v>300</v>
      </c>
      <c r="N72" s="29">
        <v>675</v>
      </c>
      <c r="O72" s="30">
        <v>-5.1825000000000001</v>
      </c>
      <c r="P72" s="30">
        <v>1.4624338624338625E-2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-5.2060000000000004</v>
      </c>
      <c r="X72" s="30">
        <v>1.4690652557319224E-2</v>
      </c>
      <c r="Y72" s="29">
        <v>1</v>
      </c>
    </row>
    <row r="73" spans="11:25" x14ac:dyDescent="0.2">
      <c r="K73" s="27">
        <v>71</v>
      </c>
      <c r="L73" s="28" t="s">
        <v>129</v>
      </c>
      <c r="M73" s="29">
        <v>700</v>
      </c>
      <c r="N73" s="29">
        <v>275</v>
      </c>
      <c r="O73" s="30">
        <v>7.5952999999999999</v>
      </c>
      <c r="P73" s="30">
        <v>2.2546345083487941E-2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7.5983999999999998</v>
      </c>
      <c r="X73" s="30">
        <v>2.2555547309833023E-2</v>
      </c>
      <c r="Y73" s="29">
        <v>1</v>
      </c>
    </row>
    <row r="74" spans="11:25" x14ac:dyDescent="0.2">
      <c r="K74" s="27">
        <v>72</v>
      </c>
      <c r="L74" s="28" t="s">
        <v>129</v>
      </c>
      <c r="M74" s="29">
        <v>700</v>
      </c>
      <c r="N74" s="29">
        <v>275</v>
      </c>
      <c r="O74" s="30">
        <v>7.6124999999999998</v>
      </c>
      <c r="P74" s="30">
        <v>2.2597402597402599E-2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7.6361999999999997</v>
      </c>
      <c r="X74" s="30">
        <v>2.2667755102040815E-2</v>
      </c>
      <c r="Y74" s="29">
        <v>1</v>
      </c>
    </row>
    <row r="75" spans="11:25" x14ac:dyDescent="0.2">
      <c r="K75" s="27">
        <v>76</v>
      </c>
      <c r="L75" s="28" t="s">
        <v>128</v>
      </c>
      <c r="M75" s="29">
        <v>300</v>
      </c>
      <c r="N75" s="29">
        <v>675</v>
      </c>
      <c r="O75" s="30">
        <v>-5.1006999999999998</v>
      </c>
      <c r="P75" s="30">
        <v>1.4393509700176367E-2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-5.0115999999999996</v>
      </c>
      <c r="X75" s="30">
        <v>1.4142081128747794E-2</v>
      </c>
      <c r="Y75" s="29">
        <v>1</v>
      </c>
    </row>
    <row r="76" spans="11:25" x14ac:dyDescent="0.2">
      <c r="K76" s="27">
        <v>64</v>
      </c>
      <c r="L76" s="28" t="s">
        <v>127</v>
      </c>
      <c r="M76" s="29">
        <v>300</v>
      </c>
      <c r="N76" s="29">
        <v>275</v>
      </c>
      <c r="O76" s="30">
        <v>4.9203999999999999</v>
      </c>
      <c r="P76" s="30">
        <v>3.4080692640692641E-2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4.9614000000000003</v>
      </c>
      <c r="X76" s="30">
        <v>3.4364675324675326E-2</v>
      </c>
      <c r="Y76" s="29">
        <v>1</v>
      </c>
    </row>
    <row r="77" spans="11:25" x14ac:dyDescent="0.2">
      <c r="K77" s="27">
        <v>127</v>
      </c>
      <c r="L77" s="28" t="s">
        <v>127</v>
      </c>
      <c r="M77" s="29">
        <v>300</v>
      </c>
      <c r="N77" s="29">
        <v>275</v>
      </c>
      <c r="O77" s="30">
        <v>-36.264099999999999</v>
      </c>
      <c r="P77" s="30">
        <v>0.25117991341991341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-36.315100000000001</v>
      </c>
      <c r="X77" s="30">
        <v>0.25153316017316019</v>
      </c>
      <c r="Y77" s="29">
        <v>1</v>
      </c>
    </row>
    <row r="78" spans="11:25" x14ac:dyDescent="0.2">
      <c r="K78" s="27">
        <v>139</v>
      </c>
      <c r="L78" s="28" t="s">
        <v>128</v>
      </c>
      <c r="M78" s="29">
        <v>300</v>
      </c>
      <c r="N78" s="29">
        <v>675</v>
      </c>
      <c r="O78" s="30">
        <v>-101.35850000000001</v>
      </c>
      <c r="P78" s="30">
        <v>0.28602045855379188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-101.5373</v>
      </c>
      <c r="X78" s="30">
        <v>0.28652500881834214</v>
      </c>
      <c r="Y78" s="29">
        <v>1</v>
      </c>
    </row>
    <row r="79" spans="11:25" x14ac:dyDescent="0.2">
      <c r="K79" s="27">
        <v>135</v>
      </c>
      <c r="L79" s="28" t="s">
        <v>129</v>
      </c>
      <c r="M79" s="29">
        <v>700</v>
      </c>
      <c r="N79" s="29">
        <v>275</v>
      </c>
      <c r="O79" s="30">
        <v>-58.399700000000003</v>
      </c>
      <c r="P79" s="30">
        <v>0.17335717996289426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-58.447600000000001</v>
      </c>
      <c r="X79" s="30">
        <v>0.17349936920222633</v>
      </c>
      <c r="Y79" s="29">
        <v>1</v>
      </c>
    </row>
    <row r="80" spans="11:25" x14ac:dyDescent="0.2">
      <c r="K80" s="27">
        <v>136</v>
      </c>
      <c r="L80" s="28" t="s">
        <v>129</v>
      </c>
      <c r="M80" s="29">
        <v>700</v>
      </c>
      <c r="N80" s="29">
        <v>275</v>
      </c>
      <c r="O80" s="30">
        <v>-58.386899999999997</v>
      </c>
      <c r="P80" s="30">
        <v>0.17331918367346938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-58.414099999999998</v>
      </c>
      <c r="X80" s="30">
        <v>0.17339992578849722</v>
      </c>
      <c r="Y80" s="29">
        <v>1</v>
      </c>
    </row>
    <row r="81" spans="11:25" x14ac:dyDescent="0.2">
      <c r="K81" s="27">
        <v>140</v>
      </c>
      <c r="L81" s="28" t="s">
        <v>128</v>
      </c>
      <c r="M81" s="29">
        <v>300</v>
      </c>
      <c r="N81" s="29">
        <v>675</v>
      </c>
      <c r="O81" s="30">
        <v>-101.29259999999999</v>
      </c>
      <c r="P81" s="30">
        <v>0.28583449735449734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-101.28489999999999</v>
      </c>
      <c r="X81" s="30">
        <v>0.28581276895943564</v>
      </c>
      <c r="Y81" s="29">
        <v>1</v>
      </c>
    </row>
    <row r="82" spans="11:25" x14ac:dyDescent="0.2">
      <c r="K82" s="27">
        <v>128</v>
      </c>
      <c r="L82" s="28" t="s">
        <v>127</v>
      </c>
      <c r="M82" s="29">
        <v>300</v>
      </c>
      <c r="N82" s="29">
        <v>275</v>
      </c>
      <c r="O82" s="30">
        <v>-36.2241</v>
      </c>
      <c r="P82" s="30">
        <v>0.25090285714285715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-36.1873</v>
      </c>
      <c r="X82" s="30">
        <v>0.25064796536796541</v>
      </c>
      <c r="Y82" s="29">
        <v>1</v>
      </c>
    </row>
    <row r="83" spans="11:25" x14ac:dyDescent="0.2">
      <c r="K83" s="27">
        <v>144</v>
      </c>
      <c r="L83" s="28" t="s">
        <v>128</v>
      </c>
      <c r="M83" s="29">
        <v>300</v>
      </c>
      <c r="N83" s="29">
        <v>675</v>
      </c>
      <c r="O83" s="30">
        <v>-66.075299999999999</v>
      </c>
      <c r="P83" s="30">
        <v>0.18645587301587302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-66.211699999999993</v>
      </c>
      <c r="X83" s="30">
        <v>0.18684077601410934</v>
      </c>
      <c r="Y83" s="29">
        <v>1</v>
      </c>
    </row>
    <row r="84" spans="11:25" x14ac:dyDescent="0.2">
      <c r="K84" s="27">
        <v>129</v>
      </c>
      <c r="L84" s="28" t="s">
        <v>129</v>
      </c>
      <c r="M84" s="29">
        <v>700</v>
      </c>
      <c r="N84" s="29">
        <v>275</v>
      </c>
      <c r="O84" s="30">
        <v>-40.670999999999999</v>
      </c>
      <c r="P84" s="30">
        <v>0.12073024118738404</v>
      </c>
      <c r="Q84" s="29">
        <v>1</v>
      </c>
      <c r="S84" s="27">
        <v>129</v>
      </c>
      <c r="T84" s="28" t="s">
        <v>129</v>
      </c>
      <c r="U84" s="29">
        <v>700</v>
      </c>
      <c r="V84" s="29">
        <v>275</v>
      </c>
      <c r="W84" s="30">
        <v>-40.747799999999998</v>
      </c>
      <c r="X84" s="30">
        <v>0.1209582189239332</v>
      </c>
      <c r="Y84" s="29">
        <v>1</v>
      </c>
    </row>
    <row r="85" spans="11:25" x14ac:dyDescent="0.2">
      <c r="K85" s="27">
        <v>147</v>
      </c>
      <c r="L85" s="28" t="s">
        <v>128</v>
      </c>
      <c r="M85" s="29">
        <v>300</v>
      </c>
      <c r="N85" s="29">
        <v>675</v>
      </c>
      <c r="O85" s="30">
        <v>-75.431200000000004</v>
      </c>
      <c r="P85" s="30">
        <v>0.21285700176366842</v>
      </c>
      <c r="Q85" s="29">
        <v>1</v>
      </c>
      <c r="S85" s="27">
        <v>147</v>
      </c>
      <c r="T85" s="28" t="s">
        <v>128</v>
      </c>
      <c r="U85" s="29">
        <v>300</v>
      </c>
      <c r="V85" s="29">
        <v>675</v>
      </c>
      <c r="W85" s="30">
        <v>-75.562200000000004</v>
      </c>
      <c r="X85" s="30">
        <v>0.21322666666666665</v>
      </c>
      <c r="Y85" s="29">
        <v>1</v>
      </c>
    </row>
    <row r="86" spans="11:25" x14ac:dyDescent="0.2">
      <c r="K86" s="27">
        <v>148</v>
      </c>
      <c r="L86" s="28" t="s">
        <v>128</v>
      </c>
      <c r="M86" s="29">
        <v>300</v>
      </c>
      <c r="N86" s="29">
        <v>675</v>
      </c>
      <c r="O86" s="30">
        <v>-75.357900000000001</v>
      </c>
      <c r="P86" s="30">
        <v>0.21265015873015872</v>
      </c>
      <c r="Q86" s="29">
        <v>1</v>
      </c>
      <c r="S86" s="27">
        <v>148</v>
      </c>
      <c r="T86" s="28" t="s">
        <v>128</v>
      </c>
      <c r="U86" s="29">
        <v>300</v>
      </c>
      <c r="V86" s="29">
        <v>675</v>
      </c>
      <c r="W86" s="30">
        <v>-75.401499999999999</v>
      </c>
      <c r="X86" s="30">
        <v>0.21277319223985891</v>
      </c>
      <c r="Y86" s="29">
        <v>1</v>
      </c>
    </row>
    <row r="87" spans="11:25" x14ac:dyDescent="0.2">
      <c r="K87" s="27">
        <v>131</v>
      </c>
      <c r="L87" s="28" t="s">
        <v>129</v>
      </c>
      <c r="M87" s="29">
        <v>700</v>
      </c>
      <c r="N87" s="29">
        <v>275</v>
      </c>
      <c r="O87" s="30">
        <v>-40.555</v>
      </c>
      <c r="P87" s="30">
        <v>0.12038589981447124</v>
      </c>
      <c r="Q87" s="29">
        <v>1</v>
      </c>
      <c r="S87" s="27">
        <v>131</v>
      </c>
      <c r="T87" s="28" t="s">
        <v>129</v>
      </c>
      <c r="U87" s="29">
        <v>700</v>
      </c>
      <c r="V87" s="29">
        <v>275</v>
      </c>
      <c r="W87" s="30">
        <v>-40.517000000000003</v>
      </c>
      <c r="X87" s="30">
        <v>0.12027309833024119</v>
      </c>
      <c r="Y87" s="29">
        <v>1</v>
      </c>
    </row>
    <row r="88" spans="11:25" x14ac:dyDescent="0.2">
      <c r="K88" s="27">
        <v>142</v>
      </c>
      <c r="L88" s="28" t="s">
        <v>128</v>
      </c>
      <c r="M88" s="29">
        <v>300</v>
      </c>
      <c r="N88" s="29">
        <v>675</v>
      </c>
      <c r="O88" s="30">
        <v>-65.737799999999993</v>
      </c>
      <c r="P88" s="30">
        <v>0.18550349206349204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-65.531099999999995</v>
      </c>
      <c r="X88" s="30">
        <v>0.18492021164021163</v>
      </c>
      <c r="Y88" s="29">
        <v>1</v>
      </c>
    </row>
    <row r="89" spans="11:25" x14ac:dyDescent="0.2">
      <c r="K89" s="27">
        <v>143</v>
      </c>
      <c r="L89" s="28" t="s">
        <v>128</v>
      </c>
      <c r="M89" s="29">
        <v>300</v>
      </c>
      <c r="N89" s="29">
        <v>675</v>
      </c>
      <c r="O89" s="30">
        <v>-69.173900000000003</v>
      </c>
      <c r="P89" s="30">
        <v>0.19519971781305118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-69.439099999999996</v>
      </c>
      <c r="X89" s="30">
        <v>0.19594807760141092</v>
      </c>
      <c r="Y89" s="29">
        <v>1</v>
      </c>
    </row>
    <row r="90" spans="11:25" x14ac:dyDescent="0.2">
      <c r="K90" s="27">
        <v>130</v>
      </c>
      <c r="L90" s="28" t="s">
        <v>129</v>
      </c>
      <c r="M90" s="29">
        <v>700</v>
      </c>
      <c r="N90" s="29">
        <v>275</v>
      </c>
      <c r="O90" s="30">
        <v>-41.069299999999998</v>
      </c>
      <c r="P90" s="30">
        <v>0.12191257884972169</v>
      </c>
      <c r="Q90" s="29">
        <v>1</v>
      </c>
      <c r="S90" s="27">
        <v>130</v>
      </c>
      <c r="T90" s="28" t="s">
        <v>129</v>
      </c>
      <c r="U90" s="29">
        <v>700</v>
      </c>
      <c r="V90" s="29">
        <v>275</v>
      </c>
      <c r="W90" s="30">
        <v>-41.148499999999999</v>
      </c>
      <c r="X90" s="30">
        <v>0.12214768089053803</v>
      </c>
      <c r="Y90" s="29">
        <v>1</v>
      </c>
    </row>
    <row r="91" spans="11:25" x14ac:dyDescent="0.2">
      <c r="K91" s="27">
        <v>145</v>
      </c>
      <c r="L91" s="28" t="s">
        <v>128</v>
      </c>
      <c r="M91" s="29">
        <v>300</v>
      </c>
      <c r="N91" s="29">
        <v>675</v>
      </c>
      <c r="O91" s="30">
        <v>-75.948499999999996</v>
      </c>
      <c r="P91" s="30">
        <v>0.21431675485008819</v>
      </c>
      <c r="Q91" s="29">
        <v>1</v>
      </c>
      <c r="S91" s="27">
        <v>145</v>
      </c>
      <c r="T91" s="28" t="s">
        <v>128</v>
      </c>
      <c r="U91" s="29">
        <v>300</v>
      </c>
      <c r="V91" s="29">
        <v>675</v>
      </c>
      <c r="W91" s="30">
        <v>-76.081100000000006</v>
      </c>
      <c r="X91" s="30">
        <v>0.21469093474426809</v>
      </c>
      <c r="Y91" s="29">
        <v>1</v>
      </c>
    </row>
    <row r="92" spans="11:25" x14ac:dyDescent="0.2">
      <c r="K92" s="27">
        <v>146</v>
      </c>
      <c r="L92" s="28" t="s">
        <v>128</v>
      </c>
      <c r="M92" s="29">
        <v>300</v>
      </c>
      <c r="N92" s="29">
        <v>675</v>
      </c>
      <c r="O92" s="30">
        <v>-75.884</v>
      </c>
      <c r="P92" s="30">
        <v>0.2141347442680776</v>
      </c>
      <c r="Q92" s="29">
        <v>1</v>
      </c>
      <c r="S92" s="27">
        <v>146</v>
      </c>
      <c r="T92" s="28" t="s">
        <v>128</v>
      </c>
      <c r="U92" s="29">
        <v>300</v>
      </c>
      <c r="V92" s="29">
        <v>675</v>
      </c>
      <c r="W92" s="30">
        <v>-75.925799999999995</v>
      </c>
      <c r="X92" s="30">
        <v>0.21425269841269837</v>
      </c>
      <c r="Y92" s="29">
        <v>1</v>
      </c>
    </row>
    <row r="93" spans="11:25" x14ac:dyDescent="0.2">
      <c r="K93" s="27">
        <v>132</v>
      </c>
      <c r="L93" s="28" t="s">
        <v>129</v>
      </c>
      <c r="M93" s="29">
        <v>700</v>
      </c>
      <c r="N93" s="29">
        <v>275</v>
      </c>
      <c r="O93" s="30">
        <v>-40.980899999999998</v>
      </c>
      <c r="P93" s="30">
        <v>0.12165016697588127</v>
      </c>
      <c r="Q93" s="29">
        <v>1</v>
      </c>
      <c r="S93" s="27">
        <v>132</v>
      </c>
      <c r="T93" s="28" t="s">
        <v>129</v>
      </c>
      <c r="U93" s="29">
        <v>700</v>
      </c>
      <c r="V93" s="29">
        <v>275</v>
      </c>
      <c r="W93" s="30">
        <v>-40.943399999999997</v>
      </c>
      <c r="X93" s="30">
        <v>0.12153884972170685</v>
      </c>
      <c r="Y93" s="29">
        <v>1</v>
      </c>
    </row>
    <row r="94" spans="11:25" x14ac:dyDescent="0.2">
      <c r="K94" s="27">
        <v>141</v>
      </c>
      <c r="L94" s="28" t="s">
        <v>128</v>
      </c>
      <c r="M94" s="29">
        <v>300</v>
      </c>
      <c r="N94" s="29">
        <v>675</v>
      </c>
      <c r="O94" s="30">
        <v>-68.901200000000003</v>
      </c>
      <c r="P94" s="30">
        <v>0.19443019400352732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-68.803200000000004</v>
      </c>
      <c r="X94" s="30">
        <v>0.19415365079365079</v>
      </c>
      <c r="Y94" s="29">
        <v>1</v>
      </c>
    </row>
    <row r="95" spans="11:25" x14ac:dyDescent="0.2">
      <c r="K95" s="27">
        <v>125</v>
      </c>
      <c r="L95" s="28" t="s">
        <v>127</v>
      </c>
      <c r="M95" s="29">
        <v>300</v>
      </c>
      <c r="N95" s="29">
        <v>275</v>
      </c>
      <c r="O95" s="30">
        <v>6.5762999999999998</v>
      </c>
      <c r="P95" s="30">
        <v>4.5550129870129873E-2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6.5351999999999997</v>
      </c>
      <c r="X95" s="30">
        <v>4.5265454545454546E-2</v>
      </c>
      <c r="Y95" s="29">
        <v>1</v>
      </c>
    </row>
    <row r="96" spans="11:25" x14ac:dyDescent="0.2">
      <c r="K96" s="27">
        <v>137</v>
      </c>
      <c r="L96" s="28" t="s">
        <v>128</v>
      </c>
      <c r="M96" s="29">
        <v>300</v>
      </c>
      <c r="N96" s="29">
        <v>675</v>
      </c>
      <c r="O96" s="30">
        <v>-17.373000000000001</v>
      </c>
      <c r="P96" s="30">
        <v>4.9024338624338623E-2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-17.519500000000001</v>
      </c>
      <c r="X96" s="30">
        <v>4.9437742504409174E-2</v>
      </c>
      <c r="Y96" s="29">
        <v>1</v>
      </c>
    </row>
    <row r="97" spans="11:25" x14ac:dyDescent="0.2">
      <c r="K97" s="27">
        <v>133</v>
      </c>
      <c r="L97" s="28" t="s">
        <v>129</v>
      </c>
      <c r="M97" s="29">
        <v>700</v>
      </c>
      <c r="N97" s="29">
        <v>275</v>
      </c>
      <c r="O97" s="30">
        <v>9.2049000000000003</v>
      </c>
      <c r="P97" s="30">
        <v>2.7324378478664191E-2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9.1792999999999996</v>
      </c>
      <c r="X97" s="30">
        <v>2.7248385899814469E-2</v>
      </c>
      <c r="Y97" s="29">
        <v>1</v>
      </c>
    </row>
    <row r="98" spans="11:25" x14ac:dyDescent="0.2">
      <c r="K98" s="27">
        <v>134</v>
      </c>
      <c r="L98" s="28" t="s">
        <v>129</v>
      </c>
      <c r="M98" s="29">
        <v>700</v>
      </c>
      <c r="N98" s="29">
        <v>275</v>
      </c>
      <c r="O98" s="30">
        <v>9.2219999999999995</v>
      </c>
      <c r="P98" s="30">
        <v>2.7375139146567719E-2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9.2186000000000003</v>
      </c>
      <c r="X98" s="30">
        <v>2.7365046382189239E-2</v>
      </c>
      <c r="Y98" s="29">
        <v>1</v>
      </c>
    </row>
    <row r="99" spans="11:25" x14ac:dyDescent="0.2">
      <c r="K99" s="27">
        <v>138</v>
      </c>
      <c r="L99" s="28" t="s">
        <v>128</v>
      </c>
      <c r="M99" s="29">
        <v>300</v>
      </c>
      <c r="N99" s="29">
        <v>675</v>
      </c>
      <c r="O99" s="30">
        <v>-17.229399999999998</v>
      </c>
      <c r="P99" s="30">
        <v>4.8619118165784826E-2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-17.1892</v>
      </c>
      <c r="X99" s="30">
        <v>4.8505679012345683E-2</v>
      </c>
      <c r="Y99" s="29">
        <v>1</v>
      </c>
    </row>
    <row r="100" spans="11:25" x14ac:dyDescent="0.2">
      <c r="K100" s="27">
        <v>126</v>
      </c>
      <c r="L100" s="28" t="s">
        <v>127</v>
      </c>
      <c r="M100" s="29">
        <v>300</v>
      </c>
      <c r="N100" s="29">
        <v>275</v>
      </c>
      <c r="O100" s="30">
        <v>6.6397000000000004</v>
      </c>
      <c r="P100" s="30">
        <v>4.5989264069264076E-2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6.6669</v>
      </c>
      <c r="X100" s="30">
        <v>4.6177662337662337E-2</v>
      </c>
      <c r="Y100" s="29">
        <v>1</v>
      </c>
    </row>
    <row r="101" spans="11:25" x14ac:dyDescent="0.2">
      <c r="K101" s="27">
        <v>3</v>
      </c>
      <c r="L101" s="28" t="s">
        <v>130</v>
      </c>
      <c r="M101" s="29">
        <v>300</v>
      </c>
      <c r="N101" s="29">
        <v>275</v>
      </c>
      <c r="O101" s="30">
        <v>-25.289300000000001</v>
      </c>
      <c r="P101" s="30">
        <v>0.17516398268398267</v>
      </c>
      <c r="Q101" s="29">
        <v>1</v>
      </c>
      <c r="S101" s="27">
        <v>3</v>
      </c>
      <c r="T101" s="28" t="s">
        <v>130</v>
      </c>
      <c r="U101" s="29">
        <v>300</v>
      </c>
      <c r="V101" s="29">
        <v>275</v>
      </c>
      <c r="W101" s="30">
        <v>-25.354099999999999</v>
      </c>
      <c r="X101" s="30">
        <v>0.17561281385281385</v>
      </c>
      <c r="Y101" s="29">
        <v>1</v>
      </c>
    </row>
    <row r="102" spans="11:25" x14ac:dyDescent="0.2">
      <c r="K102" s="27">
        <v>15</v>
      </c>
      <c r="L102" s="28" t="s">
        <v>131</v>
      </c>
      <c r="M102" s="29">
        <v>300</v>
      </c>
      <c r="N102" s="29">
        <v>675</v>
      </c>
      <c r="O102" s="30">
        <v>-87.716700000000003</v>
      </c>
      <c r="P102" s="30">
        <v>0.24752507936507936</v>
      </c>
      <c r="Q102" s="29">
        <v>1</v>
      </c>
      <c r="S102" s="27">
        <v>15</v>
      </c>
      <c r="T102" s="28" t="s">
        <v>131</v>
      </c>
      <c r="U102" s="29">
        <v>300</v>
      </c>
      <c r="V102" s="29">
        <v>675</v>
      </c>
      <c r="W102" s="30">
        <v>-87.851500000000001</v>
      </c>
      <c r="X102" s="30">
        <v>0.24790546737213404</v>
      </c>
      <c r="Y102" s="29">
        <v>1</v>
      </c>
    </row>
    <row r="103" spans="11:25" x14ac:dyDescent="0.2">
      <c r="K103" s="27">
        <v>11</v>
      </c>
      <c r="L103" s="28" t="s">
        <v>132</v>
      </c>
      <c r="M103" s="29">
        <v>700</v>
      </c>
      <c r="N103" s="29">
        <v>275</v>
      </c>
      <c r="O103" s="30">
        <v>-43.909300000000002</v>
      </c>
      <c r="P103" s="30">
        <v>0.13034300556586273</v>
      </c>
      <c r="Q103" s="29">
        <v>1</v>
      </c>
      <c r="S103" s="27">
        <v>11</v>
      </c>
      <c r="T103" s="28" t="s">
        <v>132</v>
      </c>
      <c r="U103" s="29">
        <v>700</v>
      </c>
      <c r="V103" s="29">
        <v>275</v>
      </c>
      <c r="W103" s="30">
        <v>-43.941499999999998</v>
      </c>
      <c r="X103" s="30">
        <v>0.13043858998144711</v>
      </c>
      <c r="Y103" s="29">
        <v>1</v>
      </c>
    </row>
    <row r="104" spans="11:25" x14ac:dyDescent="0.2">
      <c r="K104" s="27">
        <v>12</v>
      </c>
      <c r="L104" s="28" t="s">
        <v>132</v>
      </c>
      <c r="M104" s="29">
        <v>700</v>
      </c>
      <c r="N104" s="29">
        <v>275</v>
      </c>
      <c r="O104" s="30">
        <v>-43.883000000000003</v>
      </c>
      <c r="P104" s="30">
        <v>0.13026493506493506</v>
      </c>
      <c r="Q104" s="29">
        <v>1</v>
      </c>
      <c r="S104" s="27">
        <v>12</v>
      </c>
      <c r="T104" s="28" t="s">
        <v>132</v>
      </c>
      <c r="U104" s="29">
        <v>700</v>
      </c>
      <c r="V104" s="29">
        <v>275</v>
      </c>
      <c r="W104" s="30">
        <v>-43.884</v>
      </c>
      <c r="X104" s="30">
        <v>0.13026790352504639</v>
      </c>
      <c r="Y104" s="29">
        <v>1</v>
      </c>
    </row>
    <row r="105" spans="11:25" x14ac:dyDescent="0.2">
      <c r="K105" s="27">
        <v>16</v>
      </c>
      <c r="L105" s="28" t="s">
        <v>131</v>
      </c>
      <c r="M105" s="29">
        <v>300</v>
      </c>
      <c r="N105" s="29">
        <v>675</v>
      </c>
      <c r="O105" s="30">
        <v>-87.632499999999993</v>
      </c>
      <c r="P105" s="30">
        <v>0.24728747795414463</v>
      </c>
      <c r="Q105" s="29">
        <v>1</v>
      </c>
      <c r="S105" s="27">
        <v>16</v>
      </c>
      <c r="T105" s="28" t="s">
        <v>131</v>
      </c>
      <c r="U105" s="29">
        <v>300</v>
      </c>
      <c r="V105" s="29">
        <v>675</v>
      </c>
      <c r="W105" s="30">
        <v>-87.659199999999998</v>
      </c>
      <c r="X105" s="30">
        <v>0.24736282186948852</v>
      </c>
      <c r="Y105" s="29">
        <v>1</v>
      </c>
    </row>
    <row r="106" spans="11:25" x14ac:dyDescent="0.2">
      <c r="K106" s="27">
        <v>4</v>
      </c>
      <c r="L106" s="28" t="s">
        <v>130</v>
      </c>
      <c r="M106" s="29">
        <v>300</v>
      </c>
      <c r="N106" s="29">
        <v>275</v>
      </c>
      <c r="O106" s="30">
        <v>-25.214200000000002</v>
      </c>
      <c r="P106" s="30">
        <v>0.17464380952380953</v>
      </c>
      <c r="Q106" s="29">
        <v>1</v>
      </c>
      <c r="S106" s="27">
        <v>4</v>
      </c>
      <c r="T106" s="28" t="s">
        <v>130</v>
      </c>
      <c r="U106" s="29">
        <v>300</v>
      </c>
      <c r="V106" s="29">
        <v>275</v>
      </c>
      <c r="W106" s="30">
        <v>-25.188199999999998</v>
      </c>
      <c r="X106" s="30">
        <v>0.17446372294372292</v>
      </c>
      <c r="Y106" s="29">
        <v>1</v>
      </c>
    </row>
    <row r="107" spans="11:25" x14ac:dyDescent="0.2">
      <c r="K107" s="27">
        <v>20</v>
      </c>
      <c r="L107" s="28" t="s">
        <v>131</v>
      </c>
      <c r="M107" s="29">
        <v>300</v>
      </c>
      <c r="N107" s="29">
        <v>675</v>
      </c>
      <c r="O107" s="30">
        <v>-69.499200000000002</v>
      </c>
      <c r="P107" s="30">
        <v>0.19611767195767196</v>
      </c>
      <c r="Q107" s="29">
        <v>1</v>
      </c>
      <c r="S107" s="27">
        <v>20</v>
      </c>
      <c r="T107" s="28" t="s">
        <v>131</v>
      </c>
      <c r="U107" s="29">
        <v>300</v>
      </c>
      <c r="V107" s="29">
        <v>675</v>
      </c>
      <c r="W107" s="30">
        <v>-70.322299999999998</v>
      </c>
      <c r="X107" s="30">
        <v>0.19844035273368607</v>
      </c>
      <c r="Y107" s="29">
        <v>1</v>
      </c>
    </row>
    <row r="108" spans="11:25" x14ac:dyDescent="0.2">
      <c r="K108" s="27">
        <v>5</v>
      </c>
      <c r="L108" s="28" t="s">
        <v>132</v>
      </c>
      <c r="M108" s="29">
        <v>700</v>
      </c>
      <c r="N108" s="29">
        <v>275</v>
      </c>
      <c r="O108" s="30">
        <v>-31.502500000000001</v>
      </c>
      <c r="P108" s="30">
        <v>9.3513914656771793E-2</v>
      </c>
      <c r="Q108" s="29">
        <v>1</v>
      </c>
      <c r="S108" s="27">
        <v>5</v>
      </c>
      <c r="T108" s="28" t="s">
        <v>132</v>
      </c>
      <c r="U108" s="29">
        <v>700</v>
      </c>
      <c r="V108" s="29">
        <v>275</v>
      </c>
      <c r="W108" s="30">
        <v>-31.594000000000001</v>
      </c>
      <c r="X108" s="30">
        <v>9.3785528756957323E-2</v>
      </c>
      <c r="Y108" s="29">
        <v>1</v>
      </c>
    </row>
    <row r="109" spans="11:25" x14ac:dyDescent="0.2">
      <c r="K109" s="27">
        <v>23</v>
      </c>
      <c r="L109" s="28" t="s">
        <v>131</v>
      </c>
      <c r="M109" s="29">
        <v>300</v>
      </c>
      <c r="N109" s="29">
        <v>675</v>
      </c>
      <c r="O109" s="30">
        <v>-90.700199999999995</v>
      </c>
      <c r="P109" s="30">
        <v>0.255944126984127</v>
      </c>
      <c r="Q109" s="29">
        <v>1</v>
      </c>
      <c r="S109" s="27">
        <v>23</v>
      </c>
      <c r="T109" s="28" t="s">
        <v>131</v>
      </c>
      <c r="U109" s="29">
        <v>300</v>
      </c>
      <c r="V109" s="29">
        <v>675</v>
      </c>
      <c r="W109" s="30">
        <v>-90.766800000000003</v>
      </c>
      <c r="X109" s="30">
        <v>0.25613206349206352</v>
      </c>
      <c r="Y109" s="29">
        <v>1</v>
      </c>
    </row>
    <row r="110" spans="11:25" x14ac:dyDescent="0.2">
      <c r="K110" s="27">
        <v>24</v>
      </c>
      <c r="L110" s="28" t="s">
        <v>131</v>
      </c>
      <c r="M110" s="29">
        <v>300</v>
      </c>
      <c r="N110" s="29">
        <v>675</v>
      </c>
      <c r="O110" s="30">
        <v>-90.682900000000004</v>
      </c>
      <c r="P110" s="30">
        <v>0.25589530864197535</v>
      </c>
      <c r="Q110" s="29">
        <v>1</v>
      </c>
      <c r="S110" s="27">
        <v>24</v>
      </c>
      <c r="T110" s="28" t="s">
        <v>131</v>
      </c>
      <c r="U110" s="29">
        <v>300</v>
      </c>
      <c r="V110" s="29">
        <v>675</v>
      </c>
      <c r="W110" s="30">
        <v>-90.727500000000006</v>
      </c>
      <c r="X110" s="30">
        <v>0.25602116402116404</v>
      </c>
      <c r="Y110" s="29">
        <v>1</v>
      </c>
    </row>
    <row r="111" spans="11:25" x14ac:dyDescent="0.2">
      <c r="K111" s="27">
        <v>7</v>
      </c>
      <c r="L111" s="28" t="s">
        <v>132</v>
      </c>
      <c r="M111" s="29">
        <v>700</v>
      </c>
      <c r="N111" s="29">
        <v>275</v>
      </c>
      <c r="O111" s="30">
        <v>-31.413599999999999</v>
      </c>
      <c r="P111" s="30">
        <v>9.3250018552875694E-2</v>
      </c>
      <c r="Q111" s="29">
        <v>1</v>
      </c>
      <c r="S111" s="27">
        <v>7</v>
      </c>
      <c r="T111" s="28" t="s">
        <v>132</v>
      </c>
      <c r="U111" s="29">
        <v>700</v>
      </c>
      <c r="V111" s="29">
        <v>275</v>
      </c>
      <c r="W111" s="30">
        <v>-31.387699999999999</v>
      </c>
      <c r="X111" s="30">
        <v>9.3173135435992566E-2</v>
      </c>
      <c r="Y111" s="29">
        <v>1</v>
      </c>
    </row>
    <row r="112" spans="11:25" x14ac:dyDescent="0.2">
      <c r="K112" s="27">
        <v>18</v>
      </c>
      <c r="L112" s="28" t="s">
        <v>131</v>
      </c>
      <c r="M112" s="29">
        <v>300</v>
      </c>
      <c r="N112" s="29">
        <v>675</v>
      </c>
      <c r="O112" s="30">
        <v>-69.4041</v>
      </c>
      <c r="P112" s="30">
        <v>0.19584931216931217</v>
      </c>
      <c r="Q112" s="29">
        <v>1</v>
      </c>
      <c r="S112" s="27">
        <v>18</v>
      </c>
      <c r="T112" s="28" t="s">
        <v>131</v>
      </c>
      <c r="U112" s="29">
        <v>300</v>
      </c>
      <c r="V112" s="29">
        <v>675</v>
      </c>
      <c r="W112" s="30">
        <v>-69.928700000000006</v>
      </c>
      <c r="X112" s="30">
        <v>0.19732966490299828</v>
      </c>
      <c r="Y112" s="29">
        <v>1</v>
      </c>
    </row>
    <row r="113" spans="11:25" x14ac:dyDescent="0.2">
      <c r="K113" s="27">
        <v>19</v>
      </c>
      <c r="L113" s="28" t="s">
        <v>131</v>
      </c>
      <c r="M113" s="29">
        <v>300</v>
      </c>
      <c r="N113" s="29">
        <v>675</v>
      </c>
      <c r="O113" s="30">
        <v>-70.490499999999997</v>
      </c>
      <c r="P113" s="30">
        <v>0.19891499118165784</v>
      </c>
      <c r="Q113" s="29">
        <v>1</v>
      </c>
      <c r="S113" s="27">
        <v>19</v>
      </c>
      <c r="T113" s="28" t="s">
        <v>131</v>
      </c>
      <c r="U113" s="29">
        <v>300</v>
      </c>
      <c r="V113" s="29">
        <v>675</v>
      </c>
      <c r="W113" s="30">
        <v>-70.641199999999998</v>
      </c>
      <c r="X113" s="30">
        <v>0.19934024691358024</v>
      </c>
      <c r="Y113" s="29">
        <v>1</v>
      </c>
    </row>
    <row r="114" spans="11:25" x14ac:dyDescent="0.2">
      <c r="K114" s="27">
        <v>6</v>
      </c>
      <c r="L114" s="28" t="s">
        <v>132</v>
      </c>
      <c r="M114" s="29">
        <v>700</v>
      </c>
      <c r="N114" s="29">
        <v>275</v>
      </c>
      <c r="O114" s="30">
        <v>-31.976600000000001</v>
      </c>
      <c r="P114" s="30">
        <v>9.4921261595547313E-2</v>
      </c>
      <c r="Q114" s="29">
        <v>1</v>
      </c>
      <c r="S114" s="27">
        <v>6</v>
      </c>
      <c r="T114" s="28" t="s">
        <v>132</v>
      </c>
      <c r="U114" s="29">
        <v>700</v>
      </c>
      <c r="V114" s="29">
        <v>275</v>
      </c>
      <c r="W114" s="30">
        <v>-32.071399999999997</v>
      </c>
      <c r="X114" s="30">
        <v>9.5202671614100176E-2</v>
      </c>
      <c r="Y114" s="29">
        <v>1</v>
      </c>
    </row>
    <row r="115" spans="11:25" x14ac:dyDescent="0.2">
      <c r="K115" s="27">
        <v>21</v>
      </c>
      <c r="L115" s="28" t="s">
        <v>131</v>
      </c>
      <c r="M115" s="29">
        <v>300</v>
      </c>
      <c r="N115" s="29">
        <v>675</v>
      </c>
      <c r="O115" s="30">
        <v>-91.047200000000004</v>
      </c>
      <c r="P115" s="30">
        <v>0.256923315696649</v>
      </c>
      <c r="Q115" s="29">
        <v>1</v>
      </c>
      <c r="S115" s="27">
        <v>21</v>
      </c>
      <c r="T115" s="28" t="s">
        <v>131</v>
      </c>
      <c r="U115" s="29">
        <v>300</v>
      </c>
      <c r="V115" s="29">
        <v>675</v>
      </c>
      <c r="W115" s="30">
        <v>-91.112799999999993</v>
      </c>
      <c r="X115" s="30">
        <v>0.25710843033509695</v>
      </c>
      <c r="Y115" s="29">
        <v>1</v>
      </c>
    </row>
    <row r="116" spans="11:25" x14ac:dyDescent="0.2">
      <c r="K116" s="27">
        <v>22</v>
      </c>
      <c r="L116" s="28" t="s">
        <v>131</v>
      </c>
      <c r="M116" s="29">
        <v>300</v>
      </c>
      <c r="N116" s="29">
        <v>675</v>
      </c>
      <c r="O116" s="30">
        <v>-91.028599999999997</v>
      </c>
      <c r="P116" s="30">
        <v>0.25687082892416224</v>
      </c>
      <c r="Q116" s="29">
        <v>1</v>
      </c>
      <c r="S116" s="27">
        <v>22</v>
      </c>
      <c r="T116" s="28" t="s">
        <v>131</v>
      </c>
      <c r="U116" s="29">
        <v>300</v>
      </c>
      <c r="V116" s="29">
        <v>675</v>
      </c>
      <c r="W116" s="30">
        <v>-91.072000000000003</v>
      </c>
      <c r="X116" s="30">
        <v>0.25699329805996474</v>
      </c>
      <c r="Y116" s="29">
        <v>1</v>
      </c>
    </row>
    <row r="117" spans="11:25" x14ac:dyDescent="0.2">
      <c r="K117" s="27">
        <v>8</v>
      </c>
      <c r="L117" s="28" t="s">
        <v>132</v>
      </c>
      <c r="M117" s="29">
        <v>700</v>
      </c>
      <c r="N117" s="29">
        <v>275</v>
      </c>
      <c r="O117" s="30">
        <v>-31.882000000000001</v>
      </c>
      <c r="P117" s="30">
        <v>9.4640445269016701E-2</v>
      </c>
      <c r="Q117" s="29">
        <v>1</v>
      </c>
      <c r="S117" s="27">
        <v>8</v>
      </c>
      <c r="T117" s="28" t="s">
        <v>132</v>
      </c>
      <c r="U117" s="29">
        <v>700</v>
      </c>
      <c r="V117" s="29">
        <v>275</v>
      </c>
      <c r="W117" s="30">
        <v>-31.8583</v>
      </c>
      <c r="X117" s="30">
        <v>9.4570092764378472E-2</v>
      </c>
      <c r="Y117" s="29">
        <v>1</v>
      </c>
    </row>
    <row r="118" spans="11:25" x14ac:dyDescent="0.2">
      <c r="K118" s="27">
        <v>17</v>
      </c>
      <c r="L118" s="28" t="s">
        <v>131</v>
      </c>
      <c r="M118" s="29">
        <v>300</v>
      </c>
      <c r="N118" s="29">
        <v>675</v>
      </c>
      <c r="O118" s="30">
        <v>-70.3703</v>
      </c>
      <c r="P118" s="30">
        <v>0.19857580246913581</v>
      </c>
      <c r="Q118" s="29">
        <v>1</v>
      </c>
      <c r="S118" s="27">
        <v>17</v>
      </c>
      <c r="T118" s="28" t="s">
        <v>131</v>
      </c>
      <c r="U118" s="29">
        <v>300</v>
      </c>
      <c r="V118" s="29">
        <v>675</v>
      </c>
      <c r="W118" s="30">
        <v>-70.326599999999999</v>
      </c>
      <c r="X118" s="30">
        <v>0.19845248677248678</v>
      </c>
      <c r="Y118" s="29">
        <v>1</v>
      </c>
    </row>
    <row r="119" spans="11:25" x14ac:dyDescent="0.2">
      <c r="K119" s="27">
        <v>1</v>
      </c>
      <c r="L119" s="28" t="s">
        <v>130</v>
      </c>
      <c r="M119" s="29">
        <v>300</v>
      </c>
      <c r="N119" s="29">
        <v>275</v>
      </c>
      <c r="O119" s="30">
        <v>-0.82909999999999995</v>
      </c>
      <c r="P119" s="30">
        <v>5.7426839826839821E-3</v>
      </c>
      <c r="Q119" s="29">
        <v>1</v>
      </c>
      <c r="S119" s="27">
        <v>1</v>
      </c>
      <c r="T119" s="28" t="s">
        <v>130</v>
      </c>
      <c r="U119" s="29">
        <v>300</v>
      </c>
      <c r="V119" s="29">
        <v>275</v>
      </c>
      <c r="W119" s="30">
        <v>-0.87880000000000003</v>
      </c>
      <c r="X119" s="30">
        <v>6.0869264069264078E-3</v>
      </c>
      <c r="Y119" s="29">
        <v>1</v>
      </c>
    </row>
    <row r="120" spans="11:25" x14ac:dyDescent="0.2">
      <c r="K120" s="27">
        <v>13</v>
      </c>
      <c r="L120" s="28" t="s">
        <v>131</v>
      </c>
      <c r="M120" s="29">
        <v>300</v>
      </c>
      <c r="N120" s="29">
        <v>675</v>
      </c>
      <c r="O120" s="30">
        <v>-42.525500000000001</v>
      </c>
      <c r="P120" s="30">
        <v>0.12000141093474427</v>
      </c>
      <c r="Q120" s="29">
        <v>1</v>
      </c>
      <c r="S120" s="27">
        <v>13</v>
      </c>
      <c r="T120" s="28" t="s">
        <v>131</v>
      </c>
      <c r="U120" s="29">
        <v>300</v>
      </c>
      <c r="V120" s="29">
        <v>675</v>
      </c>
      <c r="W120" s="30">
        <v>-42.773899999999998</v>
      </c>
      <c r="X120" s="30">
        <v>0.12070236331569663</v>
      </c>
      <c r="Y120" s="29">
        <v>1</v>
      </c>
    </row>
    <row r="121" spans="11:25" x14ac:dyDescent="0.2">
      <c r="K121" s="27">
        <v>9</v>
      </c>
      <c r="L121" s="28" t="s">
        <v>132</v>
      </c>
      <c r="M121" s="29">
        <v>700</v>
      </c>
      <c r="N121" s="29">
        <v>275</v>
      </c>
      <c r="O121" s="30">
        <v>-5.7853000000000003</v>
      </c>
      <c r="P121" s="30">
        <v>1.7173432282003711E-2</v>
      </c>
      <c r="Q121" s="29">
        <v>1</v>
      </c>
      <c r="S121" s="27">
        <v>9</v>
      </c>
      <c r="T121" s="28" t="s">
        <v>132</v>
      </c>
      <c r="U121" s="29">
        <v>700</v>
      </c>
      <c r="V121" s="29">
        <v>275</v>
      </c>
      <c r="W121" s="30">
        <v>-5.8242000000000003</v>
      </c>
      <c r="X121" s="30">
        <v>1.7288905380333952E-2</v>
      </c>
      <c r="Y121" s="29">
        <v>1</v>
      </c>
    </row>
    <row r="122" spans="11:25" x14ac:dyDescent="0.2">
      <c r="K122" s="27">
        <v>10</v>
      </c>
      <c r="L122" s="28" t="s">
        <v>132</v>
      </c>
      <c r="M122" s="29">
        <v>700</v>
      </c>
      <c r="N122" s="29">
        <v>275</v>
      </c>
      <c r="O122" s="30">
        <v>-5.7603</v>
      </c>
      <c r="P122" s="30">
        <v>1.709922077922078E-2</v>
      </c>
      <c r="Q122" s="29">
        <v>1</v>
      </c>
      <c r="S122" s="27">
        <v>10</v>
      </c>
      <c r="T122" s="28" t="s">
        <v>132</v>
      </c>
      <c r="U122" s="29">
        <v>700</v>
      </c>
      <c r="V122" s="29">
        <v>275</v>
      </c>
      <c r="W122" s="30">
        <v>-5.7679</v>
      </c>
      <c r="X122" s="30">
        <v>1.7121781076066791E-2</v>
      </c>
      <c r="Y122" s="29">
        <v>1</v>
      </c>
    </row>
    <row r="123" spans="11:25" x14ac:dyDescent="0.2">
      <c r="K123" s="27">
        <v>14</v>
      </c>
      <c r="L123" s="28" t="s">
        <v>131</v>
      </c>
      <c r="M123" s="29">
        <v>300</v>
      </c>
      <c r="N123" s="29">
        <v>675</v>
      </c>
      <c r="O123" s="30">
        <v>-42.478400000000001</v>
      </c>
      <c r="P123" s="30">
        <v>0.11986850088183422</v>
      </c>
      <c r="Q123" s="29">
        <v>1</v>
      </c>
      <c r="S123" s="27">
        <v>14</v>
      </c>
      <c r="T123" s="28" t="s">
        <v>131</v>
      </c>
      <c r="U123" s="29">
        <v>300</v>
      </c>
      <c r="V123" s="29">
        <v>675</v>
      </c>
      <c r="W123" s="30">
        <v>-42.603200000000001</v>
      </c>
      <c r="X123" s="30">
        <v>0.12022067019400354</v>
      </c>
      <c r="Y123" s="29">
        <v>1</v>
      </c>
    </row>
    <row r="124" spans="11:25" x14ac:dyDescent="0.2">
      <c r="K124" s="27">
        <v>2</v>
      </c>
      <c r="L124" s="28" t="s">
        <v>130</v>
      </c>
      <c r="M124" s="29">
        <v>300</v>
      </c>
      <c r="N124" s="29">
        <v>275</v>
      </c>
      <c r="O124" s="30">
        <v>-0.76100000000000001</v>
      </c>
      <c r="P124" s="30">
        <v>5.270995670995671E-3</v>
      </c>
      <c r="Q124" s="29">
        <v>1</v>
      </c>
      <c r="S124" s="27">
        <v>2</v>
      </c>
      <c r="T124" s="28" t="s">
        <v>130</v>
      </c>
      <c r="U124" s="29">
        <v>300</v>
      </c>
      <c r="V124" s="29">
        <v>275</v>
      </c>
      <c r="W124" s="30">
        <v>-0.73250000000000004</v>
      </c>
      <c r="X124" s="30">
        <v>5.0735930735930738E-3</v>
      </c>
      <c r="Y12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96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229</v>
      </c>
      <c r="C4" s="28" t="s">
        <v>382</v>
      </c>
      <c r="D4" s="28" t="s">
        <v>383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-29.1921</v>
      </c>
      <c r="N4" s="30">
        <v>0.11706105263157894</v>
      </c>
      <c r="O4" s="29">
        <v>1</v>
      </c>
      <c r="R4" s="27">
        <v>229</v>
      </c>
      <c r="S4" s="28" t="s">
        <v>382</v>
      </c>
      <c r="T4" s="28" t="s">
        <v>383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-29.1813</v>
      </c>
      <c r="AD4" s="30">
        <v>0.11701774436090226</v>
      </c>
      <c r="AE4" s="29">
        <v>1</v>
      </c>
    </row>
    <row r="5" spans="2:31" x14ac:dyDescent="0.2">
      <c r="B5" s="27">
        <v>229</v>
      </c>
      <c r="C5" s="28" t="s">
        <v>384</v>
      </c>
      <c r="D5" s="28" t="s">
        <v>385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22.0472</v>
      </c>
      <c r="N5" s="30">
        <v>8.8409824561403505E-2</v>
      </c>
      <c r="O5" s="29">
        <v>1</v>
      </c>
      <c r="R5" s="27">
        <v>229</v>
      </c>
      <c r="S5" s="28" t="s">
        <v>384</v>
      </c>
      <c r="T5" s="28" t="s">
        <v>385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22.057500000000001</v>
      </c>
      <c r="AD5" s="30">
        <v>8.8451127819548878E-2</v>
      </c>
      <c r="AE5" s="29">
        <v>1</v>
      </c>
    </row>
    <row r="6" spans="2:31" x14ac:dyDescent="0.2">
      <c r="B6" s="27">
        <v>230</v>
      </c>
      <c r="C6" s="28" t="s">
        <v>387</v>
      </c>
      <c r="D6" s="28" t="s">
        <v>383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-32.752600000000001</v>
      </c>
      <c r="N6" s="30">
        <v>0.13133874686716793</v>
      </c>
      <c r="O6" s="29">
        <v>1</v>
      </c>
      <c r="R6" s="27">
        <v>230</v>
      </c>
      <c r="S6" s="28" t="s">
        <v>387</v>
      </c>
      <c r="T6" s="28" t="s">
        <v>383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-32.740600000000001</v>
      </c>
      <c r="AD6" s="30">
        <v>0.13129062656641605</v>
      </c>
      <c r="AE6" s="29">
        <v>1</v>
      </c>
    </row>
    <row r="7" spans="2:31" x14ac:dyDescent="0.2">
      <c r="B7" s="27">
        <v>230</v>
      </c>
      <c r="C7" s="28" t="s">
        <v>388</v>
      </c>
      <c r="D7" s="28" t="s">
        <v>385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17.209099999999999</v>
      </c>
      <c r="N7" s="30">
        <v>6.90089223057644E-2</v>
      </c>
      <c r="O7" s="29">
        <v>1</v>
      </c>
      <c r="R7" s="27">
        <v>230</v>
      </c>
      <c r="S7" s="28" t="s">
        <v>388</v>
      </c>
      <c r="T7" s="28" t="s">
        <v>385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17.220700000000001</v>
      </c>
      <c r="AD7" s="30">
        <v>6.9055438596491228E-2</v>
      </c>
      <c r="AE7" s="29">
        <v>1</v>
      </c>
    </row>
    <row r="8" spans="2:31" x14ac:dyDescent="0.2">
      <c r="B8" s="27">
        <v>231</v>
      </c>
      <c r="C8" s="28" t="s">
        <v>389</v>
      </c>
      <c r="D8" s="28" t="s">
        <v>383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-31.814599999999999</v>
      </c>
      <c r="N8" s="30">
        <v>0.12757734335839599</v>
      </c>
      <c r="O8" s="29">
        <v>1</v>
      </c>
      <c r="R8" s="27">
        <v>231</v>
      </c>
      <c r="S8" s="28" t="s">
        <v>389</v>
      </c>
      <c r="T8" s="28" t="s">
        <v>383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-31.802099999999999</v>
      </c>
      <c r="AD8" s="30">
        <v>0.12752721804511277</v>
      </c>
      <c r="AE8" s="29">
        <v>1</v>
      </c>
    </row>
    <row r="9" spans="2:31" x14ac:dyDescent="0.2">
      <c r="B9" s="27">
        <v>231</v>
      </c>
      <c r="C9" s="28" t="s">
        <v>390</v>
      </c>
      <c r="D9" s="28" t="s">
        <v>385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17.026399999999999</v>
      </c>
      <c r="N9" s="30">
        <v>6.827629072681704E-2</v>
      </c>
      <c r="O9" s="29">
        <v>1</v>
      </c>
      <c r="R9" s="27">
        <v>231</v>
      </c>
      <c r="S9" s="28" t="s">
        <v>390</v>
      </c>
      <c r="T9" s="28" t="s">
        <v>385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17.038499999999999</v>
      </c>
      <c r="AD9" s="30">
        <v>6.8324812030075191E-2</v>
      </c>
      <c r="AE9" s="29">
        <v>1</v>
      </c>
    </row>
    <row r="10" spans="2:31" x14ac:dyDescent="0.2">
      <c r="B10" s="27">
        <v>232</v>
      </c>
      <c r="C10" s="28" t="s">
        <v>391</v>
      </c>
      <c r="D10" s="28" t="s">
        <v>383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-31.372800000000002</v>
      </c>
      <c r="N10" s="30">
        <v>0.1258057142857143</v>
      </c>
      <c r="O10" s="29">
        <v>1</v>
      </c>
      <c r="R10" s="27">
        <v>232</v>
      </c>
      <c r="S10" s="28" t="s">
        <v>391</v>
      </c>
      <c r="T10" s="28" t="s">
        <v>383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-31.360600000000002</v>
      </c>
      <c r="AD10" s="30">
        <v>0.12575679197994988</v>
      </c>
      <c r="AE10" s="29">
        <v>1</v>
      </c>
    </row>
    <row r="11" spans="2:31" x14ac:dyDescent="0.2">
      <c r="B11" s="27">
        <v>232</v>
      </c>
      <c r="C11" s="28" t="s">
        <v>392</v>
      </c>
      <c r="D11" s="28" t="s">
        <v>385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18.539000000000001</v>
      </c>
      <c r="N11" s="30">
        <v>7.4341854636591473E-2</v>
      </c>
      <c r="O11" s="29">
        <v>1</v>
      </c>
      <c r="R11" s="27">
        <v>232</v>
      </c>
      <c r="S11" s="28" t="s">
        <v>392</v>
      </c>
      <c r="T11" s="28" t="s">
        <v>385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18.550699999999999</v>
      </c>
      <c r="AD11" s="30">
        <v>7.4388771929824571E-2</v>
      </c>
      <c r="AE11" s="29">
        <v>1</v>
      </c>
    </row>
    <row r="12" spans="2:31" x14ac:dyDescent="0.2">
      <c r="B12" s="27">
        <v>233</v>
      </c>
      <c r="C12" s="28" t="s">
        <v>394</v>
      </c>
      <c r="D12" s="28" t="s">
        <v>383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-32.577599999999997</v>
      </c>
      <c r="N12" s="30">
        <v>0.130636992481203</v>
      </c>
      <c r="O12" s="29">
        <v>1</v>
      </c>
      <c r="R12" s="27">
        <v>233</v>
      </c>
      <c r="S12" s="28" t="s">
        <v>394</v>
      </c>
      <c r="T12" s="28" t="s">
        <v>383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-32.566499999999998</v>
      </c>
      <c r="AD12" s="30">
        <v>0.13059248120300751</v>
      </c>
      <c r="AE12" s="29">
        <v>1</v>
      </c>
    </row>
    <row r="13" spans="2:31" x14ac:dyDescent="0.2">
      <c r="B13" s="27">
        <v>233</v>
      </c>
      <c r="C13" s="28" t="s">
        <v>395</v>
      </c>
      <c r="D13" s="28" t="s">
        <v>385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15.1174</v>
      </c>
      <c r="N13" s="30">
        <v>6.0621152882205515E-2</v>
      </c>
      <c r="O13" s="29">
        <v>1</v>
      </c>
      <c r="R13" s="27">
        <v>233</v>
      </c>
      <c r="S13" s="28" t="s">
        <v>395</v>
      </c>
      <c r="T13" s="28" t="s">
        <v>385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15.128</v>
      </c>
      <c r="AD13" s="30">
        <v>6.0663659147869677E-2</v>
      </c>
      <c r="AE13" s="29">
        <v>1</v>
      </c>
    </row>
    <row r="14" spans="2:31" x14ac:dyDescent="0.2">
      <c r="B14" s="27">
        <v>211</v>
      </c>
      <c r="C14" s="28" t="s">
        <v>397</v>
      </c>
      <c r="D14" s="28" t="s">
        <v>383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-38.301699999999997</v>
      </c>
      <c r="N14" s="30">
        <v>0.15359077694235587</v>
      </c>
      <c r="O14" s="29">
        <v>1</v>
      </c>
      <c r="R14" s="27">
        <v>211</v>
      </c>
      <c r="S14" s="28" t="s">
        <v>397</v>
      </c>
      <c r="T14" s="28" t="s">
        <v>383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-38.296599999999998</v>
      </c>
      <c r="AD14" s="30">
        <v>0.15357032581453633</v>
      </c>
      <c r="AE14" s="29">
        <v>1</v>
      </c>
    </row>
    <row r="15" spans="2:31" x14ac:dyDescent="0.2">
      <c r="B15" s="27">
        <v>211</v>
      </c>
      <c r="C15" s="28" t="s">
        <v>398</v>
      </c>
      <c r="D15" s="28" t="s">
        <v>385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41.246099999999998</v>
      </c>
      <c r="N15" s="30">
        <v>0.1653978947368421</v>
      </c>
      <c r="O15" s="29">
        <v>1</v>
      </c>
      <c r="R15" s="27">
        <v>211</v>
      </c>
      <c r="S15" s="28" t="s">
        <v>398</v>
      </c>
      <c r="T15" s="28" t="s">
        <v>385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41.246200000000002</v>
      </c>
      <c r="AD15" s="30">
        <v>0.16539829573934839</v>
      </c>
      <c r="AE15" s="29">
        <v>1</v>
      </c>
    </row>
    <row r="16" spans="2:31" x14ac:dyDescent="0.2">
      <c r="B16" s="27">
        <v>214</v>
      </c>
      <c r="C16" s="28" t="s">
        <v>400</v>
      </c>
      <c r="D16" s="28" t="s">
        <v>383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-55.736800000000002</v>
      </c>
      <c r="N16" s="30">
        <v>0.22350596491228072</v>
      </c>
      <c r="O16" s="29">
        <v>1</v>
      </c>
      <c r="R16" s="27">
        <v>214</v>
      </c>
      <c r="S16" s="28" t="s">
        <v>400</v>
      </c>
      <c r="T16" s="28" t="s">
        <v>383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-55.731900000000003</v>
      </c>
      <c r="AD16" s="30">
        <v>0.2234863157894737</v>
      </c>
      <c r="AE16" s="29">
        <v>1</v>
      </c>
    </row>
    <row r="17" spans="2:31" x14ac:dyDescent="0.2">
      <c r="B17" s="27">
        <v>214</v>
      </c>
      <c r="C17" s="28" t="s">
        <v>401</v>
      </c>
      <c r="D17" s="28" t="s">
        <v>385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58.6327</v>
      </c>
      <c r="N17" s="30">
        <v>0.23511859649122807</v>
      </c>
      <c r="O17" s="29">
        <v>1</v>
      </c>
      <c r="R17" s="27">
        <v>214</v>
      </c>
      <c r="S17" s="28" t="s">
        <v>401</v>
      </c>
      <c r="T17" s="28" t="s">
        <v>385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58.636400000000002</v>
      </c>
      <c r="AD17" s="30">
        <v>0.23513343358395991</v>
      </c>
      <c r="AE17" s="29">
        <v>1</v>
      </c>
    </row>
    <row r="18" spans="2:31" x14ac:dyDescent="0.2">
      <c r="B18" s="27">
        <v>217</v>
      </c>
      <c r="C18" s="28" t="s">
        <v>403</v>
      </c>
      <c r="D18" s="28" t="s">
        <v>383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-57.0657</v>
      </c>
      <c r="N18" s="30">
        <v>0.2288348872180451</v>
      </c>
      <c r="O18" s="29">
        <v>1</v>
      </c>
      <c r="R18" s="27">
        <v>217</v>
      </c>
      <c r="S18" s="28" t="s">
        <v>403</v>
      </c>
      <c r="T18" s="28" t="s">
        <v>383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-57.061500000000002</v>
      </c>
      <c r="AD18" s="30">
        <v>0.22881804511278195</v>
      </c>
      <c r="AE18" s="29">
        <v>1</v>
      </c>
    </row>
    <row r="19" spans="2:31" x14ac:dyDescent="0.2">
      <c r="B19" s="27">
        <v>217</v>
      </c>
      <c r="C19" s="28" t="s">
        <v>404</v>
      </c>
      <c r="D19" s="28" t="s">
        <v>385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58.495199999999997</v>
      </c>
      <c r="N19" s="30">
        <v>0.23456721804511277</v>
      </c>
      <c r="O19" s="29">
        <v>1</v>
      </c>
      <c r="R19" s="27">
        <v>217</v>
      </c>
      <c r="S19" s="28" t="s">
        <v>404</v>
      </c>
      <c r="T19" s="28" t="s">
        <v>385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58.499400000000001</v>
      </c>
      <c r="AD19" s="30">
        <v>0.23458406015037594</v>
      </c>
      <c r="AE19" s="29">
        <v>1</v>
      </c>
    </row>
    <row r="20" spans="2:31" x14ac:dyDescent="0.2">
      <c r="B20" s="27">
        <v>220</v>
      </c>
      <c r="C20" s="28" t="s">
        <v>406</v>
      </c>
      <c r="D20" s="28" t="s">
        <v>383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-56.205500000000001</v>
      </c>
      <c r="N20" s="30">
        <v>0.22538546365914788</v>
      </c>
      <c r="O20" s="29">
        <v>1</v>
      </c>
      <c r="R20" s="27">
        <v>220</v>
      </c>
      <c r="S20" s="28" t="s">
        <v>406</v>
      </c>
      <c r="T20" s="28" t="s">
        <v>383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-56.202100000000002</v>
      </c>
      <c r="AD20" s="30">
        <v>0.22537182957393484</v>
      </c>
      <c r="AE20" s="29">
        <v>1</v>
      </c>
    </row>
    <row r="21" spans="2:31" x14ac:dyDescent="0.2">
      <c r="B21" s="27">
        <v>220</v>
      </c>
      <c r="C21" s="28" t="s">
        <v>407</v>
      </c>
      <c r="D21" s="28" t="s">
        <v>385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58.559399999999997</v>
      </c>
      <c r="N21" s="30">
        <v>0.23482466165413532</v>
      </c>
      <c r="O21" s="29">
        <v>1</v>
      </c>
      <c r="R21" s="27">
        <v>220</v>
      </c>
      <c r="S21" s="28" t="s">
        <v>407</v>
      </c>
      <c r="T21" s="28" t="s">
        <v>385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58.562800000000003</v>
      </c>
      <c r="AD21" s="30">
        <v>0.23483829573934839</v>
      </c>
      <c r="AE21" s="29">
        <v>1</v>
      </c>
    </row>
    <row r="22" spans="2:31" x14ac:dyDescent="0.2">
      <c r="B22" s="27">
        <v>223</v>
      </c>
      <c r="C22" s="28" t="s">
        <v>409</v>
      </c>
      <c r="D22" s="28" t="s">
        <v>383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-52.3718</v>
      </c>
      <c r="N22" s="30">
        <v>0.21001223057644111</v>
      </c>
      <c r="O22" s="29">
        <v>1</v>
      </c>
      <c r="R22" s="27">
        <v>223</v>
      </c>
      <c r="S22" s="28" t="s">
        <v>409</v>
      </c>
      <c r="T22" s="28" t="s">
        <v>383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-52.368899999999996</v>
      </c>
      <c r="AD22" s="30">
        <v>0.21000060150375938</v>
      </c>
      <c r="AE22" s="29">
        <v>1</v>
      </c>
    </row>
    <row r="23" spans="2:31" x14ac:dyDescent="0.2">
      <c r="B23" s="27">
        <v>223</v>
      </c>
      <c r="C23" s="28" t="s">
        <v>410</v>
      </c>
      <c r="D23" s="28" t="s">
        <v>385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56.057299999999998</v>
      </c>
      <c r="N23" s="30">
        <v>0.22479117794486214</v>
      </c>
      <c r="O23" s="29">
        <v>1</v>
      </c>
      <c r="R23" s="27">
        <v>223</v>
      </c>
      <c r="S23" s="28" t="s">
        <v>410</v>
      </c>
      <c r="T23" s="28" t="s">
        <v>385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56.061500000000002</v>
      </c>
      <c r="AD23" s="30">
        <v>0.22480802005012532</v>
      </c>
      <c r="AE23" s="29">
        <v>1</v>
      </c>
    </row>
    <row r="24" spans="2:31" x14ac:dyDescent="0.2">
      <c r="B24" s="27">
        <v>226</v>
      </c>
      <c r="C24" s="28" t="s">
        <v>412</v>
      </c>
      <c r="D24" s="28" t="s">
        <v>383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-33.472299999999997</v>
      </c>
      <c r="N24" s="30">
        <v>0.13422476190476187</v>
      </c>
      <c r="O24" s="29">
        <v>1</v>
      </c>
      <c r="R24" s="27">
        <v>226</v>
      </c>
      <c r="S24" s="28" t="s">
        <v>412</v>
      </c>
      <c r="T24" s="28" t="s">
        <v>383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-33.471800000000002</v>
      </c>
      <c r="AD24" s="30">
        <v>0.13422275689223059</v>
      </c>
      <c r="AE24" s="29">
        <v>1</v>
      </c>
    </row>
    <row r="25" spans="2:31" x14ac:dyDescent="0.2">
      <c r="B25" s="27">
        <v>226</v>
      </c>
      <c r="C25" s="28" t="s">
        <v>413</v>
      </c>
      <c r="D25" s="28" t="s">
        <v>385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35.465400000000002</v>
      </c>
      <c r="N25" s="30">
        <v>0.14221714285714288</v>
      </c>
      <c r="O25" s="29">
        <v>1</v>
      </c>
      <c r="R25" s="27">
        <v>226</v>
      </c>
      <c r="S25" s="28" t="s">
        <v>413</v>
      </c>
      <c r="T25" s="28" t="s">
        <v>385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35.470999999999997</v>
      </c>
      <c r="AD25" s="30">
        <v>0.14223959899749372</v>
      </c>
      <c r="AE25" s="29">
        <v>1</v>
      </c>
    </row>
    <row r="26" spans="2:31" x14ac:dyDescent="0.2">
      <c r="B26" s="27">
        <v>234</v>
      </c>
      <c r="C26" s="28" t="s">
        <v>415</v>
      </c>
      <c r="D26" s="28" t="s">
        <v>383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-45.287300000000002</v>
      </c>
      <c r="N26" s="30">
        <v>0.18160320802005014</v>
      </c>
      <c r="O26" s="29">
        <v>1</v>
      </c>
      <c r="R26" s="27">
        <v>234</v>
      </c>
      <c r="S26" s="28" t="s">
        <v>415</v>
      </c>
      <c r="T26" s="28" t="s">
        <v>383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-45.2712</v>
      </c>
      <c r="AD26" s="30">
        <v>0.18153864661654134</v>
      </c>
      <c r="AE26" s="29">
        <v>1</v>
      </c>
    </row>
    <row r="27" spans="2:31" x14ac:dyDescent="0.2">
      <c r="B27" s="27">
        <v>234</v>
      </c>
      <c r="C27" s="28" t="s">
        <v>416</v>
      </c>
      <c r="D27" s="28" t="s">
        <v>385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35.465400000000002</v>
      </c>
      <c r="N27" s="30">
        <v>0.14221714285714288</v>
      </c>
      <c r="O27" s="29">
        <v>1</v>
      </c>
      <c r="R27" s="27">
        <v>234</v>
      </c>
      <c r="S27" s="28" t="s">
        <v>416</v>
      </c>
      <c r="T27" s="28" t="s">
        <v>385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35.470999999999997</v>
      </c>
      <c r="AD27" s="30">
        <v>0.14223959899749372</v>
      </c>
      <c r="AE27" s="29">
        <v>1</v>
      </c>
    </row>
    <row r="28" spans="2:31" x14ac:dyDescent="0.2">
      <c r="B28" s="27">
        <v>235</v>
      </c>
      <c r="C28" s="28" t="s">
        <v>418</v>
      </c>
      <c r="D28" s="28" t="s">
        <v>383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-47.1235</v>
      </c>
      <c r="N28" s="30">
        <v>0.18896641604010025</v>
      </c>
      <c r="O28" s="29">
        <v>1</v>
      </c>
      <c r="R28" s="27">
        <v>235</v>
      </c>
      <c r="S28" s="28" t="s">
        <v>418</v>
      </c>
      <c r="T28" s="28" t="s">
        <v>383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-47.107900000000001</v>
      </c>
      <c r="AD28" s="30">
        <v>0.18890385964912282</v>
      </c>
      <c r="AE28" s="29">
        <v>1</v>
      </c>
    </row>
    <row r="29" spans="2:31" x14ac:dyDescent="0.2">
      <c r="B29" s="27">
        <v>235</v>
      </c>
      <c r="C29" s="28" t="s">
        <v>419</v>
      </c>
      <c r="D29" s="28" t="s">
        <v>385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35.465400000000002</v>
      </c>
      <c r="N29" s="30">
        <v>0.14221714285714288</v>
      </c>
      <c r="O29" s="29">
        <v>1</v>
      </c>
      <c r="R29" s="27">
        <v>235</v>
      </c>
      <c r="S29" s="28" t="s">
        <v>419</v>
      </c>
      <c r="T29" s="28" t="s">
        <v>385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35.470999999999997</v>
      </c>
      <c r="AD29" s="30">
        <v>0.14223959899749372</v>
      </c>
      <c r="AE29" s="29">
        <v>1</v>
      </c>
    </row>
    <row r="30" spans="2:31" x14ac:dyDescent="0.2">
      <c r="B30" s="27">
        <v>236</v>
      </c>
      <c r="C30" s="28" t="s">
        <v>420</v>
      </c>
      <c r="D30" s="28" t="s">
        <v>383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-47.849800000000002</v>
      </c>
      <c r="N30" s="30">
        <v>0.19187889724310778</v>
      </c>
      <c r="O30" s="29">
        <v>1</v>
      </c>
      <c r="R30" s="27">
        <v>236</v>
      </c>
      <c r="S30" s="28" t="s">
        <v>420</v>
      </c>
      <c r="T30" s="28" t="s">
        <v>383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-47.836100000000002</v>
      </c>
      <c r="AD30" s="30">
        <v>0.19182395989974937</v>
      </c>
      <c r="AE30" s="29">
        <v>1</v>
      </c>
    </row>
    <row r="31" spans="2:31" x14ac:dyDescent="0.2">
      <c r="B31" s="27">
        <v>236</v>
      </c>
      <c r="C31" s="28" t="s">
        <v>421</v>
      </c>
      <c r="D31" s="28" t="s">
        <v>385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35.465400000000002</v>
      </c>
      <c r="N31" s="30">
        <v>0.14221714285714288</v>
      </c>
      <c r="O31" s="29">
        <v>1</v>
      </c>
      <c r="R31" s="27">
        <v>236</v>
      </c>
      <c r="S31" s="28" t="s">
        <v>421</v>
      </c>
      <c r="T31" s="28" t="s">
        <v>385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35.470999999999997</v>
      </c>
      <c r="AD31" s="30">
        <v>0.14223959899749372</v>
      </c>
      <c r="AE31" s="29">
        <v>1</v>
      </c>
    </row>
    <row r="32" spans="2:31" x14ac:dyDescent="0.2">
      <c r="B32" s="27">
        <v>237</v>
      </c>
      <c r="C32" s="28" t="s">
        <v>422</v>
      </c>
      <c r="D32" s="28" t="s">
        <v>383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-49.267000000000003</v>
      </c>
      <c r="N32" s="30">
        <v>0.19756190476190477</v>
      </c>
      <c r="O32" s="29">
        <v>1</v>
      </c>
      <c r="R32" s="27">
        <v>237</v>
      </c>
      <c r="S32" s="28" t="s">
        <v>422</v>
      </c>
      <c r="T32" s="28" t="s">
        <v>383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-49.250500000000002</v>
      </c>
      <c r="AD32" s="30">
        <v>0.19749573934837092</v>
      </c>
      <c r="AE32" s="29">
        <v>1</v>
      </c>
    </row>
    <row r="33" spans="2:31" x14ac:dyDescent="0.2">
      <c r="B33" s="27">
        <v>237</v>
      </c>
      <c r="C33" s="28" t="s">
        <v>423</v>
      </c>
      <c r="D33" s="28" t="s">
        <v>385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35.465400000000002</v>
      </c>
      <c r="N33" s="30">
        <v>0.14221714285714288</v>
      </c>
      <c r="O33" s="29">
        <v>1</v>
      </c>
      <c r="R33" s="27">
        <v>237</v>
      </c>
      <c r="S33" s="28" t="s">
        <v>423</v>
      </c>
      <c r="T33" s="28" t="s">
        <v>385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35.470999999999997</v>
      </c>
      <c r="AD33" s="30">
        <v>0.14223959899749372</v>
      </c>
      <c r="AE33" s="29">
        <v>1</v>
      </c>
    </row>
    <row r="34" spans="2:31" x14ac:dyDescent="0.2">
      <c r="B34" s="27">
        <v>238</v>
      </c>
      <c r="C34" s="28" t="s">
        <v>425</v>
      </c>
      <c r="D34" s="28" t="s">
        <v>383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-46.029800000000002</v>
      </c>
      <c r="N34" s="30">
        <v>0.1845806516290727</v>
      </c>
      <c r="O34" s="29">
        <v>1</v>
      </c>
      <c r="R34" s="27">
        <v>238</v>
      </c>
      <c r="S34" s="28" t="s">
        <v>425</v>
      </c>
      <c r="T34" s="28" t="s">
        <v>383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-46.014499999999998</v>
      </c>
      <c r="AD34" s="30">
        <v>0.18451929824561403</v>
      </c>
      <c r="AE34" s="29">
        <v>1</v>
      </c>
    </row>
    <row r="35" spans="2:31" x14ac:dyDescent="0.2">
      <c r="B35" s="27">
        <v>238</v>
      </c>
      <c r="C35" s="28" t="s">
        <v>426</v>
      </c>
      <c r="D35" s="28" t="s">
        <v>385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35.465400000000002</v>
      </c>
      <c r="N35" s="30">
        <v>0.14221714285714288</v>
      </c>
      <c r="O35" s="29">
        <v>1</v>
      </c>
      <c r="R35" s="27">
        <v>238</v>
      </c>
      <c r="S35" s="28" t="s">
        <v>426</v>
      </c>
      <c r="T35" s="28" t="s">
        <v>385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35.470999999999997</v>
      </c>
      <c r="AD35" s="30">
        <v>0.14223959899749372</v>
      </c>
      <c r="AE35" s="29">
        <v>1</v>
      </c>
    </row>
    <row r="36" spans="2:31" x14ac:dyDescent="0.2">
      <c r="B36" s="27">
        <v>212</v>
      </c>
      <c r="C36" s="28" t="s">
        <v>428</v>
      </c>
      <c r="D36" s="28" t="s">
        <v>383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-40.164299999999997</v>
      </c>
      <c r="N36" s="30">
        <v>0.16105984962406014</v>
      </c>
      <c r="O36" s="29">
        <v>1</v>
      </c>
      <c r="R36" s="27">
        <v>212</v>
      </c>
      <c r="S36" s="28" t="s">
        <v>428</v>
      </c>
      <c r="T36" s="28" t="s">
        <v>383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-40.158000000000001</v>
      </c>
      <c r="AD36" s="30">
        <v>0.16103458646616542</v>
      </c>
      <c r="AE36" s="29">
        <v>1</v>
      </c>
    </row>
    <row r="37" spans="2:31" x14ac:dyDescent="0.2">
      <c r="B37" s="27">
        <v>212</v>
      </c>
      <c r="C37" s="28" t="s">
        <v>429</v>
      </c>
      <c r="D37" s="28" t="s">
        <v>385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35.465400000000002</v>
      </c>
      <c r="N37" s="30">
        <v>0.14221714285714288</v>
      </c>
      <c r="O37" s="29">
        <v>1</v>
      </c>
      <c r="R37" s="27">
        <v>212</v>
      </c>
      <c r="S37" s="28" t="s">
        <v>429</v>
      </c>
      <c r="T37" s="28" t="s">
        <v>385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40.145899999999997</v>
      </c>
      <c r="AD37" s="30">
        <v>0.16098606516290725</v>
      </c>
      <c r="AE37" s="29">
        <v>1</v>
      </c>
    </row>
    <row r="38" spans="2:31" x14ac:dyDescent="0.2">
      <c r="B38" s="27">
        <v>215</v>
      </c>
      <c r="C38" s="28" t="s">
        <v>431</v>
      </c>
      <c r="D38" s="28" t="s">
        <v>383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-58.420400000000001</v>
      </c>
      <c r="N38" s="30">
        <v>0.23426726817042606</v>
      </c>
      <c r="O38" s="29">
        <v>1</v>
      </c>
      <c r="R38" s="27">
        <v>215</v>
      </c>
      <c r="S38" s="28" t="s">
        <v>431</v>
      </c>
      <c r="T38" s="28" t="s">
        <v>383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-58.416200000000003</v>
      </c>
      <c r="AD38" s="30">
        <v>0.23425042606516291</v>
      </c>
      <c r="AE38" s="29">
        <v>1</v>
      </c>
    </row>
    <row r="39" spans="2:31" x14ac:dyDescent="0.2">
      <c r="B39" s="27">
        <v>215</v>
      </c>
      <c r="C39" s="28" t="s">
        <v>432</v>
      </c>
      <c r="D39" s="28" t="s">
        <v>385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58.406100000000002</v>
      </c>
      <c r="N39" s="30">
        <v>0.23420992481203007</v>
      </c>
      <c r="O39" s="29">
        <v>1</v>
      </c>
      <c r="R39" s="27">
        <v>215</v>
      </c>
      <c r="S39" s="28" t="s">
        <v>432</v>
      </c>
      <c r="T39" s="28" t="s">
        <v>385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40.145899999999997</v>
      </c>
      <c r="AD39" s="30">
        <v>0.16098606516290725</v>
      </c>
      <c r="AE39" s="29">
        <v>1</v>
      </c>
    </row>
    <row r="40" spans="2:31" x14ac:dyDescent="0.2">
      <c r="B40" s="27">
        <v>218</v>
      </c>
      <c r="C40" s="28" t="s">
        <v>434</v>
      </c>
      <c r="D40" s="28" t="s">
        <v>383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-57.654600000000002</v>
      </c>
      <c r="N40" s="30">
        <v>0.2311963909774436</v>
      </c>
      <c r="O40" s="29">
        <v>1</v>
      </c>
      <c r="R40" s="27">
        <v>218</v>
      </c>
      <c r="S40" s="28" t="s">
        <v>434</v>
      </c>
      <c r="T40" s="28" t="s">
        <v>383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-57.650599999999997</v>
      </c>
      <c r="AD40" s="30">
        <v>0.23118035087719296</v>
      </c>
      <c r="AE40" s="29">
        <v>1</v>
      </c>
    </row>
    <row r="41" spans="2:31" x14ac:dyDescent="0.2">
      <c r="B41" s="27">
        <v>218</v>
      </c>
      <c r="C41" s="28" t="s">
        <v>435</v>
      </c>
      <c r="D41" s="28" t="s">
        <v>385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58.406100000000002</v>
      </c>
      <c r="N41" s="30">
        <v>0.23420992481203007</v>
      </c>
      <c r="O41" s="29">
        <v>1</v>
      </c>
      <c r="R41" s="27">
        <v>218</v>
      </c>
      <c r="S41" s="28" t="s">
        <v>435</v>
      </c>
      <c r="T41" s="28" t="s">
        <v>385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57.659500000000001</v>
      </c>
      <c r="AD41" s="30">
        <v>0.23121604010025062</v>
      </c>
      <c r="AE41" s="29">
        <v>1</v>
      </c>
    </row>
    <row r="42" spans="2:31" x14ac:dyDescent="0.2">
      <c r="B42" s="27">
        <v>221</v>
      </c>
      <c r="C42" s="28" t="s">
        <v>437</v>
      </c>
      <c r="D42" s="28" t="s">
        <v>383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-57.878799999999998</v>
      </c>
      <c r="N42" s="30">
        <v>0.2320954385964912</v>
      </c>
      <c r="O42" s="29">
        <v>1</v>
      </c>
      <c r="R42" s="27">
        <v>221</v>
      </c>
      <c r="S42" s="28" t="s">
        <v>437</v>
      </c>
      <c r="T42" s="28" t="s">
        <v>383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-57.874400000000001</v>
      </c>
      <c r="AD42" s="30">
        <v>0.23207779448621554</v>
      </c>
      <c r="AE42" s="29">
        <v>1</v>
      </c>
    </row>
    <row r="43" spans="2:31" x14ac:dyDescent="0.2">
      <c r="B43" s="27">
        <v>221</v>
      </c>
      <c r="C43" s="28" t="s">
        <v>438</v>
      </c>
      <c r="D43" s="28" t="s">
        <v>385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58.406100000000002</v>
      </c>
      <c r="N43" s="30">
        <v>0.23420992481203007</v>
      </c>
      <c r="O43" s="29">
        <v>1</v>
      </c>
      <c r="R43" s="27">
        <v>221</v>
      </c>
      <c r="S43" s="28" t="s">
        <v>438</v>
      </c>
      <c r="T43" s="28" t="s">
        <v>385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57.924700000000001</v>
      </c>
      <c r="AD43" s="30">
        <v>0.23227949874686718</v>
      </c>
      <c r="AE43" s="29">
        <v>1</v>
      </c>
    </row>
    <row r="44" spans="2:31" x14ac:dyDescent="0.2">
      <c r="B44" s="27">
        <v>224</v>
      </c>
      <c r="C44" s="28" t="s">
        <v>440</v>
      </c>
      <c r="D44" s="28" t="s">
        <v>383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-57.7044</v>
      </c>
      <c r="N44" s="30">
        <v>0.23139609022556393</v>
      </c>
      <c r="O44" s="29">
        <v>1</v>
      </c>
      <c r="R44" s="27">
        <v>224</v>
      </c>
      <c r="S44" s="28" t="s">
        <v>440</v>
      </c>
      <c r="T44" s="28" t="s">
        <v>383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-57.701300000000003</v>
      </c>
      <c r="AD44" s="30">
        <v>0.23138365914786968</v>
      </c>
      <c r="AE44" s="29">
        <v>1</v>
      </c>
    </row>
    <row r="45" spans="2:31" x14ac:dyDescent="0.2">
      <c r="B45" s="27">
        <v>224</v>
      </c>
      <c r="C45" s="28" t="s">
        <v>441</v>
      </c>
      <c r="D45" s="28" t="s">
        <v>385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57.9544</v>
      </c>
      <c r="N45" s="30">
        <v>0.23239859649122807</v>
      </c>
      <c r="O45" s="29">
        <v>1</v>
      </c>
      <c r="R45" s="27">
        <v>224</v>
      </c>
      <c r="S45" s="28" t="s">
        <v>441</v>
      </c>
      <c r="T45" s="28" t="s">
        <v>385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57.924700000000001</v>
      </c>
      <c r="AD45" s="30">
        <v>0.23227949874686718</v>
      </c>
      <c r="AE45" s="29">
        <v>1</v>
      </c>
    </row>
    <row r="46" spans="2:31" x14ac:dyDescent="0.2">
      <c r="B46" s="27">
        <v>227</v>
      </c>
      <c r="C46" s="28" t="s">
        <v>443</v>
      </c>
      <c r="D46" s="28" t="s">
        <v>383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-36.875900000000001</v>
      </c>
      <c r="N46" s="30">
        <v>0.14787328320802007</v>
      </c>
      <c r="O46" s="29">
        <v>1</v>
      </c>
      <c r="R46" s="27">
        <v>227</v>
      </c>
      <c r="S46" s="28" t="s">
        <v>443</v>
      </c>
      <c r="T46" s="28" t="s">
        <v>383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-36.875500000000002</v>
      </c>
      <c r="AD46" s="30">
        <v>0.14787167919799499</v>
      </c>
      <c r="AE46" s="29">
        <v>1</v>
      </c>
    </row>
    <row r="47" spans="2:31" x14ac:dyDescent="0.2">
      <c r="B47" s="27">
        <v>227</v>
      </c>
      <c r="C47" s="28" t="s">
        <v>444</v>
      </c>
      <c r="D47" s="28" t="s">
        <v>385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57.9544</v>
      </c>
      <c r="N47" s="30">
        <v>0.23239859649122807</v>
      </c>
      <c r="O47" s="29">
        <v>1</v>
      </c>
      <c r="R47" s="27">
        <v>227</v>
      </c>
      <c r="S47" s="28" t="s">
        <v>444</v>
      </c>
      <c r="T47" s="28" t="s">
        <v>385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37.020400000000002</v>
      </c>
      <c r="AD47" s="30">
        <v>0.14845273182957394</v>
      </c>
      <c r="AE47" s="29">
        <v>1</v>
      </c>
    </row>
    <row r="48" spans="2:31" x14ac:dyDescent="0.2">
      <c r="B48" s="27">
        <v>239</v>
      </c>
      <c r="C48" s="28" t="s">
        <v>446</v>
      </c>
      <c r="D48" s="28" t="s">
        <v>383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-45.298000000000002</v>
      </c>
      <c r="N48" s="30">
        <v>0.18164611528822056</v>
      </c>
      <c r="O48" s="29">
        <v>1</v>
      </c>
      <c r="R48" s="27">
        <v>239</v>
      </c>
      <c r="S48" s="28" t="s">
        <v>446</v>
      </c>
      <c r="T48" s="28" t="s">
        <v>383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-45.2819</v>
      </c>
      <c r="AD48" s="30">
        <v>0.18158155388471178</v>
      </c>
      <c r="AE48" s="29">
        <v>1</v>
      </c>
    </row>
    <row r="49" spans="2:31" x14ac:dyDescent="0.2">
      <c r="B49" s="27">
        <v>239</v>
      </c>
      <c r="C49" s="28" t="s">
        <v>447</v>
      </c>
      <c r="D49" s="28" t="s">
        <v>385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57.9544</v>
      </c>
      <c r="N49" s="30">
        <v>0.23239859649122807</v>
      </c>
      <c r="O49" s="29">
        <v>1</v>
      </c>
      <c r="R49" s="27">
        <v>239</v>
      </c>
      <c r="S49" s="28" t="s">
        <v>447</v>
      </c>
      <c r="T49" s="28" t="s">
        <v>385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37.020400000000002</v>
      </c>
      <c r="AD49" s="30">
        <v>0.14845273182957394</v>
      </c>
      <c r="AE49" s="29">
        <v>1</v>
      </c>
    </row>
    <row r="50" spans="2:31" x14ac:dyDescent="0.2">
      <c r="B50" s="27">
        <v>240</v>
      </c>
      <c r="C50" s="28" t="s">
        <v>449</v>
      </c>
      <c r="D50" s="28" t="s">
        <v>383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-47.133899999999997</v>
      </c>
      <c r="N50" s="30">
        <v>0.18900812030075187</v>
      </c>
      <c r="O50" s="29">
        <v>1</v>
      </c>
      <c r="R50" s="27">
        <v>240</v>
      </c>
      <c r="S50" s="28" t="s">
        <v>449</v>
      </c>
      <c r="T50" s="28" t="s">
        <v>383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-47.118200000000002</v>
      </c>
      <c r="AD50" s="30">
        <v>0.18894516290726818</v>
      </c>
      <c r="AE50" s="29">
        <v>1</v>
      </c>
    </row>
    <row r="51" spans="2:31" x14ac:dyDescent="0.2">
      <c r="B51" s="27">
        <v>240</v>
      </c>
      <c r="C51" s="28" t="s">
        <v>450</v>
      </c>
      <c r="D51" s="28" t="s">
        <v>385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57.9544</v>
      </c>
      <c r="N51" s="30">
        <v>0.23239859649122807</v>
      </c>
      <c r="O51" s="29">
        <v>1</v>
      </c>
      <c r="R51" s="27">
        <v>240</v>
      </c>
      <c r="S51" s="28" t="s">
        <v>450</v>
      </c>
      <c r="T51" s="28" t="s">
        <v>385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37.020400000000002</v>
      </c>
      <c r="AD51" s="30">
        <v>0.14845273182957394</v>
      </c>
      <c r="AE51" s="29">
        <v>1</v>
      </c>
    </row>
    <row r="52" spans="2:31" x14ac:dyDescent="0.2">
      <c r="B52" s="27">
        <v>241</v>
      </c>
      <c r="C52" s="28" t="s">
        <v>451</v>
      </c>
      <c r="D52" s="28" t="s">
        <v>383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-47.848599999999998</v>
      </c>
      <c r="N52" s="30">
        <v>0.19187408521303256</v>
      </c>
      <c r="O52" s="29">
        <v>1</v>
      </c>
      <c r="R52" s="27">
        <v>241</v>
      </c>
      <c r="S52" s="28" t="s">
        <v>451</v>
      </c>
      <c r="T52" s="28" t="s">
        <v>383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-47.834800000000001</v>
      </c>
      <c r="AD52" s="30">
        <v>0.19181874686716793</v>
      </c>
      <c r="AE52" s="29">
        <v>1</v>
      </c>
    </row>
    <row r="53" spans="2:31" x14ac:dyDescent="0.2">
      <c r="B53" s="27">
        <v>241</v>
      </c>
      <c r="C53" s="28" t="s">
        <v>452</v>
      </c>
      <c r="D53" s="28" t="s">
        <v>385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57.9544</v>
      </c>
      <c r="N53" s="30">
        <v>0.23239859649122807</v>
      </c>
      <c r="O53" s="29">
        <v>1</v>
      </c>
      <c r="R53" s="27">
        <v>241</v>
      </c>
      <c r="S53" s="28" t="s">
        <v>452</v>
      </c>
      <c r="T53" s="28" t="s">
        <v>385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37.020400000000002</v>
      </c>
      <c r="AD53" s="30">
        <v>0.14845273182957394</v>
      </c>
      <c r="AE53" s="29">
        <v>1</v>
      </c>
    </row>
    <row r="54" spans="2:31" x14ac:dyDescent="0.2">
      <c r="B54" s="27">
        <v>242</v>
      </c>
      <c r="C54" s="28" t="s">
        <v>453</v>
      </c>
      <c r="D54" s="28" t="s">
        <v>383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-49.190199999999997</v>
      </c>
      <c r="N54" s="30">
        <v>0.19725393483709272</v>
      </c>
      <c r="O54" s="29">
        <v>1</v>
      </c>
      <c r="R54" s="27">
        <v>242</v>
      </c>
      <c r="S54" s="28" t="s">
        <v>453</v>
      </c>
      <c r="T54" s="28" t="s">
        <v>383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-49.173699999999997</v>
      </c>
      <c r="AD54" s="30">
        <v>0.1971877694235589</v>
      </c>
      <c r="AE54" s="29">
        <v>1</v>
      </c>
    </row>
    <row r="55" spans="2:31" x14ac:dyDescent="0.2">
      <c r="B55" s="27">
        <v>242</v>
      </c>
      <c r="C55" s="28" t="s">
        <v>454</v>
      </c>
      <c r="D55" s="28" t="s">
        <v>385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57.9544</v>
      </c>
      <c r="N55" s="30">
        <v>0.23239859649122807</v>
      </c>
      <c r="O55" s="29">
        <v>1</v>
      </c>
      <c r="R55" s="27">
        <v>242</v>
      </c>
      <c r="S55" s="28" t="s">
        <v>454</v>
      </c>
      <c r="T55" s="28" t="s">
        <v>385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37.020400000000002</v>
      </c>
      <c r="AD55" s="30">
        <v>0.14845273182957394</v>
      </c>
      <c r="AE55" s="29">
        <v>1</v>
      </c>
    </row>
    <row r="56" spans="2:31" x14ac:dyDescent="0.2">
      <c r="B56" s="27">
        <v>243</v>
      </c>
      <c r="C56" s="28" t="s">
        <v>456</v>
      </c>
      <c r="D56" s="28" t="s">
        <v>383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-47.441600000000001</v>
      </c>
      <c r="N56" s="30">
        <v>0.19024200501253133</v>
      </c>
      <c r="O56" s="29">
        <v>1</v>
      </c>
      <c r="R56" s="27">
        <v>243</v>
      </c>
      <c r="S56" s="28" t="s">
        <v>456</v>
      </c>
      <c r="T56" s="28" t="s">
        <v>383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-47.426200000000001</v>
      </c>
      <c r="AD56" s="30">
        <v>0.19018025062656643</v>
      </c>
      <c r="AE56" s="29">
        <v>1</v>
      </c>
    </row>
    <row r="57" spans="2:31" x14ac:dyDescent="0.2">
      <c r="B57" s="27">
        <v>243</v>
      </c>
      <c r="C57" s="28" t="s">
        <v>457</v>
      </c>
      <c r="D57" s="28" t="s">
        <v>385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57.9544</v>
      </c>
      <c r="N57" s="30">
        <v>0.23239859649122807</v>
      </c>
      <c r="O57" s="29">
        <v>1</v>
      </c>
      <c r="R57" s="27">
        <v>243</v>
      </c>
      <c r="S57" s="28" t="s">
        <v>457</v>
      </c>
      <c r="T57" s="28" t="s">
        <v>385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37.020400000000002</v>
      </c>
      <c r="AD57" s="30">
        <v>0.14845273182957394</v>
      </c>
      <c r="AE57" s="29">
        <v>1</v>
      </c>
    </row>
    <row r="58" spans="2:31" x14ac:dyDescent="0.2">
      <c r="B58" s="27">
        <v>213</v>
      </c>
      <c r="C58" s="28" t="s">
        <v>459</v>
      </c>
      <c r="D58" s="28" t="s">
        <v>383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-41.270400000000002</v>
      </c>
      <c r="N58" s="30">
        <v>0.16549533834586466</v>
      </c>
      <c r="O58" s="29">
        <v>1</v>
      </c>
      <c r="R58" s="27">
        <v>213</v>
      </c>
      <c r="S58" s="28" t="s">
        <v>459</v>
      </c>
      <c r="T58" s="28" t="s">
        <v>383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-41.264400000000002</v>
      </c>
      <c r="AD58" s="30">
        <v>0.16547127819548874</v>
      </c>
      <c r="AE58" s="29">
        <v>1</v>
      </c>
    </row>
    <row r="59" spans="2:31" x14ac:dyDescent="0.2">
      <c r="B59" s="27">
        <v>213</v>
      </c>
      <c r="C59" s="28" t="s">
        <v>460</v>
      </c>
      <c r="D59" s="28" t="s">
        <v>385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57.9544</v>
      </c>
      <c r="N59" s="30">
        <v>0.23239859649122807</v>
      </c>
      <c r="O59" s="29">
        <v>1</v>
      </c>
      <c r="R59" s="27">
        <v>213</v>
      </c>
      <c r="S59" s="28" t="s">
        <v>460</v>
      </c>
      <c r="T59" s="28" t="s">
        <v>385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37.020400000000002</v>
      </c>
      <c r="AD59" s="30">
        <v>0.14845273182957394</v>
      </c>
      <c r="AE59" s="29">
        <v>1</v>
      </c>
    </row>
    <row r="60" spans="2:31" x14ac:dyDescent="0.2">
      <c r="B60" s="27">
        <v>216</v>
      </c>
      <c r="C60" s="28" t="s">
        <v>462</v>
      </c>
      <c r="D60" s="28" t="s">
        <v>383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-58.665100000000002</v>
      </c>
      <c r="N60" s="30">
        <v>0.23524852130325816</v>
      </c>
      <c r="O60" s="29">
        <v>1</v>
      </c>
      <c r="R60" s="27">
        <v>216</v>
      </c>
      <c r="S60" s="28" t="s">
        <v>462</v>
      </c>
      <c r="T60" s="28" t="s">
        <v>383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-58.661200000000001</v>
      </c>
      <c r="AD60" s="30">
        <v>0.2352328822055138</v>
      </c>
      <c r="AE60" s="29">
        <v>1</v>
      </c>
    </row>
    <row r="61" spans="2:31" x14ac:dyDescent="0.2">
      <c r="B61" s="27">
        <v>216</v>
      </c>
      <c r="C61" s="28" t="s">
        <v>463</v>
      </c>
      <c r="D61" s="28" t="s">
        <v>385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57.9544</v>
      </c>
      <c r="N61" s="30">
        <v>0.23239859649122807</v>
      </c>
      <c r="O61" s="29">
        <v>1</v>
      </c>
      <c r="R61" s="27">
        <v>216</v>
      </c>
      <c r="S61" s="28" t="s">
        <v>463</v>
      </c>
      <c r="T61" s="28" t="s">
        <v>385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37.020400000000002</v>
      </c>
      <c r="AD61" s="30">
        <v>0.14845273182957394</v>
      </c>
      <c r="AE61" s="29">
        <v>1</v>
      </c>
    </row>
    <row r="62" spans="2:31" x14ac:dyDescent="0.2">
      <c r="B62" s="27">
        <v>219</v>
      </c>
      <c r="C62" s="28" t="s">
        <v>465</v>
      </c>
      <c r="D62" s="28" t="s">
        <v>383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-58.5809</v>
      </c>
      <c r="N62" s="30">
        <v>0.23491087719298245</v>
      </c>
      <c r="O62" s="29">
        <v>1</v>
      </c>
      <c r="R62" s="27">
        <v>219</v>
      </c>
      <c r="S62" s="28" t="s">
        <v>465</v>
      </c>
      <c r="T62" s="28" t="s">
        <v>383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-58.577399999999997</v>
      </c>
      <c r="AD62" s="30">
        <v>0.23489684210526313</v>
      </c>
      <c r="AE62" s="29">
        <v>1</v>
      </c>
    </row>
    <row r="63" spans="2:31" x14ac:dyDescent="0.2">
      <c r="B63" s="27">
        <v>219</v>
      </c>
      <c r="C63" s="28" t="s">
        <v>466</v>
      </c>
      <c r="D63" s="28" t="s">
        <v>385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57.9544</v>
      </c>
      <c r="N63" s="30">
        <v>0.23239859649122807</v>
      </c>
      <c r="O63" s="29">
        <v>1</v>
      </c>
      <c r="R63" s="27">
        <v>219</v>
      </c>
      <c r="S63" s="28" t="s">
        <v>466</v>
      </c>
      <c r="T63" s="28" t="s">
        <v>385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37.020400000000002</v>
      </c>
      <c r="AD63" s="30">
        <v>0.14845273182957394</v>
      </c>
      <c r="AE63" s="29">
        <v>1</v>
      </c>
    </row>
    <row r="64" spans="2:31" x14ac:dyDescent="0.2">
      <c r="B64" s="27">
        <v>222</v>
      </c>
      <c r="C64" s="28" t="s">
        <v>468</v>
      </c>
      <c r="D64" s="28" t="s">
        <v>383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-58.972299999999997</v>
      </c>
      <c r="N64" s="30">
        <v>0.23648040100250625</v>
      </c>
      <c r="O64" s="29">
        <v>1</v>
      </c>
      <c r="R64" s="27">
        <v>222</v>
      </c>
      <c r="S64" s="28" t="s">
        <v>468</v>
      </c>
      <c r="T64" s="28" t="s">
        <v>383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-58.968200000000003</v>
      </c>
      <c r="AD64" s="30">
        <v>0.23646395989974939</v>
      </c>
      <c r="AE64" s="29">
        <v>1</v>
      </c>
    </row>
    <row r="65" spans="2:31" x14ac:dyDescent="0.2">
      <c r="B65" s="27">
        <v>222</v>
      </c>
      <c r="C65" s="28" t="s">
        <v>469</v>
      </c>
      <c r="D65" s="28" t="s">
        <v>385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57.9544</v>
      </c>
      <c r="N65" s="30">
        <v>0.23239859649122807</v>
      </c>
      <c r="O65" s="29">
        <v>1</v>
      </c>
      <c r="R65" s="27">
        <v>222</v>
      </c>
      <c r="S65" s="28" t="s">
        <v>469</v>
      </c>
      <c r="T65" s="28" t="s">
        <v>385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37.020400000000002</v>
      </c>
      <c r="AD65" s="30">
        <v>0.14845273182957394</v>
      </c>
      <c r="AE65" s="29">
        <v>1</v>
      </c>
    </row>
    <row r="66" spans="2:31" x14ac:dyDescent="0.2">
      <c r="B66" s="27">
        <v>225</v>
      </c>
      <c r="C66" s="28" t="s">
        <v>471</v>
      </c>
      <c r="D66" s="28" t="s">
        <v>383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-58.1813</v>
      </c>
      <c r="N66" s="30">
        <v>0.23330847117794487</v>
      </c>
      <c r="O66" s="29">
        <v>1</v>
      </c>
      <c r="R66" s="27">
        <v>225</v>
      </c>
      <c r="S66" s="28" t="s">
        <v>471</v>
      </c>
      <c r="T66" s="28" t="s">
        <v>383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-58.1783</v>
      </c>
      <c r="AD66" s="30">
        <v>0.23329644110275691</v>
      </c>
      <c r="AE66" s="29">
        <v>1</v>
      </c>
    </row>
    <row r="67" spans="2:31" x14ac:dyDescent="0.2">
      <c r="B67" s="27">
        <v>225</v>
      </c>
      <c r="C67" s="28" t="s">
        <v>472</v>
      </c>
      <c r="D67" s="28" t="s">
        <v>385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57.9544</v>
      </c>
      <c r="N67" s="30">
        <v>0.23239859649122807</v>
      </c>
      <c r="O67" s="29">
        <v>1</v>
      </c>
      <c r="R67" s="27">
        <v>225</v>
      </c>
      <c r="S67" s="28" t="s">
        <v>472</v>
      </c>
      <c r="T67" s="28" t="s">
        <v>385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37.020400000000002</v>
      </c>
      <c r="AD67" s="30">
        <v>0.14845273182957394</v>
      </c>
      <c r="AE67" s="29">
        <v>1</v>
      </c>
    </row>
    <row r="68" spans="2:31" x14ac:dyDescent="0.2">
      <c r="B68" s="27">
        <v>228</v>
      </c>
      <c r="C68" s="28" t="s">
        <v>474</v>
      </c>
      <c r="D68" s="28" t="s">
        <v>383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-37.8536</v>
      </c>
      <c r="N68" s="30">
        <v>0.15179388471177943</v>
      </c>
      <c r="O68" s="29">
        <v>1</v>
      </c>
      <c r="R68" s="27">
        <v>228</v>
      </c>
      <c r="S68" s="28" t="s">
        <v>474</v>
      </c>
      <c r="T68" s="28" t="s">
        <v>383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-37.853700000000003</v>
      </c>
      <c r="AD68" s="30">
        <v>0.15179428571428574</v>
      </c>
      <c r="AE68" s="29">
        <v>1</v>
      </c>
    </row>
    <row r="69" spans="2:31" x14ac:dyDescent="0.2">
      <c r="B69" s="27">
        <v>228</v>
      </c>
      <c r="C69" s="28" t="s">
        <v>475</v>
      </c>
      <c r="D69" s="28" t="s">
        <v>385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57.9544</v>
      </c>
      <c r="N69" s="30">
        <v>0.23239859649122807</v>
      </c>
      <c r="O69" s="29">
        <v>1</v>
      </c>
      <c r="R69" s="27">
        <v>228</v>
      </c>
      <c r="S69" s="28" t="s">
        <v>475</v>
      </c>
      <c r="T69" s="28" t="s">
        <v>385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37.020400000000002</v>
      </c>
      <c r="AD69" s="30">
        <v>0.14845273182957394</v>
      </c>
      <c r="AE69" s="29">
        <v>1</v>
      </c>
    </row>
    <row r="70" spans="2:31" x14ac:dyDescent="0.2">
      <c r="B70" s="27">
        <v>244</v>
      </c>
      <c r="C70" s="28" t="s">
        <v>477</v>
      </c>
      <c r="D70" s="28" t="s">
        <v>383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-29.2105</v>
      </c>
      <c r="N70" s="30">
        <v>0.11713483709273183</v>
      </c>
      <c r="O70" s="29">
        <v>1</v>
      </c>
      <c r="R70" s="27">
        <v>244</v>
      </c>
      <c r="S70" s="28" t="s">
        <v>477</v>
      </c>
      <c r="T70" s="28" t="s">
        <v>383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-29.1998</v>
      </c>
      <c r="AD70" s="30">
        <v>0.1170919298245614</v>
      </c>
      <c r="AE70" s="29">
        <v>1</v>
      </c>
    </row>
    <row r="71" spans="2:31" x14ac:dyDescent="0.2">
      <c r="B71" s="27">
        <v>244</v>
      </c>
      <c r="C71" s="28" t="s">
        <v>478</v>
      </c>
      <c r="D71" s="28" t="s">
        <v>385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57.9544</v>
      </c>
      <c r="N71" s="30">
        <v>0.23239859649122807</v>
      </c>
      <c r="O71" s="29">
        <v>1</v>
      </c>
      <c r="R71" s="27">
        <v>244</v>
      </c>
      <c r="S71" s="28" t="s">
        <v>478</v>
      </c>
      <c r="T71" s="28" t="s">
        <v>385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37.020400000000002</v>
      </c>
      <c r="AD71" s="30">
        <v>0.14845273182957394</v>
      </c>
      <c r="AE71" s="29">
        <v>1</v>
      </c>
    </row>
    <row r="72" spans="2:31" x14ac:dyDescent="0.2">
      <c r="B72" s="27">
        <v>245</v>
      </c>
      <c r="C72" s="28" t="s">
        <v>480</v>
      </c>
      <c r="D72" s="28" t="s">
        <v>383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-32.772300000000001</v>
      </c>
      <c r="N72" s="30">
        <v>0.13141774436090226</v>
      </c>
      <c r="O72" s="29">
        <v>1</v>
      </c>
      <c r="R72" s="27">
        <v>245</v>
      </c>
      <c r="S72" s="28" t="s">
        <v>480</v>
      </c>
      <c r="T72" s="28" t="s">
        <v>383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-32.760599999999997</v>
      </c>
      <c r="AD72" s="30">
        <v>0.13137082706766914</v>
      </c>
      <c r="AE72" s="29">
        <v>1</v>
      </c>
    </row>
    <row r="73" spans="2:31" x14ac:dyDescent="0.2">
      <c r="B73" s="27">
        <v>245</v>
      </c>
      <c r="C73" s="28" t="s">
        <v>481</v>
      </c>
      <c r="D73" s="28" t="s">
        <v>385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57.9544</v>
      </c>
      <c r="N73" s="30">
        <v>0.23239859649122807</v>
      </c>
      <c r="O73" s="29">
        <v>1</v>
      </c>
      <c r="R73" s="27">
        <v>245</v>
      </c>
      <c r="S73" s="28" t="s">
        <v>481</v>
      </c>
      <c r="T73" s="28" t="s">
        <v>385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37.020400000000002</v>
      </c>
      <c r="AD73" s="30">
        <v>0.14845273182957394</v>
      </c>
      <c r="AE73" s="29">
        <v>1</v>
      </c>
    </row>
    <row r="74" spans="2:31" x14ac:dyDescent="0.2">
      <c r="B74" s="27">
        <v>246</v>
      </c>
      <c r="C74" s="28" t="s">
        <v>482</v>
      </c>
      <c r="D74" s="28" t="s">
        <v>383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-31.8307</v>
      </c>
      <c r="N74" s="30">
        <v>0.12764190476190476</v>
      </c>
      <c r="O74" s="29">
        <v>1</v>
      </c>
      <c r="R74" s="27">
        <v>246</v>
      </c>
      <c r="S74" s="28" t="s">
        <v>482</v>
      </c>
      <c r="T74" s="28" t="s">
        <v>383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-31.818300000000001</v>
      </c>
      <c r="AD74" s="30">
        <v>0.12759218045112783</v>
      </c>
      <c r="AE74" s="29">
        <v>1</v>
      </c>
    </row>
    <row r="75" spans="2:31" x14ac:dyDescent="0.2">
      <c r="B75" s="27">
        <v>246</v>
      </c>
      <c r="C75" s="28" t="s">
        <v>483</v>
      </c>
      <c r="D75" s="28" t="s">
        <v>385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57.9544</v>
      </c>
      <c r="N75" s="30">
        <v>0.23239859649122807</v>
      </c>
      <c r="O75" s="29">
        <v>1</v>
      </c>
      <c r="R75" s="27">
        <v>246</v>
      </c>
      <c r="S75" s="28" t="s">
        <v>483</v>
      </c>
      <c r="T75" s="28" t="s">
        <v>385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37.020400000000002</v>
      </c>
      <c r="AD75" s="30">
        <v>0.14845273182957394</v>
      </c>
      <c r="AE75" s="29">
        <v>1</v>
      </c>
    </row>
    <row r="76" spans="2:31" x14ac:dyDescent="0.2">
      <c r="B76" s="27">
        <v>247</v>
      </c>
      <c r="C76" s="28" t="s">
        <v>484</v>
      </c>
      <c r="D76" s="28" t="s">
        <v>383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-31.262499999999999</v>
      </c>
      <c r="N76" s="30">
        <v>0.12536340852130326</v>
      </c>
      <c r="O76" s="29">
        <v>1</v>
      </c>
      <c r="R76" s="27">
        <v>247</v>
      </c>
      <c r="S76" s="28" t="s">
        <v>484</v>
      </c>
      <c r="T76" s="28" t="s">
        <v>383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-31.250399999999999</v>
      </c>
      <c r="AD76" s="30">
        <v>0.1253148872180451</v>
      </c>
      <c r="AE76" s="29">
        <v>1</v>
      </c>
    </row>
    <row r="77" spans="2:31" x14ac:dyDescent="0.2">
      <c r="B77" s="27">
        <v>247</v>
      </c>
      <c r="C77" s="28" t="s">
        <v>485</v>
      </c>
      <c r="D77" s="28" t="s">
        <v>385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57.9544</v>
      </c>
      <c r="N77" s="30">
        <v>0.23239859649122807</v>
      </c>
      <c r="O77" s="29">
        <v>1</v>
      </c>
      <c r="R77" s="27">
        <v>247</v>
      </c>
      <c r="S77" s="28" t="s">
        <v>485</v>
      </c>
      <c r="T77" s="28" t="s">
        <v>385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37.020400000000002</v>
      </c>
      <c r="AD77" s="30">
        <v>0.14845273182957394</v>
      </c>
      <c r="AE77" s="29">
        <v>1</v>
      </c>
    </row>
    <row r="78" spans="2:31" x14ac:dyDescent="0.2">
      <c r="B78" s="27">
        <v>248</v>
      </c>
      <c r="C78" s="28" t="s">
        <v>487</v>
      </c>
      <c r="D78" s="28" t="s">
        <v>383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-34.435400000000001</v>
      </c>
      <c r="N78" s="30">
        <v>0.13808681704260653</v>
      </c>
      <c r="O78" s="29">
        <v>1</v>
      </c>
      <c r="R78" s="27">
        <v>248</v>
      </c>
      <c r="S78" s="28" t="s">
        <v>487</v>
      </c>
      <c r="T78" s="28" t="s">
        <v>383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-34.424700000000001</v>
      </c>
      <c r="AD78" s="30">
        <v>0.13804390977443612</v>
      </c>
      <c r="AE78" s="29">
        <v>1</v>
      </c>
    </row>
    <row r="79" spans="2:31" x14ac:dyDescent="0.2">
      <c r="B79" s="27">
        <v>248</v>
      </c>
      <c r="C79" s="28" t="s">
        <v>488</v>
      </c>
      <c r="D79" s="28" t="s">
        <v>385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57.9544</v>
      </c>
      <c r="N79" s="30">
        <v>0.23239859649122807</v>
      </c>
      <c r="O79" s="29">
        <v>1</v>
      </c>
      <c r="R79" s="27">
        <v>248</v>
      </c>
      <c r="S79" s="28" t="s">
        <v>488</v>
      </c>
      <c r="T79" s="28" t="s">
        <v>385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37.020400000000002</v>
      </c>
      <c r="AD79" s="30">
        <v>0.14845273182957394</v>
      </c>
      <c r="AE79" s="29">
        <v>1</v>
      </c>
    </row>
    <row r="80" spans="2:31" x14ac:dyDescent="0.2">
      <c r="B80" s="27">
        <v>291</v>
      </c>
      <c r="C80" s="28" t="s">
        <v>490</v>
      </c>
      <c r="D80" s="28" t="s">
        <v>383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-45.769500000000001</v>
      </c>
      <c r="N80" s="30">
        <v>0.18353684210526316</v>
      </c>
      <c r="O80" s="29">
        <v>1</v>
      </c>
      <c r="R80" s="27">
        <v>291</v>
      </c>
      <c r="S80" s="28" t="s">
        <v>490</v>
      </c>
      <c r="T80" s="28" t="s">
        <v>383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-45.755099999999999</v>
      </c>
      <c r="AD80" s="30">
        <v>0.18347909774436089</v>
      </c>
      <c r="AE80" s="29">
        <v>1</v>
      </c>
    </row>
    <row r="81" spans="2:31" x14ac:dyDescent="0.2">
      <c r="B81" s="27">
        <v>291</v>
      </c>
      <c r="C81" s="28" t="s">
        <v>491</v>
      </c>
      <c r="D81" s="28" t="s">
        <v>385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57.9544</v>
      </c>
      <c r="N81" s="30">
        <v>0.23239859649122807</v>
      </c>
      <c r="O81" s="29">
        <v>1</v>
      </c>
      <c r="R81" s="27">
        <v>291</v>
      </c>
      <c r="S81" s="28" t="s">
        <v>491</v>
      </c>
      <c r="T81" s="28" t="s">
        <v>385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37.020400000000002</v>
      </c>
      <c r="AD81" s="30">
        <v>0.14845273182957394</v>
      </c>
      <c r="AE81" s="29">
        <v>1</v>
      </c>
    </row>
    <row r="82" spans="2:31" x14ac:dyDescent="0.2">
      <c r="B82" s="27">
        <v>292</v>
      </c>
      <c r="C82" s="28" t="s">
        <v>493</v>
      </c>
      <c r="D82" s="28" t="s">
        <v>383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-50.129100000000001</v>
      </c>
      <c r="N82" s="30">
        <v>0.20101894736842105</v>
      </c>
      <c r="O82" s="29">
        <v>1</v>
      </c>
      <c r="R82" s="27">
        <v>292</v>
      </c>
      <c r="S82" s="28" t="s">
        <v>493</v>
      </c>
      <c r="T82" s="28" t="s">
        <v>383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-50.112699999999997</v>
      </c>
      <c r="AD82" s="30">
        <v>0.20095318295739348</v>
      </c>
      <c r="AE82" s="29">
        <v>1</v>
      </c>
    </row>
    <row r="83" spans="2:31" x14ac:dyDescent="0.2">
      <c r="B83" s="27">
        <v>292</v>
      </c>
      <c r="C83" s="28" t="s">
        <v>494</v>
      </c>
      <c r="D83" s="28" t="s">
        <v>385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57.9544</v>
      </c>
      <c r="N83" s="30">
        <v>0.23239859649122807</v>
      </c>
      <c r="O83" s="29">
        <v>1</v>
      </c>
      <c r="R83" s="27">
        <v>292</v>
      </c>
      <c r="S83" s="28" t="s">
        <v>494</v>
      </c>
      <c r="T83" s="28" t="s">
        <v>385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37.020400000000002</v>
      </c>
      <c r="AD83" s="30">
        <v>0.14845273182957394</v>
      </c>
      <c r="AE83" s="29">
        <v>1</v>
      </c>
    </row>
    <row r="84" spans="2:31" x14ac:dyDescent="0.2">
      <c r="B84" s="27">
        <v>293</v>
      </c>
      <c r="C84" s="28" t="s">
        <v>495</v>
      </c>
      <c r="D84" s="28" t="s">
        <v>383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-47.697200000000002</v>
      </c>
      <c r="N84" s="30">
        <v>0.19126696741854637</v>
      </c>
      <c r="O84" s="29">
        <v>1</v>
      </c>
      <c r="R84" s="27">
        <v>293</v>
      </c>
      <c r="S84" s="28" t="s">
        <v>495</v>
      </c>
      <c r="T84" s="28" t="s">
        <v>383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-47.680500000000002</v>
      </c>
      <c r="AD84" s="30">
        <v>0.19120000000000001</v>
      </c>
      <c r="AE84" s="29">
        <v>1</v>
      </c>
    </row>
    <row r="85" spans="2:31" x14ac:dyDescent="0.2">
      <c r="B85" s="27">
        <v>293</v>
      </c>
      <c r="C85" s="28" t="s">
        <v>496</v>
      </c>
      <c r="D85" s="28" t="s">
        <v>385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57.9544</v>
      </c>
      <c r="N85" s="30">
        <v>0.23239859649122807</v>
      </c>
      <c r="O85" s="29">
        <v>1</v>
      </c>
      <c r="R85" s="27">
        <v>293</v>
      </c>
      <c r="S85" s="28" t="s">
        <v>496</v>
      </c>
      <c r="T85" s="28" t="s">
        <v>385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37.020400000000002</v>
      </c>
      <c r="AD85" s="30">
        <v>0.14845273182957394</v>
      </c>
      <c r="AE85" s="29">
        <v>1</v>
      </c>
    </row>
    <row r="86" spans="2:31" x14ac:dyDescent="0.2">
      <c r="B86" s="27">
        <v>294</v>
      </c>
      <c r="C86" s="28" t="s">
        <v>497</v>
      </c>
      <c r="D86" s="28" t="s">
        <v>383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-47.088299999999997</v>
      </c>
      <c r="N86" s="30">
        <v>0.18882526315789472</v>
      </c>
      <c r="O86" s="29">
        <v>1</v>
      </c>
      <c r="R86" s="27">
        <v>294</v>
      </c>
      <c r="S86" s="28" t="s">
        <v>497</v>
      </c>
      <c r="T86" s="28" t="s">
        <v>383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-47.0717</v>
      </c>
      <c r="AD86" s="30">
        <v>0.18875869674185464</v>
      </c>
      <c r="AE86" s="29">
        <v>1</v>
      </c>
    </row>
    <row r="87" spans="2:31" x14ac:dyDescent="0.2">
      <c r="B87" s="27">
        <v>294</v>
      </c>
      <c r="C87" s="28" t="s">
        <v>498</v>
      </c>
      <c r="D87" s="28" t="s">
        <v>385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57.9544</v>
      </c>
      <c r="N87" s="30">
        <v>0.23239859649122807</v>
      </c>
      <c r="O87" s="29">
        <v>1</v>
      </c>
      <c r="R87" s="27">
        <v>294</v>
      </c>
      <c r="S87" s="28" t="s">
        <v>498</v>
      </c>
      <c r="T87" s="28" t="s">
        <v>385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37.020400000000002</v>
      </c>
      <c r="AD87" s="30">
        <v>0.14845273182957394</v>
      </c>
      <c r="AE87" s="29">
        <v>1</v>
      </c>
    </row>
    <row r="88" spans="2:31" x14ac:dyDescent="0.2">
      <c r="B88" s="27">
        <v>295</v>
      </c>
      <c r="C88" s="28" t="s">
        <v>500</v>
      </c>
      <c r="D88" s="28" t="s">
        <v>383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-51.166699999999999</v>
      </c>
      <c r="N88" s="30">
        <v>0.20517974937343358</v>
      </c>
      <c r="O88" s="29">
        <v>1</v>
      </c>
      <c r="R88" s="27">
        <v>295</v>
      </c>
      <c r="S88" s="28" t="s">
        <v>500</v>
      </c>
      <c r="T88" s="28" t="s">
        <v>383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-51.152000000000001</v>
      </c>
      <c r="AD88" s="30">
        <v>0.20512080200501254</v>
      </c>
      <c r="AE88" s="29">
        <v>1</v>
      </c>
    </row>
    <row r="89" spans="2:31" x14ac:dyDescent="0.2">
      <c r="B89" s="27">
        <v>295</v>
      </c>
      <c r="C89" s="28" t="s">
        <v>501</v>
      </c>
      <c r="D89" s="28" t="s">
        <v>385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57.9544</v>
      </c>
      <c r="N89" s="30">
        <v>0.23239859649122807</v>
      </c>
      <c r="O89" s="29">
        <v>1</v>
      </c>
      <c r="R89" s="27">
        <v>295</v>
      </c>
      <c r="S89" s="28" t="s">
        <v>501</v>
      </c>
      <c r="T89" s="28" t="s">
        <v>385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37.020400000000002</v>
      </c>
      <c r="AD89" s="30">
        <v>0.14845273182957394</v>
      </c>
      <c r="AE89" s="29">
        <v>1</v>
      </c>
    </row>
    <row r="90" spans="2:31" x14ac:dyDescent="0.2">
      <c r="B90" s="27">
        <v>273</v>
      </c>
      <c r="C90" s="28" t="s">
        <v>503</v>
      </c>
      <c r="D90" s="28" t="s">
        <v>383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-57.193300000000001</v>
      </c>
      <c r="N90" s="30">
        <v>0.22934656641604012</v>
      </c>
      <c r="O90" s="29">
        <v>1</v>
      </c>
      <c r="R90" s="27">
        <v>273</v>
      </c>
      <c r="S90" s="28" t="s">
        <v>503</v>
      </c>
      <c r="T90" s="28" t="s">
        <v>383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-57.186100000000003</v>
      </c>
      <c r="AD90" s="30">
        <v>0.22931769423558901</v>
      </c>
      <c r="AE90" s="29">
        <v>1</v>
      </c>
    </row>
    <row r="91" spans="2:31" x14ac:dyDescent="0.2">
      <c r="B91" s="27">
        <v>273</v>
      </c>
      <c r="C91" s="28" t="s">
        <v>504</v>
      </c>
      <c r="D91" s="28" t="s">
        <v>385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57.9544</v>
      </c>
      <c r="N91" s="30">
        <v>0.23239859649122807</v>
      </c>
      <c r="O91" s="29">
        <v>1</v>
      </c>
      <c r="R91" s="27">
        <v>273</v>
      </c>
      <c r="S91" s="28" t="s">
        <v>504</v>
      </c>
      <c r="T91" s="28" t="s">
        <v>385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37.020400000000002</v>
      </c>
      <c r="AD91" s="30">
        <v>0.14845273182957394</v>
      </c>
      <c r="AE91" s="29">
        <v>1</v>
      </c>
    </row>
    <row r="92" spans="2:31" x14ac:dyDescent="0.2">
      <c r="B92" s="27">
        <v>276</v>
      </c>
      <c r="C92" s="28" t="s">
        <v>506</v>
      </c>
      <c r="D92" s="28" t="s">
        <v>383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-70.682000000000002</v>
      </c>
      <c r="N92" s="30">
        <v>0.28343659147869676</v>
      </c>
      <c r="O92" s="29">
        <v>1</v>
      </c>
      <c r="R92" s="27">
        <v>276</v>
      </c>
      <c r="S92" s="28" t="s">
        <v>506</v>
      </c>
      <c r="T92" s="28" t="s">
        <v>383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-70.674700000000001</v>
      </c>
      <c r="AD92" s="30">
        <v>0.28340731829573934</v>
      </c>
      <c r="AE92" s="29">
        <v>1</v>
      </c>
    </row>
    <row r="93" spans="2:31" x14ac:dyDescent="0.2">
      <c r="B93" s="27">
        <v>276</v>
      </c>
      <c r="C93" s="28" t="s">
        <v>507</v>
      </c>
      <c r="D93" s="28" t="s">
        <v>385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57.9544</v>
      </c>
      <c r="N93" s="30">
        <v>0.23239859649122807</v>
      </c>
      <c r="O93" s="29">
        <v>1</v>
      </c>
      <c r="R93" s="27">
        <v>276</v>
      </c>
      <c r="S93" s="28" t="s">
        <v>507</v>
      </c>
      <c r="T93" s="28" t="s">
        <v>385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37.020400000000002</v>
      </c>
      <c r="AD93" s="30">
        <v>0.14845273182957394</v>
      </c>
      <c r="AE93" s="29">
        <v>1</v>
      </c>
    </row>
    <row r="94" spans="2:31" x14ac:dyDescent="0.2">
      <c r="B94" s="27">
        <v>279</v>
      </c>
      <c r="C94" s="28" t="s">
        <v>509</v>
      </c>
      <c r="D94" s="28" t="s">
        <v>383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-70.688599999999994</v>
      </c>
      <c r="N94" s="30">
        <v>0.28346305764411023</v>
      </c>
      <c r="O94" s="29">
        <v>1</v>
      </c>
      <c r="R94" s="27">
        <v>279</v>
      </c>
      <c r="S94" s="28" t="s">
        <v>509</v>
      </c>
      <c r="T94" s="28" t="s">
        <v>383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-70.682400000000001</v>
      </c>
      <c r="AD94" s="30">
        <v>0.28343819548872179</v>
      </c>
      <c r="AE94" s="29">
        <v>1</v>
      </c>
    </row>
    <row r="95" spans="2:31" x14ac:dyDescent="0.2">
      <c r="B95" s="27">
        <v>279</v>
      </c>
      <c r="C95" s="28" t="s">
        <v>510</v>
      </c>
      <c r="D95" s="28" t="s">
        <v>385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57.9544</v>
      </c>
      <c r="N95" s="30">
        <v>0.23239859649122807</v>
      </c>
      <c r="O95" s="29">
        <v>1</v>
      </c>
      <c r="R95" s="27">
        <v>279</v>
      </c>
      <c r="S95" s="28" t="s">
        <v>510</v>
      </c>
      <c r="T95" s="28" t="s">
        <v>385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37.020400000000002</v>
      </c>
      <c r="AD95" s="30">
        <v>0.14845273182957394</v>
      </c>
      <c r="AE95" s="29">
        <v>1</v>
      </c>
    </row>
    <row r="96" spans="2:31" x14ac:dyDescent="0.2">
      <c r="B96" s="27">
        <v>282</v>
      </c>
      <c r="C96" s="28" t="s">
        <v>512</v>
      </c>
      <c r="D96" s="28" t="s">
        <v>383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-70.542599999999993</v>
      </c>
      <c r="N96" s="30">
        <v>0.28287759398496237</v>
      </c>
      <c r="O96" s="29">
        <v>1</v>
      </c>
      <c r="R96" s="27">
        <v>282</v>
      </c>
      <c r="S96" s="28" t="s">
        <v>512</v>
      </c>
      <c r="T96" s="28" t="s">
        <v>383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-70.537000000000006</v>
      </c>
      <c r="AD96" s="30">
        <v>0.28285513784461153</v>
      </c>
      <c r="AE96" s="29">
        <v>1</v>
      </c>
    </row>
    <row r="97" spans="2:31" x14ac:dyDescent="0.2">
      <c r="B97" s="27">
        <v>282</v>
      </c>
      <c r="C97" s="28" t="s">
        <v>513</v>
      </c>
      <c r="D97" s="28" t="s">
        <v>385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57.9544</v>
      </c>
      <c r="N97" s="30">
        <v>0.23239859649122807</v>
      </c>
      <c r="O97" s="29">
        <v>1</v>
      </c>
      <c r="R97" s="27">
        <v>282</v>
      </c>
      <c r="S97" s="28" t="s">
        <v>513</v>
      </c>
      <c r="T97" s="28" t="s">
        <v>385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37.020400000000002</v>
      </c>
      <c r="AD97" s="30">
        <v>0.14845273182957394</v>
      </c>
      <c r="AE97" s="29">
        <v>1</v>
      </c>
    </row>
    <row r="98" spans="2:31" x14ac:dyDescent="0.2">
      <c r="B98" s="27">
        <v>285</v>
      </c>
      <c r="C98" s="28" t="s">
        <v>515</v>
      </c>
      <c r="D98" s="28" t="s">
        <v>383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-71.536699999999996</v>
      </c>
      <c r="N98" s="30">
        <v>0.28686395989974939</v>
      </c>
      <c r="O98" s="29">
        <v>1</v>
      </c>
      <c r="R98" s="27">
        <v>285</v>
      </c>
      <c r="S98" s="28" t="s">
        <v>515</v>
      </c>
      <c r="T98" s="28" t="s">
        <v>383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-71.531599999999997</v>
      </c>
      <c r="AD98" s="30">
        <v>0.28684350877192977</v>
      </c>
      <c r="AE98" s="29">
        <v>1</v>
      </c>
    </row>
    <row r="99" spans="2:31" x14ac:dyDescent="0.2">
      <c r="B99" s="27">
        <v>285</v>
      </c>
      <c r="C99" s="28" t="s">
        <v>516</v>
      </c>
      <c r="D99" s="28" t="s">
        <v>385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57.9544</v>
      </c>
      <c r="N99" s="30">
        <v>0.23239859649122807</v>
      </c>
      <c r="O99" s="29">
        <v>1</v>
      </c>
      <c r="R99" s="27">
        <v>285</v>
      </c>
      <c r="S99" s="28" t="s">
        <v>516</v>
      </c>
      <c r="T99" s="28" t="s">
        <v>385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37.020400000000002</v>
      </c>
      <c r="AD99" s="30">
        <v>0.14845273182957394</v>
      </c>
      <c r="AE99" s="29">
        <v>1</v>
      </c>
    </row>
    <row r="100" spans="2:31" x14ac:dyDescent="0.2">
      <c r="B100" s="27">
        <v>288</v>
      </c>
      <c r="C100" s="28" t="s">
        <v>518</v>
      </c>
      <c r="D100" s="28" t="s">
        <v>383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-55.156999999999996</v>
      </c>
      <c r="N100" s="30">
        <v>0.22118095238095239</v>
      </c>
      <c r="O100" s="29">
        <v>1</v>
      </c>
      <c r="R100" s="27">
        <v>288</v>
      </c>
      <c r="S100" s="28" t="s">
        <v>518</v>
      </c>
      <c r="T100" s="28" t="s">
        <v>383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-55.155700000000003</v>
      </c>
      <c r="AD100" s="30">
        <v>0.22117573934837095</v>
      </c>
      <c r="AE100" s="29">
        <v>1</v>
      </c>
    </row>
    <row r="101" spans="2:31" x14ac:dyDescent="0.2">
      <c r="B101" s="27">
        <v>288</v>
      </c>
      <c r="C101" s="28" t="s">
        <v>519</v>
      </c>
      <c r="D101" s="28" t="s">
        <v>385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57.9544</v>
      </c>
      <c r="N101" s="30">
        <v>0.23239859649122807</v>
      </c>
      <c r="O101" s="29">
        <v>1</v>
      </c>
      <c r="R101" s="27">
        <v>288</v>
      </c>
      <c r="S101" s="28" t="s">
        <v>519</v>
      </c>
      <c r="T101" s="28" t="s">
        <v>385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37.020400000000002</v>
      </c>
      <c r="AD101" s="30">
        <v>0.14845273182957394</v>
      </c>
      <c r="AE101" s="29">
        <v>1</v>
      </c>
    </row>
    <row r="102" spans="2:31" x14ac:dyDescent="0.2">
      <c r="B102" s="27">
        <v>296</v>
      </c>
      <c r="C102" s="28" t="s">
        <v>521</v>
      </c>
      <c r="D102" s="28" t="s">
        <v>383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-59.281799999999997</v>
      </c>
      <c r="N102" s="30">
        <v>0.23772150375939849</v>
      </c>
      <c r="O102" s="29">
        <v>1</v>
      </c>
      <c r="R102" s="27">
        <v>296</v>
      </c>
      <c r="S102" s="28" t="s">
        <v>521</v>
      </c>
      <c r="T102" s="28" t="s">
        <v>383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-59.261800000000001</v>
      </c>
      <c r="AD102" s="30">
        <v>0.23764130325814536</v>
      </c>
      <c r="AE102" s="29">
        <v>1</v>
      </c>
    </row>
    <row r="103" spans="2:31" x14ac:dyDescent="0.2">
      <c r="B103" s="27">
        <v>296</v>
      </c>
      <c r="C103" s="28" t="s">
        <v>522</v>
      </c>
      <c r="D103" s="28" t="s">
        <v>385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57.9544</v>
      </c>
      <c r="N103" s="30">
        <v>0.23239859649122807</v>
      </c>
      <c r="O103" s="29">
        <v>1</v>
      </c>
      <c r="R103" s="27">
        <v>296</v>
      </c>
      <c r="S103" s="28" t="s">
        <v>522</v>
      </c>
      <c r="T103" s="28" t="s">
        <v>385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37.020400000000002</v>
      </c>
      <c r="AD103" s="30">
        <v>0.14845273182957394</v>
      </c>
      <c r="AE103" s="29">
        <v>1</v>
      </c>
    </row>
    <row r="104" spans="2:31" x14ac:dyDescent="0.2">
      <c r="B104" s="27">
        <v>297</v>
      </c>
      <c r="C104" s="28" t="s">
        <v>524</v>
      </c>
      <c r="D104" s="28" t="s">
        <v>383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-55.777099999999997</v>
      </c>
      <c r="N104" s="30">
        <v>0.22366756892230577</v>
      </c>
      <c r="O104" s="29">
        <v>1</v>
      </c>
      <c r="R104" s="27">
        <v>297</v>
      </c>
      <c r="S104" s="28" t="s">
        <v>524</v>
      </c>
      <c r="T104" s="28" t="s">
        <v>383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-55.7592</v>
      </c>
      <c r="AD104" s="30">
        <v>0.22359578947368419</v>
      </c>
      <c r="AE104" s="29">
        <v>1</v>
      </c>
    </row>
    <row r="105" spans="2:31" x14ac:dyDescent="0.2">
      <c r="B105" s="27">
        <v>297</v>
      </c>
      <c r="C105" s="28" t="s">
        <v>525</v>
      </c>
      <c r="D105" s="28" t="s">
        <v>385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57.9544</v>
      </c>
      <c r="N105" s="30">
        <v>0.23239859649122807</v>
      </c>
      <c r="O105" s="29">
        <v>1</v>
      </c>
      <c r="R105" s="27">
        <v>297</v>
      </c>
      <c r="S105" s="28" t="s">
        <v>525</v>
      </c>
      <c r="T105" s="28" t="s">
        <v>385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37.020400000000002</v>
      </c>
      <c r="AD105" s="30">
        <v>0.14845273182957394</v>
      </c>
      <c r="AE105" s="29">
        <v>1</v>
      </c>
    </row>
    <row r="106" spans="2:31" x14ac:dyDescent="0.2">
      <c r="B106" s="27">
        <v>298</v>
      </c>
      <c r="C106" s="28" t="s">
        <v>526</v>
      </c>
      <c r="D106" s="28" t="s">
        <v>383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-59.133299999999998</v>
      </c>
      <c r="N106" s="30">
        <v>0.23712601503759398</v>
      </c>
      <c r="O106" s="29">
        <v>1</v>
      </c>
      <c r="R106" s="27">
        <v>298</v>
      </c>
      <c r="S106" s="28" t="s">
        <v>526</v>
      </c>
      <c r="T106" s="28" t="s">
        <v>383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-59.1158</v>
      </c>
      <c r="AD106" s="30">
        <v>0.23705583959899751</v>
      </c>
      <c r="AE106" s="29">
        <v>1</v>
      </c>
    </row>
    <row r="107" spans="2:31" x14ac:dyDescent="0.2">
      <c r="B107" s="27">
        <v>298</v>
      </c>
      <c r="C107" s="28" t="s">
        <v>527</v>
      </c>
      <c r="D107" s="28" t="s">
        <v>385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57.9544</v>
      </c>
      <c r="N107" s="30">
        <v>0.23239859649122807</v>
      </c>
      <c r="O107" s="29">
        <v>1</v>
      </c>
      <c r="R107" s="27">
        <v>298</v>
      </c>
      <c r="S107" s="28" t="s">
        <v>527</v>
      </c>
      <c r="T107" s="28" t="s">
        <v>385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37.020400000000002</v>
      </c>
      <c r="AD107" s="30">
        <v>0.14845273182957394</v>
      </c>
      <c r="AE107" s="29">
        <v>1</v>
      </c>
    </row>
    <row r="108" spans="2:31" x14ac:dyDescent="0.2">
      <c r="B108" s="27">
        <v>299</v>
      </c>
      <c r="C108" s="28" t="s">
        <v>528</v>
      </c>
      <c r="D108" s="28" t="s">
        <v>383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-58.969099999999997</v>
      </c>
      <c r="N108" s="30">
        <v>0.23646756892230575</v>
      </c>
      <c r="O108" s="29">
        <v>1</v>
      </c>
      <c r="R108" s="27">
        <v>299</v>
      </c>
      <c r="S108" s="28" t="s">
        <v>528</v>
      </c>
      <c r="T108" s="28" t="s">
        <v>383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-58.95</v>
      </c>
      <c r="AD108" s="30">
        <v>0.23639097744360901</v>
      </c>
      <c r="AE108" s="29">
        <v>1</v>
      </c>
    </row>
    <row r="109" spans="2:31" x14ac:dyDescent="0.2">
      <c r="B109" s="27">
        <v>299</v>
      </c>
      <c r="C109" s="28" t="s">
        <v>529</v>
      </c>
      <c r="D109" s="28" t="s">
        <v>385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57.9544</v>
      </c>
      <c r="N109" s="30">
        <v>0.23239859649122807</v>
      </c>
      <c r="O109" s="29">
        <v>1</v>
      </c>
      <c r="R109" s="27">
        <v>299</v>
      </c>
      <c r="S109" s="28" t="s">
        <v>529</v>
      </c>
      <c r="T109" s="28" t="s">
        <v>385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37.020400000000002</v>
      </c>
      <c r="AD109" s="30">
        <v>0.14845273182957394</v>
      </c>
      <c r="AE109" s="29">
        <v>1</v>
      </c>
    </row>
    <row r="110" spans="2:31" x14ac:dyDescent="0.2">
      <c r="B110" s="27">
        <v>300</v>
      </c>
      <c r="C110" s="28" t="s">
        <v>531</v>
      </c>
      <c r="D110" s="28" t="s">
        <v>383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-58.474299999999999</v>
      </c>
      <c r="N110" s="30">
        <v>0.23448340852130328</v>
      </c>
      <c r="O110" s="29">
        <v>1</v>
      </c>
      <c r="R110" s="27">
        <v>300</v>
      </c>
      <c r="S110" s="28" t="s">
        <v>531</v>
      </c>
      <c r="T110" s="28" t="s">
        <v>383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-58.4557</v>
      </c>
      <c r="AD110" s="30">
        <v>0.23440882205513783</v>
      </c>
      <c r="AE110" s="29">
        <v>1</v>
      </c>
    </row>
    <row r="111" spans="2:31" x14ac:dyDescent="0.2">
      <c r="B111" s="27">
        <v>300</v>
      </c>
      <c r="C111" s="28" t="s">
        <v>532</v>
      </c>
      <c r="D111" s="28" t="s">
        <v>385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57.9544</v>
      </c>
      <c r="N111" s="30">
        <v>0.23239859649122807</v>
      </c>
      <c r="O111" s="29">
        <v>1</v>
      </c>
      <c r="R111" s="27">
        <v>300</v>
      </c>
      <c r="S111" s="28" t="s">
        <v>532</v>
      </c>
      <c r="T111" s="28" t="s">
        <v>385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37.020400000000002</v>
      </c>
      <c r="AD111" s="30">
        <v>0.14845273182957394</v>
      </c>
      <c r="AE111" s="29">
        <v>1</v>
      </c>
    </row>
    <row r="112" spans="2:31" x14ac:dyDescent="0.2">
      <c r="B112" s="27">
        <v>274</v>
      </c>
      <c r="C112" s="28" t="s">
        <v>534</v>
      </c>
      <c r="D112" s="28" t="s">
        <v>383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-57.173999999999999</v>
      </c>
      <c r="N112" s="30">
        <v>0.22926917293233082</v>
      </c>
      <c r="O112" s="29">
        <v>1</v>
      </c>
      <c r="R112" s="27">
        <v>274</v>
      </c>
      <c r="S112" s="28" t="s">
        <v>534</v>
      </c>
      <c r="T112" s="28" t="s">
        <v>383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-57.165700000000001</v>
      </c>
      <c r="AD112" s="30">
        <v>0.2292358897243108</v>
      </c>
      <c r="AE112" s="29">
        <v>1</v>
      </c>
    </row>
    <row r="113" spans="2:31" x14ac:dyDescent="0.2">
      <c r="B113" s="27">
        <v>274</v>
      </c>
      <c r="C113" s="28" t="s">
        <v>535</v>
      </c>
      <c r="D113" s="28" t="s">
        <v>385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57.9544</v>
      </c>
      <c r="N113" s="30">
        <v>0.23239859649122807</v>
      </c>
      <c r="O113" s="29">
        <v>1</v>
      </c>
      <c r="R113" s="27">
        <v>274</v>
      </c>
      <c r="S113" s="28" t="s">
        <v>535</v>
      </c>
      <c r="T113" s="28" t="s">
        <v>385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57.153500000000001</v>
      </c>
      <c r="AD113" s="30">
        <v>0.22918696741854636</v>
      </c>
      <c r="AE113" s="29">
        <v>1</v>
      </c>
    </row>
    <row r="114" spans="2:31" x14ac:dyDescent="0.2">
      <c r="B114" s="27">
        <v>277</v>
      </c>
      <c r="C114" s="28" t="s">
        <v>537</v>
      </c>
      <c r="D114" s="28" t="s">
        <v>383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-74.322199999999995</v>
      </c>
      <c r="N114" s="30">
        <v>0.29803388471177944</v>
      </c>
      <c r="O114" s="29">
        <v>1</v>
      </c>
      <c r="R114" s="27">
        <v>277</v>
      </c>
      <c r="S114" s="28" t="s">
        <v>537</v>
      </c>
      <c r="T114" s="28" t="s">
        <v>383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-74.315600000000003</v>
      </c>
      <c r="AD114" s="30">
        <v>0.29800741854636592</v>
      </c>
      <c r="AE114" s="29">
        <v>1</v>
      </c>
    </row>
    <row r="115" spans="2:31" x14ac:dyDescent="0.2">
      <c r="B115" s="27">
        <v>277</v>
      </c>
      <c r="C115" s="28" t="s">
        <v>538</v>
      </c>
      <c r="D115" s="28" t="s">
        <v>385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74.302300000000002</v>
      </c>
      <c r="N115" s="30">
        <v>0.29795408521303257</v>
      </c>
      <c r="O115" s="29">
        <v>1</v>
      </c>
      <c r="R115" s="27">
        <v>277</v>
      </c>
      <c r="S115" s="28" t="s">
        <v>538</v>
      </c>
      <c r="T115" s="28" t="s">
        <v>385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57.153500000000001</v>
      </c>
      <c r="AD115" s="30">
        <v>0.22918696741854636</v>
      </c>
      <c r="AE115" s="29">
        <v>1</v>
      </c>
    </row>
    <row r="116" spans="2:31" x14ac:dyDescent="0.2">
      <c r="B116" s="27">
        <v>280</v>
      </c>
      <c r="C116" s="28" t="s">
        <v>540</v>
      </c>
      <c r="D116" s="28" t="s">
        <v>383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-68.964200000000005</v>
      </c>
      <c r="N116" s="30">
        <v>0.27654817042606522</v>
      </c>
      <c r="O116" s="29">
        <v>1</v>
      </c>
      <c r="R116" s="27">
        <v>280</v>
      </c>
      <c r="S116" s="28" t="s">
        <v>540</v>
      </c>
      <c r="T116" s="28" t="s">
        <v>383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-68.958299999999994</v>
      </c>
      <c r="AD116" s="30">
        <v>0.27652451127819544</v>
      </c>
      <c r="AE116" s="29">
        <v>1</v>
      </c>
    </row>
    <row r="117" spans="2:31" x14ac:dyDescent="0.2">
      <c r="B117" s="27">
        <v>280</v>
      </c>
      <c r="C117" s="28" t="s">
        <v>541</v>
      </c>
      <c r="D117" s="28" t="s">
        <v>385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74.302300000000002</v>
      </c>
      <c r="N117" s="30">
        <v>0.29795408521303257</v>
      </c>
      <c r="O117" s="29">
        <v>1</v>
      </c>
      <c r="R117" s="27">
        <v>280</v>
      </c>
      <c r="S117" s="28" t="s">
        <v>541</v>
      </c>
      <c r="T117" s="28" t="s">
        <v>385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68.9636</v>
      </c>
      <c r="AD117" s="30">
        <v>0.27654576441102757</v>
      </c>
      <c r="AE117" s="29">
        <v>1</v>
      </c>
    </row>
    <row r="118" spans="2:31" x14ac:dyDescent="0.2">
      <c r="B118" s="27">
        <v>283</v>
      </c>
      <c r="C118" s="28" t="s">
        <v>543</v>
      </c>
      <c r="D118" s="28" t="s">
        <v>383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-69.060500000000005</v>
      </c>
      <c r="N118" s="30">
        <v>0.27693433583959898</v>
      </c>
      <c r="O118" s="29">
        <v>1</v>
      </c>
      <c r="R118" s="27">
        <v>283</v>
      </c>
      <c r="S118" s="28" t="s">
        <v>543</v>
      </c>
      <c r="T118" s="28" t="s">
        <v>383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-69.054599999999994</v>
      </c>
      <c r="AD118" s="30">
        <v>0.27691067669172931</v>
      </c>
      <c r="AE118" s="29">
        <v>1</v>
      </c>
    </row>
    <row r="119" spans="2:31" x14ac:dyDescent="0.2">
      <c r="B119" s="27">
        <v>283</v>
      </c>
      <c r="C119" s="28" t="s">
        <v>544</v>
      </c>
      <c r="D119" s="28" t="s">
        <v>385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74.302300000000002</v>
      </c>
      <c r="N119" s="30">
        <v>0.29795408521303257</v>
      </c>
      <c r="O119" s="29">
        <v>1</v>
      </c>
      <c r="R119" s="27">
        <v>283</v>
      </c>
      <c r="S119" s="28" t="s">
        <v>544</v>
      </c>
      <c r="T119" s="28" t="s">
        <v>385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69.057000000000002</v>
      </c>
      <c r="AD119" s="30">
        <v>0.27692030075187968</v>
      </c>
      <c r="AE119" s="29">
        <v>1</v>
      </c>
    </row>
    <row r="120" spans="2:31" x14ac:dyDescent="0.2">
      <c r="B120" s="27">
        <v>286</v>
      </c>
      <c r="C120" s="28" t="s">
        <v>546</v>
      </c>
      <c r="D120" s="28" t="s">
        <v>383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-73.524100000000004</v>
      </c>
      <c r="N120" s="30">
        <v>0.2948334837092732</v>
      </c>
      <c r="O120" s="29">
        <v>1</v>
      </c>
      <c r="R120" s="27">
        <v>286</v>
      </c>
      <c r="S120" s="28" t="s">
        <v>546</v>
      </c>
      <c r="T120" s="28" t="s">
        <v>383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-73.518900000000002</v>
      </c>
      <c r="AD120" s="30">
        <v>0.29481263157894738</v>
      </c>
      <c r="AE120" s="29">
        <v>1</v>
      </c>
    </row>
    <row r="121" spans="2:31" x14ac:dyDescent="0.2">
      <c r="B121" s="27">
        <v>286</v>
      </c>
      <c r="C121" s="28" t="s">
        <v>547</v>
      </c>
      <c r="D121" s="28" t="s">
        <v>385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73.3506</v>
      </c>
      <c r="N121" s="30">
        <v>0.29413774436090229</v>
      </c>
      <c r="O121" s="29">
        <v>1</v>
      </c>
      <c r="R121" s="27">
        <v>286</v>
      </c>
      <c r="S121" s="28" t="s">
        <v>547</v>
      </c>
      <c r="T121" s="28" t="s">
        <v>385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69.057000000000002</v>
      </c>
      <c r="AD121" s="30">
        <v>0.27692030075187968</v>
      </c>
      <c r="AE121" s="29">
        <v>1</v>
      </c>
    </row>
    <row r="122" spans="2:31" x14ac:dyDescent="0.2">
      <c r="B122" s="27">
        <v>289</v>
      </c>
      <c r="C122" s="28" t="s">
        <v>549</v>
      </c>
      <c r="D122" s="28" t="s">
        <v>383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-52.320500000000003</v>
      </c>
      <c r="N122" s="30">
        <v>0.20980651629072683</v>
      </c>
      <c r="O122" s="29">
        <v>1</v>
      </c>
      <c r="R122" s="27">
        <v>289</v>
      </c>
      <c r="S122" s="28" t="s">
        <v>549</v>
      </c>
      <c r="T122" s="28" t="s">
        <v>383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-52.319200000000002</v>
      </c>
      <c r="AD122" s="30">
        <v>0.20980130325814539</v>
      </c>
      <c r="AE122" s="29">
        <v>1</v>
      </c>
    </row>
    <row r="123" spans="2:31" x14ac:dyDescent="0.2">
      <c r="B123" s="27">
        <v>289</v>
      </c>
      <c r="C123" s="28" t="s">
        <v>550</v>
      </c>
      <c r="D123" s="28" t="s">
        <v>385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73.3506</v>
      </c>
      <c r="N123" s="30">
        <v>0.29413774436090229</v>
      </c>
      <c r="O123" s="29">
        <v>1</v>
      </c>
      <c r="R123" s="27">
        <v>289</v>
      </c>
      <c r="S123" s="28" t="s">
        <v>550</v>
      </c>
      <c r="T123" s="28" t="s">
        <v>385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52.261099999999999</v>
      </c>
      <c r="AD123" s="30">
        <v>0.20956832080200502</v>
      </c>
      <c r="AE123" s="29">
        <v>1</v>
      </c>
    </row>
    <row r="124" spans="2:31" x14ac:dyDescent="0.2">
      <c r="B124" s="27">
        <v>301</v>
      </c>
      <c r="C124" s="28" t="s">
        <v>552</v>
      </c>
      <c r="D124" s="28" t="s">
        <v>383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-59.2973</v>
      </c>
      <c r="N124" s="30">
        <v>0.2377836591478697</v>
      </c>
      <c r="O124" s="29">
        <v>1</v>
      </c>
      <c r="R124" s="27">
        <v>301</v>
      </c>
      <c r="S124" s="28" t="s">
        <v>552</v>
      </c>
      <c r="T124" s="28" t="s">
        <v>383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-59.277299999999997</v>
      </c>
      <c r="AD124" s="30">
        <v>0.23770345864661652</v>
      </c>
      <c r="AE124" s="29">
        <v>1</v>
      </c>
    </row>
    <row r="125" spans="2:31" x14ac:dyDescent="0.2">
      <c r="B125" s="27">
        <v>301</v>
      </c>
      <c r="C125" s="28" t="s">
        <v>553</v>
      </c>
      <c r="D125" s="28" t="s">
        <v>385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73.3506</v>
      </c>
      <c r="N125" s="30">
        <v>0.29413774436090229</v>
      </c>
      <c r="O125" s="29">
        <v>1</v>
      </c>
      <c r="R125" s="27">
        <v>301</v>
      </c>
      <c r="S125" s="28" t="s">
        <v>553</v>
      </c>
      <c r="T125" s="28" t="s">
        <v>385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52.261099999999999</v>
      </c>
      <c r="AD125" s="30">
        <v>0.20956832080200502</v>
      </c>
      <c r="AE125" s="29">
        <v>1</v>
      </c>
    </row>
    <row r="126" spans="2:31" x14ac:dyDescent="0.2">
      <c r="B126" s="27">
        <v>302</v>
      </c>
      <c r="C126" s="28" t="s">
        <v>555</v>
      </c>
      <c r="D126" s="28" t="s">
        <v>383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-55.793900000000001</v>
      </c>
      <c r="N126" s="30">
        <v>0.22373493734335839</v>
      </c>
      <c r="O126" s="29">
        <v>1</v>
      </c>
      <c r="R126" s="27">
        <v>302</v>
      </c>
      <c r="S126" s="28" t="s">
        <v>555</v>
      </c>
      <c r="T126" s="28" t="s">
        <v>383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-55.775799999999997</v>
      </c>
      <c r="AD126" s="30">
        <v>0.2236623558897243</v>
      </c>
      <c r="AE126" s="29">
        <v>1</v>
      </c>
    </row>
    <row r="127" spans="2:31" x14ac:dyDescent="0.2">
      <c r="B127" s="27">
        <v>302</v>
      </c>
      <c r="C127" s="28" t="s">
        <v>556</v>
      </c>
      <c r="D127" s="28" t="s">
        <v>385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73.3506</v>
      </c>
      <c r="N127" s="30">
        <v>0.29413774436090229</v>
      </c>
      <c r="O127" s="29">
        <v>1</v>
      </c>
      <c r="R127" s="27">
        <v>302</v>
      </c>
      <c r="S127" s="28" t="s">
        <v>556</v>
      </c>
      <c r="T127" s="28" t="s">
        <v>385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52.261099999999999</v>
      </c>
      <c r="AD127" s="30">
        <v>0.20956832080200502</v>
      </c>
      <c r="AE127" s="29">
        <v>1</v>
      </c>
    </row>
    <row r="128" spans="2:31" x14ac:dyDescent="0.2">
      <c r="B128" s="27">
        <v>303</v>
      </c>
      <c r="C128" s="28" t="s">
        <v>557</v>
      </c>
      <c r="D128" s="28" t="s">
        <v>383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-59.157800000000002</v>
      </c>
      <c r="N128" s="30">
        <v>0.23722426065162908</v>
      </c>
      <c r="O128" s="29">
        <v>1</v>
      </c>
      <c r="R128" s="27">
        <v>303</v>
      </c>
      <c r="S128" s="28" t="s">
        <v>557</v>
      </c>
      <c r="T128" s="28" t="s">
        <v>383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-59.1402</v>
      </c>
      <c r="AD128" s="30">
        <v>0.23715368421052629</v>
      </c>
      <c r="AE128" s="29">
        <v>1</v>
      </c>
    </row>
    <row r="129" spans="2:31" x14ac:dyDescent="0.2">
      <c r="B129" s="27">
        <v>303</v>
      </c>
      <c r="C129" s="28" t="s">
        <v>558</v>
      </c>
      <c r="D129" s="28" t="s">
        <v>385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73.3506</v>
      </c>
      <c r="N129" s="30">
        <v>0.29413774436090229</v>
      </c>
      <c r="O129" s="29">
        <v>1</v>
      </c>
      <c r="R129" s="27">
        <v>303</v>
      </c>
      <c r="S129" s="28" t="s">
        <v>558</v>
      </c>
      <c r="T129" s="28" t="s">
        <v>385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52.261099999999999</v>
      </c>
      <c r="AD129" s="30">
        <v>0.20956832080200502</v>
      </c>
      <c r="AE129" s="29">
        <v>1</v>
      </c>
    </row>
    <row r="130" spans="2:31" x14ac:dyDescent="0.2">
      <c r="B130" s="27">
        <v>304</v>
      </c>
      <c r="C130" s="28" t="s">
        <v>559</v>
      </c>
      <c r="D130" s="28" t="s">
        <v>383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-59.057400000000001</v>
      </c>
      <c r="N130" s="30">
        <v>0.23682165413533834</v>
      </c>
      <c r="O130" s="29">
        <v>1</v>
      </c>
      <c r="R130" s="27">
        <v>304</v>
      </c>
      <c r="S130" s="28" t="s">
        <v>559</v>
      </c>
      <c r="T130" s="28" t="s">
        <v>383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-59.038200000000003</v>
      </c>
      <c r="AD130" s="30">
        <v>0.23674466165413535</v>
      </c>
      <c r="AE130" s="29">
        <v>1</v>
      </c>
    </row>
    <row r="131" spans="2:31" x14ac:dyDescent="0.2">
      <c r="B131" s="27">
        <v>304</v>
      </c>
      <c r="C131" s="28" t="s">
        <v>560</v>
      </c>
      <c r="D131" s="28" t="s">
        <v>385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73.3506</v>
      </c>
      <c r="N131" s="30">
        <v>0.29413774436090229</v>
      </c>
      <c r="O131" s="29">
        <v>1</v>
      </c>
      <c r="R131" s="27">
        <v>304</v>
      </c>
      <c r="S131" s="28" t="s">
        <v>560</v>
      </c>
      <c r="T131" s="28" t="s">
        <v>385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52.261099999999999</v>
      </c>
      <c r="AD131" s="30">
        <v>0.20956832080200502</v>
      </c>
      <c r="AE131" s="29">
        <v>1</v>
      </c>
    </row>
    <row r="132" spans="2:31" x14ac:dyDescent="0.2">
      <c r="B132" s="27">
        <v>305</v>
      </c>
      <c r="C132" s="28" t="s">
        <v>562</v>
      </c>
      <c r="D132" s="28" t="s">
        <v>383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-57.066899999999997</v>
      </c>
      <c r="N132" s="30">
        <v>0.22883969924812028</v>
      </c>
      <c r="O132" s="29">
        <v>1</v>
      </c>
      <c r="R132" s="27">
        <v>305</v>
      </c>
      <c r="S132" s="28" t="s">
        <v>562</v>
      </c>
      <c r="T132" s="28" t="s">
        <v>383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-57.048000000000002</v>
      </c>
      <c r="AD132" s="30">
        <v>0.22876390977443609</v>
      </c>
      <c r="AE132" s="29">
        <v>1</v>
      </c>
    </row>
    <row r="133" spans="2:31" x14ac:dyDescent="0.2">
      <c r="B133" s="27">
        <v>305</v>
      </c>
      <c r="C133" s="28" t="s">
        <v>563</v>
      </c>
      <c r="D133" s="28" t="s">
        <v>385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73.3506</v>
      </c>
      <c r="N133" s="30">
        <v>0.29413774436090229</v>
      </c>
      <c r="O133" s="29">
        <v>1</v>
      </c>
      <c r="R133" s="27">
        <v>305</v>
      </c>
      <c r="S133" s="28" t="s">
        <v>563</v>
      </c>
      <c r="T133" s="28" t="s">
        <v>385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52.261099999999999</v>
      </c>
      <c r="AD133" s="30">
        <v>0.20956832080200502</v>
      </c>
      <c r="AE133" s="29">
        <v>1</v>
      </c>
    </row>
    <row r="134" spans="2:31" x14ac:dyDescent="0.2">
      <c r="B134" s="27">
        <v>275</v>
      </c>
      <c r="C134" s="28" t="s">
        <v>565</v>
      </c>
      <c r="D134" s="28" t="s">
        <v>383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-57.788400000000003</v>
      </c>
      <c r="N134" s="30">
        <v>0.23173293233082706</v>
      </c>
      <c r="O134" s="29">
        <v>1</v>
      </c>
      <c r="R134" s="27">
        <v>275</v>
      </c>
      <c r="S134" s="28" t="s">
        <v>565</v>
      </c>
      <c r="T134" s="28" t="s">
        <v>383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-57.780299999999997</v>
      </c>
      <c r="AD134" s="30">
        <v>0.23170045112781953</v>
      </c>
      <c r="AE134" s="29">
        <v>1</v>
      </c>
    </row>
    <row r="135" spans="2:31" x14ac:dyDescent="0.2">
      <c r="B135" s="27">
        <v>275</v>
      </c>
      <c r="C135" s="28" t="s">
        <v>566</v>
      </c>
      <c r="D135" s="28" t="s">
        <v>385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73.3506</v>
      </c>
      <c r="N135" s="30">
        <v>0.29413774436090229</v>
      </c>
      <c r="O135" s="29">
        <v>1</v>
      </c>
      <c r="R135" s="27">
        <v>275</v>
      </c>
      <c r="S135" s="28" t="s">
        <v>566</v>
      </c>
      <c r="T135" s="28" t="s">
        <v>385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52.261099999999999</v>
      </c>
      <c r="AD135" s="30">
        <v>0.20956832080200502</v>
      </c>
      <c r="AE135" s="29">
        <v>1</v>
      </c>
    </row>
    <row r="136" spans="2:31" x14ac:dyDescent="0.2">
      <c r="B136" s="27">
        <v>278</v>
      </c>
      <c r="C136" s="28" t="s">
        <v>568</v>
      </c>
      <c r="D136" s="28" t="s">
        <v>383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-73.661699999999996</v>
      </c>
      <c r="N136" s="30">
        <v>0.29538526315789471</v>
      </c>
      <c r="O136" s="29">
        <v>1</v>
      </c>
      <c r="R136" s="27">
        <v>278</v>
      </c>
      <c r="S136" s="28" t="s">
        <v>568</v>
      </c>
      <c r="T136" s="28" t="s">
        <v>383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-73.6554</v>
      </c>
      <c r="AD136" s="30">
        <v>0.29535999999999996</v>
      </c>
      <c r="AE136" s="29">
        <v>1</v>
      </c>
    </row>
    <row r="137" spans="2:31" x14ac:dyDescent="0.2">
      <c r="B137" s="27">
        <v>278</v>
      </c>
      <c r="C137" s="28" t="s">
        <v>569</v>
      </c>
      <c r="D137" s="28" t="s">
        <v>385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73.3506</v>
      </c>
      <c r="N137" s="30">
        <v>0.29413774436090229</v>
      </c>
      <c r="O137" s="29">
        <v>1</v>
      </c>
      <c r="R137" s="27">
        <v>278</v>
      </c>
      <c r="S137" s="28" t="s">
        <v>569</v>
      </c>
      <c r="T137" s="28" t="s">
        <v>385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52.261099999999999</v>
      </c>
      <c r="AD137" s="30">
        <v>0.20956832080200502</v>
      </c>
      <c r="AE137" s="29">
        <v>1</v>
      </c>
    </row>
    <row r="138" spans="2:31" x14ac:dyDescent="0.2">
      <c r="B138" s="27">
        <v>281</v>
      </c>
      <c r="C138" s="28" t="s">
        <v>571</v>
      </c>
      <c r="D138" s="28" t="s">
        <v>383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-68.600200000000001</v>
      </c>
      <c r="N138" s="30">
        <v>0.27508852130325812</v>
      </c>
      <c r="O138" s="29">
        <v>1</v>
      </c>
      <c r="R138" s="27">
        <v>281</v>
      </c>
      <c r="S138" s="28" t="s">
        <v>571</v>
      </c>
      <c r="T138" s="28" t="s">
        <v>383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-68.5946</v>
      </c>
      <c r="AD138" s="30">
        <v>0.27506606516290727</v>
      </c>
      <c r="AE138" s="29">
        <v>1</v>
      </c>
    </row>
    <row r="139" spans="2:31" x14ac:dyDescent="0.2">
      <c r="B139" s="27">
        <v>281</v>
      </c>
      <c r="C139" s="28" t="s">
        <v>572</v>
      </c>
      <c r="D139" s="28" t="s">
        <v>385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73.3506</v>
      </c>
      <c r="N139" s="30">
        <v>0.29413774436090229</v>
      </c>
      <c r="O139" s="29">
        <v>1</v>
      </c>
      <c r="R139" s="27">
        <v>281</v>
      </c>
      <c r="S139" s="28" t="s">
        <v>572</v>
      </c>
      <c r="T139" s="28" t="s">
        <v>385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52.261099999999999</v>
      </c>
      <c r="AD139" s="30">
        <v>0.20956832080200502</v>
      </c>
      <c r="AE139" s="29">
        <v>1</v>
      </c>
    </row>
    <row r="140" spans="2:31" x14ac:dyDescent="0.2">
      <c r="B140" s="27">
        <v>284</v>
      </c>
      <c r="C140" s="28" t="s">
        <v>574</v>
      </c>
      <c r="D140" s="28" t="s">
        <v>383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-68.804500000000004</v>
      </c>
      <c r="N140" s="30">
        <v>0.27590776942355888</v>
      </c>
      <c r="O140" s="29">
        <v>1</v>
      </c>
      <c r="R140" s="27">
        <v>284</v>
      </c>
      <c r="S140" s="28" t="s">
        <v>574</v>
      </c>
      <c r="T140" s="28" t="s">
        <v>383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-68.7988</v>
      </c>
      <c r="AD140" s="30">
        <v>0.27588491228070178</v>
      </c>
      <c r="AE140" s="29">
        <v>1</v>
      </c>
    </row>
    <row r="141" spans="2:31" x14ac:dyDescent="0.2">
      <c r="B141" s="27">
        <v>284</v>
      </c>
      <c r="C141" s="28" t="s">
        <v>575</v>
      </c>
      <c r="D141" s="28" t="s">
        <v>385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73.3506</v>
      </c>
      <c r="N141" s="30">
        <v>0.29413774436090229</v>
      </c>
      <c r="O141" s="29">
        <v>1</v>
      </c>
      <c r="R141" s="27">
        <v>284</v>
      </c>
      <c r="S141" s="28" t="s">
        <v>575</v>
      </c>
      <c r="T141" s="28" t="s">
        <v>385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52.261099999999999</v>
      </c>
      <c r="AD141" s="30">
        <v>0.20956832080200502</v>
      </c>
      <c r="AE141" s="29">
        <v>1</v>
      </c>
    </row>
    <row r="142" spans="2:31" x14ac:dyDescent="0.2">
      <c r="B142" s="27">
        <v>287</v>
      </c>
      <c r="C142" s="28" t="s">
        <v>577</v>
      </c>
      <c r="D142" s="28" t="s">
        <v>383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-72.801500000000004</v>
      </c>
      <c r="N142" s="30">
        <v>0.29193583959899749</v>
      </c>
      <c r="O142" s="29">
        <v>1</v>
      </c>
      <c r="R142" s="27">
        <v>287</v>
      </c>
      <c r="S142" s="28" t="s">
        <v>577</v>
      </c>
      <c r="T142" s="28" t="s">
        <v>383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-72.796499999999995</v>
      </c>
      <c r="AD142" s="30">
        <v>0.29191578947368418</v>
      </c>
      <c r="AE142" s="29">
        <v>1</v>
      </c>
    </row>
    <row r="143" spans="2:31" x14ac:dyDescent="0.2">
      <c r="B143" s="27">
        <v>287</v>
      </c>
      <c r="C143" s="28" t="s">
        <v>578</v>
      </c>
      <c r="D143" s="28" t="s">
        <v>385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73.3506</v>
      </c>
      <c r="N143" s="30">
        <v>0.29413774436090229</v>
      </c>
      <c r="O143" s="29">
        <v>1</v>
      </c>
      <c r="R143" s="27">
        <v>287</v>
      </c>
      <c r="S143" s="28" t="s">
        <v>578</v>
      </c>
      <c r="T143" s="28" t="s">
        <v>385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52.261099999999999</v>
      </c>
      <c r="AD143" s="30">
        <v>0.20956832080200502</v>
      </c>
      <c r="AE143" s="29">
        <v>1</v>
      </c>
    </row>
    <row r="144" spans="2:31" x14ac:dyDescent="0.2">
      <c r="B144" s="27">
        <v>290</v>
      </c>
      <c r="C144" s="28" t="s">
        <v>580</v>
      </c>
      <c r="D144" s="28" t="s">
        <v>383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-52.717399999999998</v>
      </c>
      <c r="N144" s="30">
        <v>0.21139809523809522</v>
      </c>
      <c r="O144" s="29">
        <v>1</v>
      </c>
      <c r="R144" s="27">
        <v>290</v>
      </c>
      <c r="S144" s="28" t="s">
        <v>580</v>
      </c>
      <c r="T144" s="28" t="s">
        <v>383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-52.7166</v>
      </c>
      <c r="AD144" s="30">
        <v>0.21139488721804511</v>
      </c>
      <c r="AE144" s="29">
        <v>1</v>
      </c>
    </row>
    <row r="145" spans="2:31" x14ac:dyDescent="0.2">
      <c r="B145" s="27">
        <v>290</v>
      </c>
      <c r="C145" s="28" t="s">
        <v>581</v>
      </c>
      <c r="D145" s="28" t="s">
        <v>385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73.3506</v>
      </c>
      <c r="N145" s="30">
        <v>0.29413774436090229</v>
      </c>
      <c r="O145" s="29">
        <v>1</v>
      </c>
      <c r="R145" s="27">
        <v>290</v>
      </c>
      <c r="S145" s="28" t="s">
        <v>581</v>
      </c>
      <c r="T145" s="28" t="s">
        <v>385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52.261099999999999</v>
      </c>
      <c r="AD145" s="30">
        <v>0.20956832080200502</v>
      </c>
      <c r="AE145" s="29">
        <v>1</v>
      </c>
    </row>
    <row r="146" spans="2:31" x14ac:dyDescent="0.2">
      <c r="B146" s="27">
        <v>306</v>
      </c>
      <c r="C146" s="28" t="s">
        <v>583</v>
      </c>
      <c r="D146" s="28" t="s">
        <v>383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-45.797499999999999</v>
      </c>
      <c r="N146" s="30">
        <v>0.18364912280701753</v>
      </c>
      <c r="O146" s="29">
        <v>1</v>
      </c>
      <c r="R146" s="27">
        <v>306</v>
      </c>
      <c r="S146" s="28" t="s">
        <v>583</v>
      </c>
      <c r="T146" s="28" t="s">
        <v>383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-45.783200000000001</v>
      </c>
      <c r="AD146" s="30">
        <v>0.18359177944862157</v>
      </c>
      <c r="AE146" s="29">
        <v>1</v>
      </c>
    </row>
    <row r="147" spans="2:31" x14ac:dyDescent="0.2">
      <c r="B147" s="27">
        <v>306</v>
      </c>
      <c r="C147" s="28" t="s">
        <v>584</v>
      </c>
      <c r="D147" s="28" t="s">
        <v>385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73.3506</v>
      </c>
      <c r="N147" s="30">
        <v>0.29413774436090229</v>
      </c>
      <c r="O147" s="29">
        <v>1</v>
      </c>
      <c r="R147" s="27">
        <v>306</v>
      </c>
      <c r="S147" s="28" t="s">
        <v>584</v>
      </c>
      <c r="T147" s="28" t="s">
        <v>385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52.261099999999999</v>
      </c>
      <c r="AD147" s="30">
        <v>0.20956832080200502</v>
      </c>
      <c r="AE147" s="29">
        <v>1</v>
      </c>
    </row>
    <row r="148" spans="2:31" x14ac:dyDescent="0.2">
      <c r="B148" s="27">
        <v>307</v>
      </c>
      <c r="C148" s="28" t="s">
        <v>586</v>
      </c>
      <c r="D148" s="28" t="s">
        <v>383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-50.162599999999998</v>
      </c>
      <c r="N148" s="30">
        <v>0.20115328320802003</v>
      </c>
      <c r="O148" s="29">
        <v>1</v>
      </c>
      <c r="R148" s="27">
        <v>307</v>
      </c>
      <c r="S148" s="28" t="s">
        <v>586</v>
      </c>
      <c r="T148" s="28" t="s">
        <v>383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-50.146500000000003</v>
      </c>
      <c r="AD148" s="30">
        <v>0.20108872180451129</v>
      </c>
      <c r="AE148" s="29">
        <v>1</v>
      </c>
    </row>
    <row r="149" spans="2:31" x14ac:dyDescent="0.2">
      <c r="B149" s="27">
        <v>307</v>
      </c>
      <c r="C149" s="28" t="s">
        <v>587</v>
      </c>
      <c r="D149" s="28" t="s">
        <v>385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73.3506</v>
      </c>
      <c r="N149" s="30">
        <v>0.29413774436090229</v>
      </c>
      <c r="O149" s="29">
        <v>1</v>
      </c>
      <c r="R149" s="27">
        <v>307</v>
      </c>
      <c r="S149" s="28" t="s">
        <v>587</v>
      </c>
      <c r="T149" s="28" t="s">
        <v>385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52.261099999999999</v>
      </c>
      <c r="AD149" s="30">
        <v>0.20956832080200502</v>
      </c>
      <c r="AE149" s="29">
        <v>1</v>
      </c>
    </row>
    <row r="150" spans="2:31" x14ac:dyDescent="0.2">
      <c r="B150" s="27">
        <v>308</v>
      </c>
      <c r="C150" s="28" t="s">
        <v>588</v>
      </c>
      <c r="D150" s="28" t="s">
        <v>383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-47.740400000000001</v>
      </c>
      <c r="N150" s="30">
        <v>0.19144020050125313</v>
      </c>
      <c r="O150" s="29">
        <v>1</v>
      </c>
      <c r="R150" s="27">
        <v>308</v>
      </c>
      <c r="S150" s="28" t="s">
        <v>588</v>
      </c>
      <c r="T150" s="28" t="s">
        <v>383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-47.723999999999997</v>
      </c>
      <c r="AD150" s="30">
        <v>0.19137443609022556</v>
      </c>
      <c r="AE150" s="29">
        <v>1</v>
      </c>
    </row>
    <row r="151" spans="2:31" x14ac:dyDescent="0.2">
      <c r="B151" s="27">
        <v>308</v>
      </c>
      <c r="C151" s="28" t="s">
        <v>589</v>
      </c>
      <c r="D151" s="28" t="s">
        <v>385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73.3506</v>
      </c>
      <c r="N151" s="30">
        <v>0.29413774436090229</v>
      </c>
      <c r="O151" s="29">
        <v>1</v>
      </c>
      <c r="R151" s="27">
        <v>308</v>
      </c>
      <c r="S151" s="28" t="s">
        <v>589</v>
      </c>
      <c r="T151" s="28" t="s">
        <v>385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52.261099999999999</v>
      </c>
      <c r="AD151" s="30">
        <v>0.20956832080200502</v>
      </c>
      <c r="AE151" s="29">
        <v>1</v>
      </c>
    </row>
    <row r="152" spans="2:31" x14ac:dyDescent="0.2">
      <c r="B152" s="27">
        <v>309</v>
      </c>
      <c r="C152" s="28" t="s">
        <v>590</v>
      </c>
      <c r="D152" s="28" t="s">
        <v>383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-47.244199999999999</v>
      </c>
      <c r="N152" s="30">
        <v>0.18945042606516291</v>
      </c>
      <c r="O152" s="29">
        <v>1</v>
      </c>
      <c r="R152" s="27">
        <v>309</v>
      </c>
      <c r="S152" s="28" t="s">
        <v>590</v>
      </c>
      <c r="T152" s="28" t="s">
        <v>383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-47.227800000000002</v>
      </c>
      <c r="AD152" s="30">
        <v>0.18938466165413534</v>
      </c>
      <c r="AE152" s="29">
        <v>1</v>
      </c>
    </row>
    <row r="153" spans="2:31" x14ac:dyDescent="0.2">
      <c r="B153" s="27">
        <v>309</v>
      </c>
      <c r="C153" s="28" t="s">
        <v>591</v>
      </c>
      <c r="D153" s="28" t="s">
        <v>385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73.3506</v>
      </c>
      <c r="N153" s="30">
        <v>0.29413774436090229</v>
      </c>
      <c r="O153" s="29">
        <v>1</v>
      </c>
      <c r="R153" s="27">
        <v>309</v>
      </c>
      <c r="S153" s="28" t="s">
        <v>591</v>
      </c>
      <c r="T153" s="28" t="s">
        <v>385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52.261099999999999</v>
      </c>
      <c r="AD153" s="30">
        <v>0.20956832080200502</v>
      </c>
      <c r="AE153" s="29">
        <v>1</v>
      </c>
    </row>
    <row r="154" spans="2:31" x14ac:dyDescent="0.2">
      <c r="B154" s="27">
        <v>310</v>
      </c>
      <c r="C154" s="28" t="s">
        <v>593</v>
      </c>
      <c r="D154" s="28" t="s">
        <v>383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-49.3187</v>
      </c>
      <c r="N154" s="30">
        <v>0.19776922305764411</v>
      </c>
      <c r="O154" s="29">
        <v>1</v>
      </c>
      <c r="R154" s="27">
        <v>310</v>
      </c>
      <c r="S154" s="28" t="s">
        <v>593</v>
      </c>
      <c r="T154" s="28" t="s">
        <v>383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-49.304499999999997</v>
      </c>
      <c r="AD154" s="30">
        <v>0.19771228070175439</v>
      </c>
      <c r="AE154" s="29">
        <v>1</v>
      </c>
    </row>
    <row r="155" spans="2:31" x14ac:dyDescent="0.2">
      <c r="B155" s="27">
        <v>310</v>
      </c>
      <c r="C155" s="28" t="s">
        <v>594</v>
      </c>
      <c r="D155" s="28" t="s">
        <v>385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73.3506</v>
      </c>
      <c r="N155" s="30">
        <v>0.29413774436090229</v>
      </c>
      <c r="O155" s="29">
        <v>1</v>
      </c>
      <c r="R155" s="27">
        <v>310</v>
      </c>
      <c r="S155" s="28" t="s">
        <v>594</v>
      </c>
      <c r="T155" s="28" t="s">
        <v>385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52.261099999999999</v>
      </c>
      <c r="AD155" s="30">
        <v>0.20956832080200502</v>
      </c>
      <c r="AE155" s="29">
        <v>1</v>
      </c>
    </row>
    <row r="156" spans="2:31" x14ac:dyDescent="0.2">
      <c r="B156" s="27">
        <v>105</v>
      </c>
      <c r="C156" s="28" t="s">
        <v>596</v>
      </c>
      <c r="D156" s="28" t="s">
        <v>383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-49.0336</v>
      </c>
      <c r="N156" s="30">
        <v>0.19662596491228071</v>
      </c>
      <c r="O156" s="29">
        <v>1</v>
      </c>
      <c r="R156" s="27">
        <v>105</v>
      </c>
      <c r="S156" s="28" t="s">
        <v>596</v>
      </c>
      <c r="T156" s="28" t="s">
        <v>383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-49.026000000000003</v>
      </c>
      <c r="AD156" s="30">
        <v>0.19659548872180452</v>
      </c>
      <c r="AE156" s="29">
        <v>1</v>
      </c>
    </row>
    <row r="157" spans="2:31" x14ac:dyDescent="0.2">
      <c r="B157" s="27">
        <v>105</v>
      </c>
      <c r="C157" s="28" t="s">
        <v>597</v>
      </c>
      <c r="D157" s="28" t="s">
        <v>385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73.3506</v>
      </c>
      <c r="N157" s="30">
        <v>0.29413774436090229</v>
      </c>
      <c r="O157" s="29">
        <v>1</v>
      </c>
      <c r="R157" s="27">
        <v>105</v>
      </c>
      <c r="S157" s="28" t="s">
        <v>597</v>
      </c>
      <c r="T157" s="28" t="s">
        <v>385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52.261099999999999</v>
      </c>
      <c r="AD157" s="30">
        <v>0.20956832080200502</v>
      </c>
      <c r="AE157" s="29">
        <v>1</v>
      </c>
    </row>
    <row r="158" spans="2:31" x14ac:dyDescent="0.2">
      <c r="B158" s="27">
        <v>106</v>
      </c>
      <c r="C158" s="28" t="s">
        <v>599</v>
      </c>
      <c r="D158" s="28" t="s">
        <v>383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-54.011099999999999</v>
      </c>
      <c r="N158" s="30">
        <v>0.21658586466165414</v>
      </c>
      <c r="O158" s="29">
        <v>1</v>
      </c>
      <c r="R158" s="27">
        <v>106</v>
      </c>
      <c r="S158" s="28" t="s">
        <v>599</v>
      </c>
      <c r="T158" s="28" t="s">
        <v>383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-54.001800000000003</v>
      </c>
      <c r="AD158" s="30">
        <v>0.21654857142857145</v>
      </c>
      <c r="AE158" s="29">
        <v>1</v>
      </c>
    </row>
    <row r="159" spans="2:31" x14ac:dyDescent="0.2">
      <c r="B159" s="27">
        <v>106</v>
      </c>
      <c r="C159" s="28" t="s">
        <v>600</v>
      </c>
      <c r="D159" s="28" t="s">
        <v>385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73.3506</v>
      </c>
      <c r="N159" s="30">
        <v>0.29413774436090229</v>
      </c>
      <c r="O159" s="29">
        <v>1</v>
      </c>
      <c r="R159" s="27">
        <v>106</v>
      </c>
      <c r="S159" s="28" t="s">
        <v>600</v>
      </c>
      <c r="T159" s="28" t="s">
        <v>385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52.261099999999999</v>
      </c>
      <c r="AD159" s="30">
        <v>0.20956832080200502</v>
      </c>
      <c r="AE159" s="29">
        <v>1</v>
      </c>
    </row>
    <row r="160" spans="2:31" x14ac:dyDescent="0.2">
      <c r="B160" s="27">
        <v>107</v>
      </c>
      <c r="C160" s="28" t="s">
        <v>601</v>
      </c>
      <c r="D160" s="28" t="s">
        <v>383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-51.67</v>
      </c>
      <c r="N160" s="30">
        <v>0.20719799498746866</v>
      </c>
      <c r="O160" s="29">
        <v>1</v>
      </c>
      <c r="R160" s="27">
        <v>107</v>
      </c>
      <c r="S160" s="28" t="s">
        <v>601</v>
      </c>
      <c r="T160" s="28" t="s">
        <v>383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-51.660600000000002</v>
      </c>
      <c r="AD160" s="30">
        <v>0.20716030075187972</v>
      </c>
      <c r="AE160" s="29">
        <v>1</v>
      </c>
    </row>
    <row r="161" spans="2:31" x14ac:dyDescent="0.2">
      <c r="B161" s="27">
        <v>107</v>
      </c>
      <c r="C161" s="28" t="s">
        <v>602</v>
      </c>
      <c r="D161" s="28" t="s">
        <v>385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73.3506</v>
      </c>
      <c r="N161" s="30">
        <v>0.29413774436090229</v>
      </c>
      <c r="O161" s="29">
        <v>1</v>
      </c>
      <c r="R161" s="27">
        <v>107</v>
      </c>
      <c r="S161" s="28" t="s">
        <v>602</v>
      </c>
      <c r="T161" s="28" t="s">
        <v>385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52.261099999999999</v>
      </c>
      <c r="AD161" s="30">
        <v>0.20956832080200502</v>
      </c>
      <c r="AE161" s="29">
        <v>1</v>
      </c>
    </row>
    <row r="162" spans="2:31" x14ac:dyDescent="0.2">
      <c r="B162" s="27">
        <v>108</v>
      </c>
      <c r="C162" s="28" t="s">
        <v>603</v>
      </c>
      <c r="D162" s="28" t="s">
        <v>383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-50.954000000000001</v>
      </c>
      <c r="N162" s="30">
        <v>0.20432681704260652</v>
      </c>
      <c r="O162" s="29">
        <v>1</v>
      </c>
      <c r="R162" s="27">
        <v>108</v>
      </c>
      <c r="S162" s="28" t="s">
        <v>603</v>
      </c>
      <c r="T162" s="28" t="s">
        <v>383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-50.944699999999997</v>
      </c>
      <c r="AD162" s="30">
        <v>0.20428952380952381</v>
      </c>
      <c r="AE162" s="29">
        <v>1</v>
      </c>
    </row>
    <row r="163" spans="2:31" x14ac:dyDescent="0.2">
      <c r="B163" s="27">
        <v>108</v>
      </c>
      <c r="C163" s="28" t="s">
        <v>604</v>
      </c>
      <c r="D163" s="28" t="s">
        <v>385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73.3506</v>
      </c>
      <c r="N163" s="30">
        <v>0.29413774436090229</v>
      </c>
      <c r="O163" s="29">
        <v>1</v>
      </c>
      <c r="R163" s="27">
        <v>108</v>
      </c>
      <c r="S163" s="28" t="s">
        <v>604</v>
      </c>
      <c r="T163" s="28" t="s">
        <v>385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52.261099999999999</v>
      </c>
      <c r="AD163" s="30">
        <v>0.20956832080200502</v>
      </c>
      <c r="AE163" s="29">
        <v>1</v>
      </c>
    </row>
    <row r="164" spans="2:31" x14ac:dyDescent="0.2">
      <c r="B164" s="27">
        <v>109</v>
      </c>
      <c r="C164" s="28" t="s">
        <v>606</v>
      </c>
      <c r="D164" s="28" t="s">
        <v>383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-52.729300000000002</v>
      </c>
      <c r="N164" s="30">
        <v>0.21144581453634087</v>
      </c>
      <c r="O164" s="29">
        <v>1</v>
      </c>
      <c r="R164" s="27">
        <v>109</v>
      </c>
      <c r="S164" s="28" t="s">
        <v>606</v>
      </c>
      <c r="T164" s="28" t="s">
        <v>383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-52.721200000000003</v>
      </c>
      <c r="AD164" s="30">
        <v>0.21141333333333334</v>
      </c>
      <c r="AE164" s="29">
        <v>1</v>
      </c>
    </row>
    <row r="165" spans="2:31" x14ac:dyDescent="0.2">
      <c r="B165" s="27">
        <v>109</v>
      </c>
      <c r="C165" s="28" t="s">
        <v>607</v>
      </c>
      <c r="D165" s="28" t="s">
        <v>385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73.3506</v>
      </c>
      <c r="N165" s="30">
        <v>0.29413774436090229</v>
      </c>
      <c r="O165" s="29">
        <v>1</v>
      </c>
      <c r="R165" s="27">
        <v>109</v>
      </c>
      <c r="S165" s="28" t="s">
        <v>607</v>
      </c>
      <c r="T165" s="28" t="s">
        <v>385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52.261099999999999</v>
      </c>
      <c r="AD165" s="30">
        <v>0.20956832080200502</v>
      </c>
      <c r="AE165" s="29">
        <v>1</v>
      </c>
    </row>
    <row r="166" spans="2:31" x14ac:dyDescent="0.2">
      <c r="B166" s="27">
        <v>87</v>
      </c>
      <c r="C166" s="28" t="s">
        <v>609</v>
      </c>
      <c r="D166" s="28" t="s">
        <v>383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-57.817399999999999</v>
      </c>
      <c r="N166" s="30">
        <v>0.2318492230576441</v>
      </c>
      <c r="O166" s="29">
        <v>1</v>
      </c>
      <c r="R166" s="27">
        <v>87</v>
      </c>
      <c r="S166" s="28" t="s">
        <v>609</v>
      </c>
      <c r="T166" s="28" t="s">
        <v>383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-57.810699999999997</v>
      </c>
      <c r="AD166" s="30">
        <v>0.2318223558897243</v>
      </c>
      <c r="AE166" s="29">
        <v>1</v>
      </c>
    </row>
    <row r="167" spans="2:31" x14ac:dyDescent="0.2">
      <c r="B167" s="27">
        <v>87</v>
      </c>
      <c r="C167" s="28" t="s">
        <v>610</v>
      </c>
      <c r="D167" s="28" t="s">
        <v>385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73.3506</v>
      </c>
      <c r="N167" s="30">
        <v>0.29413774436090229</v>
      </c>
      <c r="O167" s="29">
        <v>1</v>
      </c>
      <c r="R167" s="27">
        <v>87</v>
      </c>
      <c r="S167" s="28" t="s">
        <v>610</v>
      </c>
      <c r="T167" s="28" t="s">
        <v>385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52.261099999999999</v>
      </c>
      <c r="AD167" s="30">
        <v>0.20956832080200502</v>
      </c>
      <c r="AE167" s="29">
        <v>1</v>
      </c>
    </row>
    <row r="168" spans="2:31" x14ac:dyDescent="0.2">
      <c r="B168" s="27">
        <v>90</v>
      </c>
      <c r="C168" s="28" t="s">
        <v>612</v>
      </c>
      <c r="D168" s="28" t="s">
        <v>383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-70.729799999999997</v>
      </c>
      <c r="N168" s="30">
        <v>0.28362827067669172</v>
      </c>
      <c r="O168" s="29">
        <v>1</v>
      </c>
      <c r="R168" s="27">
        <v>90</v>
      </c>
      <c r="S168" s="28" t="s">
        <v>612</v>
      </c>
      <c r="T168" s="28" t="s">
        <v>383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-70.721599999999995</v>
      </c>
      <c r="AD168" s="30">
        <v>0.28359538847117793</v>
      </c>
      <c r="AE168" s="29">
        <v>1</v>
      </c>
    </row>
    <row r="169" spans="2:31" x14ac:dyDescent="0.2">
      <c r="B169" s="27">
        <v>90</v>
      </c>
      <c r="C169" s="28" t="s">
        <v>613</v>
      </c>
      <c r="D169" s="28" t="s">
        <v>385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73.3506</v>
      </c>
      <c r="N169" s="30">
        <v>0.29413774436090229</v>
      </c>
      <c r="O169" s="29">
        <v>1</v>
      </c>
      <c r="R169" s="27">
        <v>90</v>
      </c>
      <c r="S169" s="28" t="s">
        <v>613</v>
      </c>
      <c r="T169" s="28" t="s">
        <v>385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52.261099999999999</v>
      </c>
      <c r="AD169" s="30">
        <v>0.20956832080200502</v>
      </c>
      <c r="AE169" s="29">
        <v>1</v>
      </c>
    </row>
    <row r="170" spans="2:31" x14ac:dyDescent="0.2">
      <c r="B170" s="27">
        <v>93</v>
      </c>
      <c r="C170" s="28" t="s">
        <v>615</v>
      </c>
      <c r="D170" s="28" t="s">
        <v>383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-70.3904</v>
      </c>
      <c r="N170" s="30">
        <v>0.28226726817042602</v>
      </c>
      <c r="O170" s="29">
        <v>1</v>
      </c>
      <c r="R170" s="27">
        <v>93</v>
      </c>
      <c r="S170" s="28" t="s">
        <v>615</v>
      </c>
      <c r="T170" s="28" t="s">
        <v>383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-70.382999999999996</v>
      </c>
      <c r="AD170" s="30">
        <v>0.2822375939849624</v>
      </c>
      <c r="AE170" s="29">
        <v>1</v>
      </c>
    </row>
    <row r="171" spans="2:31" x14ac:dyDescent="0.2">
      <c r="B171" s="27">
        <v>93</v>
      </c>
      <c r="C171" s="28" t="s">
        <v>616</v>
      </c>
      <c r="D171" s="28" t="s">
        <v>385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73.3506</v>
      </c>
      <c r="N171" s="30">
        <v>0.29413774436090229</v>
      </c>
      <c r="O171" s="29">
        <v>1</v>
      </c>
      <c r="R171" s="27">
        <v>93</v>
      </c>
      <c r="S171" s="28" t="s">
        <v>616</v>
      </c>
      <c r="T171" s="28" t="s">
        <v>385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52.261099999999999</v>
      </c>
      <c r="AD171" s="30">
        <v>0.20956832080200502</v>
      </c>
      <c r="AE171" s="29">
        <v>1</v>
      </c>
    </row>
    <row r="172" spans="2:31" x14ac:dyDescent="0.2">
      <c r="B172" s="27">
        <v>96</v>
      </c>
      <c r="C172" s="28" t="s">
        <v>618</v>
      </c>
      <c r="D172" s="28" t="s">
        <v>383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-69.708299999999994</v>
      </c>
      <c r="N172" s="30">
        <v>0.2795320300751879</v>
      </c>
      <c r="O172" s="29">
        <v>1</v>
      </c>
      <c r="R172" s="27">
        <v>96</v>
      </c>
      <c r="S172" s="28" t="s">
        <v>618</v>
      </c>
      <c r="T172" s="28" t="s">
        <v>383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-69.701300000000003</v>
      </c>
      <c r="AD172" s="30">
        <v>0.27950395989974941</v>
      </c>
      <c r="AE172" s="29">
        <v>1</v>
      </c>
    </row>
    <row r="173" spans="2:31" x14ac:dyDescent="0.2">
      <c r="B173" s="27">
        <v>96</v>
      </c>
      <c r="C173" s="28" t="s">
        <v>619</v>
      </c>
      <c r="D173" s="28" t="s">
        <v>385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73.3506</v>
      </c>
      <c r="N173" s="30">
        <v>0.29413774436090229</v>
      </c>
      <c r="O173" s="29">
        <v>1</v>
      </c>
      <c r="R173" s="27">
        <v>96</v>
      </c>
      <c r="S173" s="28" t="s">
        <v>619</v>
      </c>
      <c r="T173" s="28" t="s">
        <v>385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52.261099999999999</v>
      </c>
      <c r="AD173" s="30">
        <v>0.20956832080200502</v>
      </c>
      <c r="AE173" s="29">
        <v>1</v>
      </c>
    </row>
    <row r="174" spans="2:31" x14ac:dyDescent="0.2">
      <c r="B174" s="27">
        <v>99</v>
      </c>
      <c r="C174" s="28" t="s">
        <v>621</v>
      </c>
      <c r="D174" s="28" t="s">
        <v>383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-68.786100000000005</v>
      </c>
      <c r="N174" s="30">
        <v>0.27583398496240602</v>
      </c>
      <c r="O174" s="29">
        <v>1</v>
      </c>
      <c r="R174" s="27">
        <v>99</v>
      </c>
      <c r="S174" s="28" t="s">
        <v>621</v>
      </c>
      <c r="T174" s="28" t="s">
        <v>383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-68.779300000000006</v>
      </c>
      <c r="AD174" s="30">
        <v>0.27580671679197999</v>
      </c>
      <c r="AE174" s="29">
        <v>1</v>
      </c>
    </row>
    <row r="175" spans="2:31" x14ac:dyDescent="0.2">
      <c r="B175" s="27">
        <v>99</v>
      </c>
      <c r="C175" s="28" t="s">
        <v>622</v>
      </c>
      <c r="D175" s="28" t="s">
        <v>385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73.3506</v>
      </c>
      <c r="N175" s="30">
        <v>0.29413774436090229</v>
      </c>
      <c r="O175" s="29">
        <v>1</v>
      </c>
      <c r="R175" s="27">
        <v>99</v>
      </c>
      <c r="S175" s="28" t="s">
        <v>622</v>
      </c>
      <c r="T175" s="28" t="s">
        <v>385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52.261099999999999</v>
      </c>
      <c r="AD175" s="30">
        <v>0.20956832080200502</v>
      </c>
      <c r="AE175" s="29">
        <v>1</v>
      </c>
    </row>
    <row r="176" spans="2:31" x14ac:dyDescent="0.2">
      <c r="B176" s="27">
        <v>102</v>
      </c>
      <c r="C176" s="28" t="s">
        <v>624</v>
      </c>
      <c r="D176" s="28" t="s">
        <v>383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-52.081600000000002</v>
      </c>
      <c r="N176" s="30">
        <v>0.20884852130325815</v>
      </c>
      <c r="O176" s="29">
        <v>1</v>
      </c>
      <c r="R176" s="27">
        <v>102</v>
      </c>
      <c r="S176" s="28" t="s">
        <v>624</v>
      </c>
      <c r="T176" s="28" t="s">
        <v>383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-52.078000000000003</v>
      </c>
      <c r="AD176" s="30">
        <v>0.20883408521303259</v>
      </c>
      <c r="AE176" s="29">
        <v>1</v>
      </c>
    </row>
    <row r="177" spans="2:31" x14ac:dyDescent="0.2">
      <c r="B177" s="27">
        <v>102</v>
      </c>
      <c r="C177" s="28" t="s">
        <v>625</v>
      </c>
      <c r="D177" s="28" t="s">
        <v>385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73.3506</v>
      </c>
      <c r="N177" s="30">
        <v>0.29413774436090229</v>
      </c>
      <c r="O177" s="29">
        <v>1</v>
      </c>
      <c r="R177" s="27">
        <v>102</v>
      </c>
      <c r="S177" s="28" t="s">
        <v>625</v>
      </c>
      <c r="T177" s="28" t="s">
        <v>385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52.261099999999999</v>
      </c>
      <c r="AD177" s="30">
        <v>0.20956832080200502</v>
      </c>
      <c r="AE177" s="29">
        <v>1</v>
      </c>
    </row>
    <row r="178" spans="2:31" x14ac:dyDescent="0.2">
      <c r="B178" s="27">
        <v>110</v>
      </c>
      <c r="C178" s="28" t="s">
        <v>627</v>
      </c>
      <c r="D178" s="28" t="s">
        <v>383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-63.465600000000002</v>
      </c>
      <c r="N178" s="30">
        <v>0.25449864661654137</v>
      </c>
      <c r="O178" s="29">
        <v>1</v>
      </c>
      <c r="R178" s="27">
        <v>110</v>
      </c>
      <c r="S178" s="28" t="s">
        <v>627</v>
      </c>
      <c r="T178" s="28" t="s">
        <v>383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-63.454500000000003</v>
      </c>
      <c r="AD178" s="30">
        <v>0.25445413533834588</v>
      </c>
      <c r="AE178" s="29">
        <v>1</v>
      </c>
    </row>
    <row r="179" spans="2:31" x14ac:dyDescent="0.2">
      <c r="B179" s="27">
        <v>110</v>
      </c>
      <c r="C179" s="28" t="s">
        <v>628</v>
      </c>
      <c r="D179" s="28" t="s">
        <v>385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73.3506</v>
      </c>
      <c r="N179" s="30">
        <v>0.29413774436090229</v>
      </c>
      <c r="O179" s="29">
        <v>1</v>
      </c>
      <c r="R179" s="27">
        <v>110</v>
      </c>
      <c r="S179" s="28" t="s">
        <v>628</v>
      </c>
      <c r="T179" s="28" t="s">
        <v>385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52.261099999999999</v>
      </c>
      <c r="AD179" s="30">
        <v>0.20956832080200502</v>
      </c>
      <c r="AE179" s="29">
        <v>1</v>
      </c>
    </row>
    <row r="180" spans="2:31" x14ac:dyDescent="0.2">
      <c r="B180" s="27">
        <v>111</v>
      </c>
      <c r="C180" s="28" t="s">
        <v>630</v>
      </c>
      <c r="D180" s="28" t="s">
        <v>383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-60.022799999999997</v>
      </c>
      <c r="N180" s="30">
        <v>0.24069293233082706</v>
      </c>
      <c r="O180" s="29">
        <v>1</v>
      </c>
      <c r="R180" s="27">
        <v>111</v>
      </c>
      <c r="S180" s="28" t="s">
        <v>630</v>
      </c>
      <c r="T180" s="28" t="s">
        <v>383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-60.013199999999998</v>
      </c>
      <c r="AD180" s="30">
        <v>0.24065443609022555</v>
      </c>
      <c r="AE180" s="29">
        <v>1</v>
      </c>
    </row>
    <row r="181" spans="2:31" x14ac:dyDescent="0.2">
      <c r="B181" s="27">
        <v>111</v>
      </c>
      <c r="C181" s="28" t="s">
        <v>631</v>
      </c>
      <c r="D181" s="28" t="s">
        <v>385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73.3506</v>
      </c>
      <c r="N181" s="30">
        <v>0.29413774436090229</v>
      </c>
      <c r="O181" s="29">
        <v>1</v>
      </c>
      <c r="R181" s="27">
        <v>111</v>
      </c>
      <c r="S181" s="28" t="s">
        <v>631</v>
      </c>
      <c r="T181" s="28" t="s">
        <v>385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52.261099999999999</v>
      </c>
      <c r="AD181" s="30">
        <v>0.20956832080200502</v>
      </c>
      <c r="AE181" s="29">
        <v>1</v>
      </c>
    </row>
    <row r="182" spans="2:31" x14ac:dyDescent="0.2">
      <c r="B182" s="27">
        <v>112</v>
      </c>
      <c r="C182" s="28" t="s">
        <v>632</v>
      </c>
      <c r="D182" s="28" t="s">
        <v>383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-62.964500000000001</v>
      </c>
      <c r="N182" s="30">
        <v>0.2524892230576441</v>
      </c>
      <c r="O182" s="29">
        <v>1</v>
      </c>
      <c r="R182" s="27">
        <v>112</v>
      </c>
      <c r="S182" s="28" t="s">
        <v>632</v>
      </c>
      <c r="T182" s="28" t="s">
        <v>383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-62.955100000000002</v>
      </c>
      <c r="AD182" s="30">
        <v>0.25245152882205513</v>
      </c>
      <c r="AE182" s="29">
        <v>1</v>
      </c>
    </row>
    <row r="183" spans="2:31" x14ac:dyDescent="0.2">
      <c r="B183" s="27">
        <v>112</v>
      </c>
      <c r="C183" s="28" t="s">
        <v>633</v>
      </c>
      <c r="D183" s="28" t="s">
        <v>385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73.3506</v>
      </c>
      <c r="N183" s="30">
        <v>0.29413774436090229</v>
      </c>
      <c r="O183" s="29">
        <v>1</v>
      </c>
      <c r="R183" s="27">
        <v>112</v>
      </c>
      <c r="S183" s="28" t="s">
        <v>633</v>
      </c>
      <c r="T183" s="28" t="s">
        <v>385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52.261099999999999</v>
      </c>
      <c r="AD183" s="30">
        <v>0.20956832080200502</v>
      </c>
      <c r="AE183" s="29">
        <v>1</v>
      </c>
    </row>
    <row r="184" spans="2:31" x14ac:dyDescent="0.2">
      <c r="B184" s="27">
        <v>113</v>
      </c>
      <c r="C184" s="28" t="s">
        <v>634</v>
      </c>
      <c r="D184" s="28" t="s">
        <v>383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-63.3401</v>
      </c>
      <c r="N184" s="30">
        <v>0.25399538847117792</v>
      </c>
      <c r="O184" s="29">
        <v>1</v>
      </c>
      <c r="R184" s="27">
        <v>113</v>
      </c>
      <c r="S184" s="28" t="s">
        <v>634</v>
      </c>
      <c r="T184" s="28" t="s">
        <v>383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-63.329500000000003</v>
      </c>
      <c r="AD184" s="30">
        <v>0.25395288220551376</v>
      </c>
      <c r="AE184" s="29">
        <v>1</v>
      </c>
    </row>
    <row r="185" spans="2:31" x14ac:dyDescent="0.2">
      <c r="B185" s="27">
        <v>113</v>
      </c>
      <c r="C185" s="28" t="s">
        <v>635</v>
      </c>
      <c r="D185" s="28" t="s">
        <v>385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73.3506</v>
      </c>
      <c r="N185" s="30">
        <v>0.29413774436090229</v>
      </c>
      <c r="O185" s="29">
        <v>1</v>
      </c>
      <c r="R185" s="27">
        <v>113</v>
      </c>
      <c r="S185" s="28" t="s">
        <v>635</v>
      </c>
      <c r="T185" s="28" t="s">
        <v>385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52.261099999999999</v>
      </c>
      <c r="AD185" s="30">
        <v>0.20956832080200502</v>
      </c>
      <c r="AE185" s="29">
        <v>1</v>
      </c>
    </row>
    <row r="186" spans="2:31" x14ac:dyDescent="0.2">
      <c r="B186" s="27">
        <v>114</v>
      </c>
      <c r="C186" s="28" t="s">
        <v>637</v>
      </c>
      <c r="D186" s="28" t="s">
        <v>383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-61.8309</v>
      </c>
      <c r="N186" s="30">
        <v>0.24794345864661654</v>
      </c>
      <c r="O186" s="29">
        <v>1</v>
      </c>
      <c r="R186" s="27">
        <v>114</v>
      </c>
      <c r="S186" s="28" t="s">
        <v>637</v>
      </c>
      <c r="T186" s="28" t="s">
        <v>383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-61.820900000000002</v>
      </c>
      <c r="AD186" s="30">
        <v>0.24790335839598998</v>
      </c>
      <c r="AE186" s="29">
        <v>1</v>
      </c>
    </row>
    <row r="187" spans="2:31" x14ac:dyDescent="0.2">
      <c r="B187" s="27">
        <v>114</v>
      </c>
      <c r="C187" s="28" t="s">
        <v>638</v>
      </c>
      <c r="D187" s="28" t="s">
        <v>385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73.3506</v>
      </c>
      <c r="N187" s="30">
        <v>0.29413774436090229</v>
      </c>
      <c r="O187" s="29">
        <v>1</v>
      </c>
      <c r="R187" s="27">
        <v>114</v>
      </c>
      <c r="S187" s="28" t="s">
        <v>638</v>
      </c>
      <c r="T187" s="28" t="s">
        <v>385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52.261099999999999</v>
      </c>
      <c r="AD187" s="30">
        <v>0.20956832080200502</v>
      </c>
      <c r="AE187" s="29">
        <v>1</v>
      </c>
    </row>
    <row r="188" spans="2:31" x14ac:dyDescent="0.2">
      <c r="B188" s="27">
        <v>88</v>
      </c>
      <c r="C188" s="28" t="s">
        <v>640</v>
      </c>
      <c r="D188" s="28" t="s">
        <v>383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-57.89</v>
      </c>
      <c r="N188" s="30">
        <v>0.23214035087719298</v>
      </c>
      <c r="O188" s="29">
        <v>1</v>
      </c>
      <c r="R188" s="27">
        <v>88</v>
      </c>
      <c r="S188" s="28" t="s">
        <v>640</v>
      </c>
      <c r="T188" s="28" t="s">
        <v>383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-57.882100000000001</v>
      </c>
      <c r="AD188" s="30">
        <v>0.23210867167919799</v>
      </c>
      <c r="AE188" s="29">
        <v>1</v>
      </c>
    </row>
    <row r="189" spans="2:31" x14ac:dyDescent="0.2">
      <c r="B189" s="27">
        <v>88</v>
      </c>
      <c r="C189" s="28" t="s">
        <v>641</v>
      </c>
      <c r="D189" s="28" t="s">
        <v>385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73.3506</v>
      </c>
      <c r="N189" s="30">
        <v>0.29413774436090229</v>
      </c>
      <c r="O189" s="29">
        <v>1</v>
      </c>
      <c r="R189" s="27">
        <v>88</v>
      </c>
      <c r="S189" s="28" t="s">
        <v>641</v>
      </c>
      <c r="T189" s="28" t="s">
        <v>385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57.873600000000003</v>
      </c>
      <c r="AD189" s="30">
        <v>0.23207458646616544</v>
      </c>
      <c r="AE189" s="29">
        <v>1</v>
      </c>
    </row>
    <row r="190" spans="2:31" x14ac:dyDescent="0.2">
      <c r="B190" s="27">
        <v>91</v>
      </c>
      <c r="C190" s="28" t="s">
        <v>643</v>
      </c>
      <c r="D190" s="28" t="s">
        <v>383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-74.488900000000001</v>
      </c>
      <c r="N190" s="30">
        <v>0.29870235588972427</v>
      </c>
      <c r="O190" s="29">
        <v>1</v>
      </c>
      <c r="R190" s="27">
        <v>91</v>
      </c>
      <c r="S190" s="28" t="s">
        <v>643</v>
      </c>
      <c r="T190" s="28" t="s">
        <v>383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-74.481200000000001</v>
      </c>
      <c r="AD190" s="30">
        <v>0.29867147869674182</v>
      </c>
      <c r="AE190" s="29">
        <v>1</v>
      </c>
    </row>
    <row r="191" spans="2:31" x14ac:dyDescent="0.2">
      <c r="B191" s="27">
        <v>91</v>
      </c>
      <c r="C191" s="28" t="s">
        <v>644</v>
      </c>
      <c r="D191" s="28" t="s">
        <v>385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74.471699999999998</v>
      </c>
      <c r="N191" s="30">
        <v>0.2986333834586466</v>
      </c>
      <c r="O191" s="29">
        <v>1</v>
      </c>
      <c r="R191" s="27">
        <v>91</v>
      </c>
      <c r="S191" s="28" t="s">
        <v>644</v>
      </c>
      <c r="T191" s="28" t="s">
        <v>385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57.873600000000003</v>
      </c>
      <c r="AD191" s="30">
        <v>0.23207458646616544</v>
      </c>
      <c r="AE191" s="29">
        <v>1</v>
      </c>
    </row>
    <row r="192" spans="2:31" x14ac:dyDescent="0.2">
      <c r="B192" s="27">
        <v>94</v>
      </c>
      <c r="C192" s="28" t="s">
        <v>646</v>
      </c>
      <c r="D192" s="28" t="s">
        <v>383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-68.921099999999996</v>
      </c>
      <c r="N192" s="30">
        <v>0.27637533834586464</v>
      </c>
      <c r="O192" s="29">
        <v>1</v>
      </c>
      <c r="R192" s="27">
        <v>94</v>
      </c>
      <c r="S192" s="28" t="s">
        <v>646</v>
      </c>
      <c r="T192" s="28" t="s">
        <v>383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-68.913899999999998</v>
      </c>
      <c r="AD192" s="30">
        <v>0.27634646616541353</v>
      </c>
      <c r="AE192" s="29">
        <v>1</v>
      </c>
    </row>
    <row r="193" spans="2:31" x14ac:dyDescent="0.2">
      <c r="B193" s="27">
        <v>94</v>
      </c>
      <c r="C193" s="28" t="s">
        <v>647</v>
      </c>
      <c r="D193" s="28" t="s">
        <v>385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74.471699999999998</v>
      </c>
      <c r="N193" s="30">
        <v>0.2986333834586466</v>
      </c>
      <c r="O193" s="29">
        <v>1</v>
      </c>
      <c r="R193" s="27">
        <v>94</v>
      </c>
      <c r="S193" s="28" t="s">
        <v>647</v>
      </c>
      <c r="T193" s="28" t="s">
        <v>385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68.927800000000005</v>
      </c>
      <c r="AD193" s="30">
        <v>0.27640220551378447</v>
      </c>
      <c r="AE193" s="29">
        <v>1</v>
      </c>
    </row>
    <row r="194" spans="2:31" x14ac:dyDescent="0.2">
      <c r="B194" s="27">
        <v>97</v>
      </c>
      <c r="C194" s="28" t="s">
        <v>649</v>
      </c>
      <c r="D194" s="28" t="s">
        <v>383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-69.106700000000004</v>
      </c>
      <c r="N194" s="30">
        <v>0.27711959899749372</v>
      </c>
      <c r="O194" s="29">
        <v>1</v>
      </c>
      <c r="R194" s="27">
        <v>97</v>
      </c>
      <c r="S194" s="28" t="s">
        <v>649</v>
      </c>
      <c r="T194" s="28" t="s">
        <v>383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-69.099500000000006</v>
      </c>
      <c r="AD194" s="30">
        <v>0.27709072681704261</v>
      </c>
      <c r="AE194" s="29">
        <v>1</v>
      </c>
    </row>
    <row r="195" spans="2:31" x14ac:dyDescent="0.2">
      <c r="B195" s="27">
        <v>97</v>
      </c>
      <c r="C195" s="28" t="s">
        <v>650</v>
      </c>
      <c r="D195" s="28" t="s">
        <v>385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74.471699999999998</v>
      </c>
      <c r="N195" s="30">
        <v>0.2986333834586466</v>
      </c>
      <c r="O195" s="29">
        <v>1</v>
      </c>
      <c r="R195" s="27">
        <v>97</v>
      </c>
      <c r="S195" s="28" t="s">
        <v>650</v>
      </c>
      <c r="T195" s="28" t="s">
        <v>385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69.133399999999995</v>
      </c>
      <c r="AD195" s="30">
        <v>0.27722666666666662</v>
      </c>
      <c r="AE195" s="29">
        <v>1</v>
      </c>
    </row>
    <row r="196" spans="2:31" x14ac:dyDescent="0.2">
      <c r="B196" s="27">
        <v>100</v>
      </c>
      <c r="C196" s="28" t="s">
        <v>652</v>
      </c>
      <c r="D196" s="28" t="s">
        <v>383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-73.328500000000005</v>
      </c>
      <c r="N196" s="30">
        <v>0.29404912280701756</v>
      </c>
      <c r="O196" s="29">
        <v>1</v>
      </c>
      <c r="R196" s="27">
        <v>100</v>
      </c>
      <c r="S196" s="28" t="s">
        <v>652</v>
      </c>
      <c r="T196" s="28" t="s">
        <v>383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-73.321799999999996</v>
      </c>
      <c r="AD196" s="30">
        <v>0.29402225563909773</v>
      </c>
      <c r="AE196" s="29">
        <v>1</v>
      </c>
    </row>
    <row r="197" spans="2:31" x14ac:dyDescent="0.2">
      <c r="B197" s="27">
        <v>100</v>
      </c>
      <c r="C197" s="28" t="s">
        <v>653</v>
      </c>
      <c r="D197" s="28" t="s">
        <v>385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73.387500000000003</v>
      </c>
      <c r="N197" s="30">
        <v>0.29428571428571426</v>
      </c>
      <c r="O197" s="29">
        <v>1</v>
      </c>
      <c r="R197" s="27">
        <v>100</v>
      </c>
      <c r="S197" s="28" t="s">
        <v>653</v>
      </c>
      <c r="T197" s="28" t="s">
        <v>385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69.133399999999995</v>
      </c>
      <c r="AD197" s="30">
        <v>0.27722666666666662</v>
      </c>
      <c r="AE197" s="29">
        <v>1</v>
      </c>
    </row>
    <row r="198" spans="2:31" x14ac:dyDescent="0.2">
      <c r="B198" s="27">
        <v>103</v>
      </c>
      <c r="C198" s="28" t="s">
        <v>655</v>
      </c>
      <c r="D198" s="28" t="s">
        <v>383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-51.418500000000002</v>
      </c>
      <c r="N198" s="30">
        <v>0.20618947368421053</v>
      </c>
      <c r="O198" s="29">
        <v>1</v>
      </c>
      <c r="R198" s="27">
        <v>103</v>
      </c>
      <c r="S198" s="28" t="s">
        <v>655</v>
      </c>
      <c r="T198" s="28" t="s">
        <v>383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-51.4146</v>
      </c>
      <c r="AD198" s="30">
        <v>0.20617383458646615</v>
      </c>
      <c r="AE198" s="29">
        <v>1</v>
      </c>
    </row>
    <row r="199" spans="2:31" x14ac:dyDescent="0.2">
      <c r="B199" s="27">
        <v>103</v>
      </c>
      <c r="C199" s="28" t="s">
        <v>656</v>
      </c>
      <c r="D199" s="28" t="s">
        <v>385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73.387500000000003</v>
      </c>
      <c r="N199" s="30">
        <v>0.29428571428571426</v>
      </c>
      <c r="O199" s="29">
        <v>1</v>
      </c>
      <c r="R199" s="27">
        <v>103</v>
      </c>
      <c r="S199" s="28" t="s">
        <v>656</v>
      </c>
      <c r="T199" s="28" t="s">
        <v>385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51.467500000000001</v>
      </c>
      <c r="AD199" s="30">
        <v>0.2063859649122807</v>
      </c>
      <c r="AE199" s="29">
        <v>1</v>
      </c>
    </row>
    <row r="200" spans="2:31" x14ac:dyDescent="0.2">
      <c r="B200" s="27">
        <v>115</v>
      </c>
      <c r="C200" s="28" t="s">
        <v>658</v>
      </c>
      <c r="D200" s="28" t="s">
        <v>383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-63.480600000000003</v>
      </c>
      <c r="N200" s="30">
        <v>0.25455879699248124</v>
      </c>
      <c r="O200" s="29">
        <v>1</v>
      </c>
      <c r="R200" s="27">
        <v>115</v>
      </c>
      <c r="S200" s="28" t="s">
        <v>658</v>
      </c>
      <c r="T200" s="28" t="s">
        <v>383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-63.469499999999996</v>
      </c>
      <c r="AD200" s="30">
        <v>0.25451428571428569</v>
      </c>
      <c r="AE200" s="29">
        <v>1</v>
      </c>
    </row>
    <row r="201" spans="2:31" x14ac:dyDescent="0.2">
      <c r="B201" s="27">
        <v>115</v>
      </c>
      <c r="C201" s="28" t="s">
        <v>659</v>
      </c>
      <c r="D201" s="28" t="s">
        <v>385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73.387500000000003</v>
      </c>
      <c r="N201" s="30">
        <v>0.29428571428571426</v>
      </c>
      <c r="O201" s="29">
        <v>1</v>
      </c>
      <c r="R201" s="27">
        <v>115</v>
      </c>
      <c r="S201" s="28" t="s">
        <v>659</v>
      </c>
      <c r="T201" s="28" t="s">
        <v>385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51.467500000000001</v>
      </c>
      <c r="AD201" s="30">
        <v>0.2063859649122807</v>
      </c>
      <c r="AE201" s="29">
        <v>1</v>
      </c>
    </row>
    <row r="202" spans="2:31" x14ac:dyDescent="0.2">
      <c r="B202" s="27">
        <v>116</v>
      </c>
      <c r="C202" s="28" t="s">
        <v>661</v>
      </c>
      <c r="D202" s="28" t="s">
        <v>383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-60.037799999999997</v>
      </c>
      <c r="N202" s="30">
        <v>0.2407530827067669</v>
      </c>
      <c r="O202" s="29">
        <v>1</v>
      </c>
      <c r="R202" s="27">
        <v>116</v>
      </c>
      <c r="S202" s="28" t="s">
        <v>661</v>
      </c>
      <c r="T202" s="28" t="s">
        <v>383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-60.027999999999999</v>
      </c>
      <c r="AD202" s="30">
        <v>0.24071378446115288</v>
      </c>
      <c r="AE202" s="29">
        <v>1</v>
      </c>
    </row>
    <row r="203" spans="2:31" x14ac:dyDescent="0.2">
      <c r="B203" s="27">
        <v>116</v>
      </c>
      <c r="C203" s="28" t="s">
        <v>662</v>
      </c>
      <c r="D203" s="28" t="s">
        <v>385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73.387500000000003</v>
      </c>
      <c r="N203" s="30">
        <v>0.29428571428571426</v>
      </c>
      <c r="O203" s="29">
        <v>1</v>
      </c>
      <c r="R203" s="27">
        <v>116</v>
      </c>
      <c r="S203" s="28" t="s">
        <v>662</v>
      </c>
      <c r="T203" s="28" t="s">
        <v>385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51.467500000000001</v>
      </c>
      <c r="AD203" s="30">
        <v>0.2063859649122807</v>
      </c>
      <c r="AE203" s="29">
        <v>1</v>
      </c>
    </row>
    <row r="204" spans="2:31" x14ac:dyDescent="0.2">
      <c r="B204" s="27">
        <v>117</v>
      </c>
      <c r="C204" s="28" t="s">
        <v>663</v>
      </c>
      <c r="D204" s="28" t="s">
        <v>383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-62.9788</v>
      </c>
      <c r="N204" s="30">
        <v>0.25254656641604012</v>
      </c>
      <c r="O204" s="29">
        <v>1</v>
      </c>
      <c r="R204" s="27">
        <v>117</v>
      </c>
      <c r="S204" s="28" t="s">
        <v>663</v>
      </c>
      <c r="T204" s="28" t="s">
        <v>383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-62.969299999999997</v>
      </c>
      <c r="AD204" s="30">
        <v>0.25250847117794484</v>
      </c>
      <c r="AE204" s="29">
        <v>1</v>
      </c>
    </row>
    <row r="205" spans="2:31" x14ac:dyDescent="0.2">
      <c r="B205" s="27">
        <v>117</v>
      </c>
      <c r="C205" s="28" t="s">
        <v>664</v>
      </c>
      <c r="D205" s="28" t="s">
        <v>385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73.387500000000003</v>
      </c>
      <c r="N205" s="30">
        <v>0.29428571428571426</v>
      </c>
      <c r="O205" s="29">
        <v>1</v>
      </c>
      <c r="R205" s="27">
        <v>117</v>
      </c>
      <c r="S205" s="28" t="s">
        <v>664</v>
      </c>
      <c r="T205" s="28" t="s">
        <v>385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51.467500000000001</v>
      </c>
      <c r="AD205" s="30">
        <v>0.2063859649122807</v>
      </c>
      <c r="AE205" s="29">
        <v>1</v>
      </c>
    </row>
    <row r="206" spans="2:31" x14ac:dyDescent="0.2">
      <c r="B206" s="27">
        <v>118</v>
      </c>
      <c r="C206" s="28" t="s">
        <v>665</v>
      </c>
      <c r="D206" s="28" t="s">
        <v>383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-63.348799999999997</v>
      </c>
      <c r="N206" s="30">
        <v>0.25403027568922304</v>
      </c>
      <c r="O206" s="29">
        <v>1</v>
      </c>
      <c r="R206" s="27">
        <v>118</v>
      </c>
      <c r="S206" s="28" t="s">
        <v>665</v>
      </c>
      <c r="T206" s="28" t="s">
        <v>383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-63.338099999999997</v>
      </c>
      <c r="AD206" s="30">
        <v>0.25398736842105263</v>
      </c>
      <c r="AE206" s="29">
        <v>1</v>
      </c>
    </row>
    <row r="207" spans="2:31" x14ac:dyDescent="0.2">
      <c r="B207" s="27">
        <v>118</v>
      </c>
      <c r="C207" s="28" t="s">
        <v>666</v>
      </c>
      <c r="D207" s="28" t="s">
        <v>385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73.387500000000003</v>
      </c>
      <c r="N207" s="30">
        <v>0.29428571428571426</v>
      </c>
      <c r="O207" s="29">
        <v>1</v>
      </c>
      <c r="R207" s="27">
        <v>118</v>
      </c>
      <c r="S207" s="28" t="s">
        <v>666</v>
      </c>
      <c r="T207" s="28" t="s">
        <v>385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51.467500000000001</v>
      </c>
      <c r="AD207" s="30">
        <v>0.2063859649122807</v>
      </c>
      <c r="AE207" s="29">
        <v>1</v>
      </c>
    </row>
    <row r="208" spans="2:31" x14ac:dyDescent="0.2">
      <c r="B208" s="27">
        <v>119</v>
      </c>
      <c r="C208" s="28" t="s">
        <v>668</v>
      </c>
      <c r="D208" s="28" t="s">
        <v>383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-61.856200000000001</v>
      </c>
      <c r="N208" s="30">
        <v>0.24804491228070177</v>
      </c>
      <c r="O208" s="29">
        <v>1</v>
      </c>
      <c r="R208" s="27">
        <v>119</v>
      </c>
      <c r="S208" s="28" t="s">
        <v>668</v>
      </c>
      <c r="T208" s="28" t="s">
        <v>383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-61.845999999999997</v>
      </c>
      <c r="AD208" s="30">
        <v>0.24800401002506264</v>
      </c>
      <c r="AE208" s="29">
        <v>1</v>
      </c>
    </row>
    <row r="209" spans="2:31" x14ac:dyDescent="0.2">
      <c r="B209" s="27">
        <v>119</v>
      </c>
      <c r="C209" s="28" t="s">
        <v>669</v>
      </c>
      <c r="D209" s="28" t="s">
        <v>385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73.387500000000003</v>
      </c>
      <c r="N209" s="30">
        <v>0.29428571428571426</v>
      </c>
      <c r="O209" s="29">
        <v>1</v>
      </c>
      <c r="R209" s="27">
        <v>119</v>
      </c>
      <c r="S209" s="28" t="s">
        <v>669</v>
      </c>
      <c r="T209" s="28" t="s">
        <v>385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51.467500000000001</v>
      </c>
      <c r="AD209" s="30">
        <v>0.2063859649122807</v>
      </c>
      <c r="AE209" s="29">
        <v>1</v>
      </c>
    </row>
    <row r="210" spans="2:31" x14ac:dyDescent="0.2">
      <c r="B210" s="27">
        <v>89</v>
      </c>
      <c r="C210" s="28" t="s">
        <v>671</v>
      </c>
      <c r="D210" s="28" t="s">
        <v>383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-58.583799999999997</v>
      </c>
      <c r="N210" s="30">
        <v>0.23492250626566413</v>
      </c>
      <c r="O210" s="29">
        <v>1</v>
      </c>
      <c r="R210" s="27">
        <v>89</v>
      </c>
      <c r="S210" s="28" t="s">
        <v>671</v>
      </c>
      <c r="T210" s="28" t="s">
        <v>383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-58.5762</v>
      </c>
      <c r="AD210" s="30">
        <v>0.23489203007518797</v>
      </c>
      <c r="AE210" s="29">
        <v>1</v>
      </c>
    </row>
    <row r="211" spans="2:31" x14ac:dyDescent="0.2">
      <c r="B211" s="27">
        <v>89</v>
      </c>
      <c r="C211" s="28" t="s">
        <v>672</v>
      </c>
      <c r="D211" s="28" t="s">
        <v>385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73.387500000000003</v>
      </c>
      <c r="N211" s="30">
        <v>0.29428571428571426</v>
      </c>
      <c r="O211" s="29">
        <v>1</v>
      </c>
      <c r="R211" s="27">
        <v>89</v>
      </c>
      <c r="S211" s="28" t="s">
        <v>672</v>
      </c>
      <c r="T211" s="28" t="s">
        <v>385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51.467500000000001</v>
      </c>
      <c r="AD211" s="30">
        <v>0.2063859649122807</v>
      </c>
      <c r="AE211" s="29">
        <v>1</v>
      </c>
    </row>
    <row r="212" spans="2:31" x14ac:dyDescent="0.2">
      <c r="B212" s="27">
        <v>92</v>
      </c>
      <c r="C212" s="28" t="s">
        <v>674</v>
      </c>
      <c r="D212" s="28" t="s">
        <v>383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-74.009500000000003</v>
      </c>
      <c r="N212" s="30">
        <v>0.2967799498746867</v>
      </c>
      <c r="O212" s="29">
        <v>1</v>
      </c>
      <c r="R212" s="27">
        <v>92</v>
      </c>
      <c r="S212" s="28" t="s">
        <v>674</v>
      </c>
      <c r="T212" s="28" t="s">
        <v>383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-74.001999999999995</v>
      </c>
      <c r="AD212" s="30">
        <v>0.29674987468671682</v>
      </c>
      <c r="AE212" s="29">
        <v>1</v>
      </c>
    </row>
    <row r="213" spans="2:31" x14ac:dyDescent="0.2">
      <c r="B213" s="27">
        <v>92</v>
      </c>
      <c r="C213" s="28" t="s">
        <v>675</v>
      </c>
      <c r="D213" s="28" t="s">
        <v>385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73.387500000000003</v>
      </c>
      <c r="N213" s="30">
        <v>0.29428571428571426</v>
      </c>
      <c r="O213" s="29">
        <v>1</v>
      </c>
      <c r="R213" s="27">
        <v>92</v>
      </c>
      <c r="S213" s="28" t="s">
        <v>675</v>
      </c>
      <c r="T213" s="28" t="s">
        <v>385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51.467500000000001</v>
      </c>
      <c r="AD213" s="30">
        <v>0.2063859649122807</v>
      </c>
      <c r="AE213" s="29">
        <v>1</v>
      </c>
    </row>
    <row r="214" spans="2:31" x14ac:dyDescent="0.2">
      <c r="B214" s="27">
        <v>95</v>
      </c>
      <c r="C214" s="28" t="s">
        <v>677</v>
      </c>
      <c r="D214" s="28" t="s">
        <v>383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-68.828800000000001</v>
      </c>
      <c r="N214" s="30">
        <v>0.27600521303258146</v>
      </c>
      <c r="O214" s="29">
        <v>1</v>
      </c>
      <c r="R214" s="27">
        <v>95</v>
      </c>
      <c r="S214" s="28" t="s">
        <v>677</v>
      </c>
      <c r="T214" s="28" t="s">
        <v>383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-68.821799999999996</v>
      </c>
      <c r="AD214" s="30">
        <v>0.27597714285714287</v>
      </c>
      <c r="AE214" s="29">
        <v>1</v>
      </c>
    </row>
    <row r="215" spans="2:31" x14ac:dyDescent="0.2">
      <c r="B215" s="27">
        <v>95</v>
      </c>
      <c r="C215" s="28" t="s">
        <v>678</v>
      </c>
      <c r="D215" s="28" t="s">
        <v>385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73.387500000000003</v>
      </c>
      <c r="N215" s="30">
        <v>0.29428571428571426</v>
      </c>
      <c r="O215" s="29">
        <v>1</v>
      </c>
      <c r="R215" s="27">
        <v>95</v>
      </c>
      <c r="S215" s="28" t="s">
        <v>678</v>
      </c>
      <c r="T215" s="28" t="s">
        <v>385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51.467500000000001</v>
      </c>
      <c r="AD215" s="30">
        <v>0.2063859649122807</v>
      </c>
      <c r="AE215" s="29">
        <v>1</v>
      </c>
    </row>
    <row r="216" spans="2:31" x14ac:dyDescent="0.2">
      <c r="B216" s="27">
        <v>98</v>
      </c>
      <c r="C216" s="28" t="s">
        <v>680</v>
      </c>
      <c r="D216" s="28" t="s">
        <v>383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-69.214699999999993</v>
      </c>
      <c r="N216" s="30">
        <v>0.27755268170426062</v>
      </c>
      <c r="O216" s="29">
        <v>1</v>
      </c>
      <c r="R216" s="27">
        <v>98</v>
      </c>
      <c r="S216" s="28" t="s">
        <v>680</v>
      </c>
      <c r="T216" s="28" t="s">
        <v>383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-69.207599999999999</v>
      </c>
      <c r="AD216" s="30">
        <v>0.27752421052631582</v>
      </c>
      <c r="AE216" s="29">
        <v>1</v>
      </c>
    </row>
    <row r="217" spans="2:31" x14ac:dyDescent="0.2">
      <c r="B217" s="27">
        <v>98</v>
      </c>
      <c r="C217" s="28" t="s">
        <v>681</v>
      </c>
      <c r="D217" s="28" t="s">
        <v>385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73.387500000000003</v>
      </c>
      <c r="N217" s="30">
        <v>0.29428571428571426</v>
      </c>
      <c r="O217" s="29">
        <v>1</v>
      </c>
      <c r="R217" s="27">
        <v>98</v>
      </c>
      <c r="S217" s="28" t="s">
        <v>681</v>
      </c>
      <c r="T217" s="28" t="s">
        <v>385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51.467500000000001</v>
      </c>
      <c r="AD217" s="30">
        <v>0.2063859649122807</v>
      </c>
      <c r="AE217" s="29">
        <v>1</v>
      </c>
    </row>
    <row r="218" spans="2:31" x14ac:dyDescent="0.2">
      <c r="B218" s="27">
        <v>101</v>
      </c>
      <c r="C218" s="28" t="s">
        <v>683</v>
      </c>
      <c r="D218" s="28" t="s">
        <v>383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-72.995999999999995</v>
      </c>
      <c r="N218" s="30">
        <v>0.29271578947368421</v>
      </c>
      <c r="O218" s="29">
        <v>1</v>
      </c>
      <c r="R218" s="27">
        <v>101</v>
      </c>
      <c r="S218" s="28" t="s">
        <v>683</v>
      </c>
      <c r="T218" s="28" t="s">
        <v>383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-72.989500000000007</v>
      </c>
      <c r="AD218" s="30">
        <v>0.29268972431077694</v>
      </c>
      <c r="AE218" s="29">
        <v>1</v>
      </c>
    </row>
    <row r="219" spans="2:31" x14ac:dyDescent="0.2">
      <c r="B219" s="27">
        <v>101</v>
      </c>
      <c r="C219" s="28" t="s">
        <v>684</v>
      </c>
      <c r="D219" s="28" t="s">
        <v>385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73.387500000000003</v>
      </c>
      <c r="N219" s="30">
        <v>0.29428571428571426</v>
      </c>
      <c r="O219" s="29">
        <v>1</v>
      </c>
      <c r="R219" s="27">
        <v>101</v>
      </c>
      <c r="S219" s="28" t="s">
        <v>684</v>
      </c>
      <c r="T219" s="28" t="s">
        <v>385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51.467500000000001</v>
      </c>
      <c r="AD219" s="30">
        <v>0.2063859649122807</v>
      </c>
      <c r="AE219" s="29">
        <v>1</v>
      </c>
    </row>
    <row r="220" spans="2:31" x14ac:dyDescent="0.2">
      <c r="B220" s="27">
        <v>104</v>
      </c>
      <c r="C220" s="28" t="s">
        <v>686</v>
      </c>
      <c r="D220" s="28" t="s">
        <v>383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-51.927999999999997</v>
      </c>
      <c r="N220" s="30">
        <v>0.20823258145363407</v>
      </c>
      <c r="O220" s="29">
        <v>1</v>
      </c>
      <c r="R220" s="27">
        <v>104</v>
      </c>
      <c r="S220" s="28" t="s">
        <v>686</v>
      </c>
      <c r="T220" s="28" t="s">
        <v>383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-51.924700000000001</v>
      </c>
      <c r="AD220" s="30">
        <v>0.20821934837092734</v>
      </c>
      <c r="AE220" s="29">
        <v>1</v>
      </c>
    </row>
    <row r="221" spans="2:31" x14ac:dyDescent="0.2">
      <c r="B221" s="27">
        <v>104</v>
      </c>
      <c r="C221" s="28" t="s">
        <v>687</v>
      </c>
      <c r="D221" s="28" t="s">
        <v>385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73.387500000000003</v>
      </c>
      <c r="N221" s="30">
        <v>0.29428571428571426</v>
      </c>
      <c r="O221" s="29">
        <v>1</v>
      </c>
      <c r="R221" s="27">
        <v>104</v>
      </c>
      <c r="S221" s="28" t="s">
        <v>687</v>
      </c>
      <c r="T221" s="28" t="s">
        <v>385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51.467500000000001</v>
      </c>
      <c r="AD221" s="30">
        <v>0.2063859649122807</v>
      </c>
      <c r="AE221" s="29">
        <v>1</v>
      </c>
    </row>
    <row r="222" spans="2:31" x14ac:dyDescent="0.2">
      <c r="B222" s="27">
        <v>120</v>
      </c>
      <c r="C222" s="28" t="s">
        <v>689</v>
      </c>
      <c r="D222" s="28" t="s">
        <v>383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-49.060899999999997</v>
      </c>
      <c r="N222" s="30">
        <v>0.1967354385964912</v>
      </c>
      <c r="O222" s="29">
        <v>1</v>
      </c>
      <c r="R222" s="27">
        <v>120</v>
      </c>
      <c r="S222" s="28" t="s">
        <v>689</v>
      </c>
      <c r="T222" s="28" t="s">
        <v>383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-49.053600000000003</v>
      </c>
      <c r="AD222" s="30">
        <v>0.19670616541353386</v>
      </c>
      <c r="AE222" s="29">
        <v>1</v>
      </c>
    </row>
    <row r="223" spans="2:31" x14ac:dyDescent="0.2">
      <c r="B223" s="27">
        <v>120</v>
      </c>
      <c r="C223" s="28" t="s">
        <v>690</v>
      </c>
      <c r="D223" s="28" t="s">
        <v>385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73.387500000000003</v>
      </c>
      <c r="N223" s="30">
        <v>0.29428571428571426</v>
      </c>
      <c r="O223" s="29">
        <v>1</v>
      </c>
      <c r="R223" s="27">
        <v>120</v>
      </c>
      <c r="S223" s="28" t="s">
        <v>690</v>
      </c>
      <c r="T223" s="28" t="s">
        <v>385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51.467500000000001</v>
      </c>
      <c r="AD223" s="30">
        <v>0.2063859649122807</v>
      </c>
      <c r="AE223" s="29">
        <v>1</v>
      </c>
    </row>
    <row r="224" spans="2:31" x14ac:dyDescent="0.2">
      <c r="B224" s="27">
        <v>121</v>
      </c>
      <c r="C224" s="28" t="s">
        <v>692</v>
      </c>
      <c r="D224" s="28" t="s">
        <v>383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-54.043100000000003</v>
      </c>
      <c r="N224" s="30">
        <v>0.21671418546365917</v>
      </c>
      <c r="O224" s="29">
        <v>1</v>
      </c>
      <c r="R224" s="27">
        <v>121</v>
      </c>
      <c r="S224" s="28" t="s">
        <v>692</v>
      </c>
      <c r="T224" s="28" t="s">
        <v>383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-54.034300000000002</v>
      </c>
      <c r="AD224" s="30">
        <v>0.21667889724310779</v>
      </c>
      <c r="AE224" s="29">
        <v>1</v>
      </c>
    </row>
    <row r="225" spans="2:31" x14ac:dyDescent="0.2">
      <c r="B225" s="27">
        <v>121</v>
      </c>
      <c r="C225" s="28" t="s">
        <v>693</v>
      </c>
      <c r="D225" s="28" t="s">
        <v>385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73.387500000000003</v>
      </c>
      <c r="N225" s="30">
        <v>0.29428571428571426</v>
      </c>
      <c r="O225" s="29">
        <v>1</v>
      </c>
      <c r="R225" s="27">
        <v>121</v>
      </c>
      <c r="S225" s="28" t="s">
        <v>693</v>
      </c>
      <c r="T225" s="28" t="s">
        <v>385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51.467500000000001</v>
      </c>
      <c r="AD225" s="30">
        <v>0.2063859649122807</v>
      </c>
      <c r="AE225" s="29">
        <v>1</v>
      </c>
    </row>
    <row r="226" spans="2:31" x14ac:dyDescent="0.2">
      <c r="B226" s="27">
        <v>122</v>
      </c>
      <c r="C226" s="28" t="s">
        <v>694</v>
      </c>
      <c r="D226" s="28" t="s">
        <v>383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-51.705599999999997</v>
      </c>
      <c r="N226" s="30">
        <v>0.20734075187969925</v>
      </c>
      <c r="O226" s="29">
        <v>1</v>
      </c>
      <c r="R226" s="27">
        <v>122</v>
      </c>
      <c r="S226" s="28" t="s">
        <v>694</v>
      </c>
      <c r="T226" s="28" t="s">
        <v>383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-51.6967</v>
      </c>
      <c r="AD226" s="30">
        <v>0.20730506265664159</v>
      </c>
      <c r="AE226" s="29">
        <v>1</v>
      </c>
    </row>
    <row r="227" spans="2:31" x14ac:dyDescent="0.2">
      <c r="B227" s="27">
        <v>122</v>
      </c>
      <c r="C227" s="28" t="s">
        <v>695</v>
      </c>
      <c r="D227" s="28" t="s">
        <v>385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73.387500000000003</v>
      </c>
      <c r="N227" s="30">
        <v>0.29428571428571426</v>
      </c>
      <c r="O227" s="29">
        <v>1</v>
      </c>
      <c r="R227" s="27">
        <v>122</v>
      </c>
      <c r="S227" s="28" t="s">
        <v>695</v>
      </c>
      <c r="T227" s="28" t="s">
        <v>385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51.467500000000001</v>
      </c>
      <c r="AD227" s="30">
        <v>0.2063859649122807</v>
      </c>
      <c r="AE227" s="29">
        <v>1</v>
      </c>
    </row>
    <row r="228" spans="2:31" x14ac:dyDescent="0.2">
      <c r="B228" s="27">
        <v>123</v>
      </c>
      <c r="C228" s="28" t="s">
        <v>696</v>
      </c>
      <c r="D228" s="28" t="s">
        <v>383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-50.974699999999999</v>
      </c>
      <c r="N228" s="30">
        <v>0.2044098245614035</v>
      </c>
      <c r="O228" s="29">
        <v>1</v>
      </c>
      <c r="R228" s="27">
        <v>123</v>
      </c>
      <c r="S228" s="28" t="s">
        <v>696</v>
      </c>
      <c r="T228" s="28" t="s">
        <v>383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-50.965600000000002</v>
      </c>
      <c r="AD228" s="30">
        <v>0.20437333333333332</v>
      </c>
      <c r="AE228" s="29">
        <v>1</v>
      </c>
    </row>
    <row r="229" spans="2:31" x14ac:dyDescent="0.2">
      <c r="B229" s="27">
        <v>123</v>
      </c>
      <c r="C229" s="28" t="s">
        <v>697</v>
      </c>
      <c r="D229" s="28" t="s">
        <v>385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73.387500000000003</v>
      </c>
      <c r="N229" s="30">
        <v>0.29428571428571426</v>
      </c>
      <c r="O229" s="29">
        <v>1</v>
      </c>
      <c r="R229" s="27">
        <v>123</v>
      </c>
      <c r="S229" s="28" t="s">
        <v>697</v>
      </c>
      <c r="T229" s="28" t="s">
        <v>385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51.467500000000001</v>
      </c>
      <c r="AD229" s="30">
        <v>0.2063859649122807</v>
      </c>
      <c r="AE229" s="29">
        <v>1</v>
      </c>
    </row>
    <row r="230" spans="2:31" x14ac:dyDescent="0.2">
      <c r="B230" s="27">
        <v>124</v>
      </c>
      <c r="C230" s="28" t="s">
        <v>699</v>
      </c>
      <c r="D230" s="28" t="s">
        <v>383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-52.777099999999997</v>
      </c>
      <c r="N230" s="30">
        <v>0.21163749373433582</v>
      </c>
      <c r="O230" s="29">
        <v>1</v>
      </c>
      <c r="R230" s="27">
        <v>124</v>
      </c>
      <c r="S230" s="28" t="s">
        <v>699</v>
      </c>
      <c r="T230" s="28" t="s">
        <v>383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-52.769500000000001</v>
      </c>
      <c r="AD230" s="30">
        <v>0.21160701754385966</v>
      </c>
      <c r="AE230" s="29">
        <v>1</v>
      </c>
    </row>
    <row r="231" spans="2:31" x14ac:dyDescent="0.2">
      <c r="B231" s="27">
        <v>124</v>
      </c>
      <c r="C231" s="28" t="s">
        <v>700</v>
      </c>
      <c r="D231" s="28" t="s">
        <v>385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73.387500000000003</v>
      </c>
      <c r="N231" s="30">
        <v>0.29428571428571426</v>
      </c>
      <c r="O231" s="29">
        <v>1</v>
      </c>
      <c r="R231" s="27">
        <v>124</v>
      </c>
      <c r="S231" s="28" t="s">
        <v>700</v>
      </c>
      <c r="T231" s="28" t="s">
        <v>385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51.467500000000001</v>
      </c>
      <c r="AD231" s="30">
        <v>0.2063859649122807</v>
      </c>
      <c r="AE231" s="29">
        <v>1</v>
      </c>
    </row>
    <row r="232" spans="2:31" x14ac:dyDescent="0.2">
      <c r="B232" s="27">
        <v>167</v>
      </c>
      <c r="C232" s="28" t="s">
        <v>702</v>
      </c>
      <c r="D232" s="28" t="s">
        <v>383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-50.591500000000003</v>
      </c>
      <c r="N232" s="30">
        <v>0.20287318295739348</v>
      </c>
      <c r="O232" s="29">
        <v>1</v>
      </c>
      <c r="R232" s="27">
        <v>167</v>
      </c>
      <c r="S232" s="28" t="s">
        <v>702</v>
      </c>
      <c r="T232" s="28" t="s">
        <v>383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-50.597700000000003</v>
      </c>
      <c r="AD232" s="30">
        <v>0.20289804511278198</v>
      </c>
      <c r="AE232" s="29">
        <v>1</v>
      </c>
    </row>
    <row r="233" spans="2:31" x14ac:dyDescent="0.2">
      <c r="B233" s="27">
        <v>167</v>
      </c>
      <c r="C233" s="28" t="s">
        <v>703</v>
      </c>
      <c r="D233" s="28" t="s">
        <v>385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73.387500000000003</v>
      </c>
      <c r="N233" s="30">
        <v>0.29428571428571426</v>
      </c>
      <c r="O233" s="29">
        <v>1</v>
      </c>
      <c r="R233" s="27">
        <v>167</v>
      </c>
      <c r="S233" s="28" t="s">
        <v>703</v>
      </c>
      <c r="T233" s="28" t="s">
        <v>385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51.467500000000001</v>
      </c>
      <c r="AD233" s="30">
        <v>0.2063859649122807</v>
      </c>
      <c r="AE233" s="29">
        <v>1</v>
      </c>
    </row>
    <row r="234" spans="2:31" x14ac:dyDescent="0.2">
      <c r="B234" s="27">
        <v>168</v>
      </c>
      <c r="C234" s="28" t="s">
        <v>705</v>
      </c>
      <c r="D234" s="28" t="s">
        <v>383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-55.590200000000003</v>
      </c>
      <c r="N234" s="30">
        <v>0.22291809523809525</v>
      </c>
      <c r="O234" s="29">
        <v>1</v>
      </c>
      <c r="R234" s="27">
        <v>168</v>
      </c>
      <c r="S234" s="28" t="s">
        <v>705</v>
      </c>
      <c r="T234" s="28" t="s">
        <v>383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-55.597099999999998</v>
      </c>
      <c r="AD234" s="30">
        <v>0.22294576441102756</v>
      </c>
      <c r="AE234" s="29">
        <v>1</v>
      </c>
    </row>
    <row r="235" spans="2:31" x14ac:dyDescent="0.2">
      <c r="B235" s="27">
        <v>168</v>
      </c>
      <c r="C235" s="28" t="s">
        <v>706</v>
      </c>
      <c r="D235" s="28" t="s">
        <v>385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73.387500000000003</v>
      </c>
      <c r="N235" s="30">
        <v>0.29428571428571426</v>
      </c>
      <c r="O235" s="29">
        <v>1</v>
      </c>
      <c r="R235" s="27">
        <v>168</v>
      </c>
      <c r="S235" s="28" t="s">
        <v>706</v>
      </c>
      <c r="T235" s="28" t="s">
        <v>385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51.467500000000001</v>
      </c>
      <c r="AD235" s="30">
        <v>0.2063859649122807</v>
      </c>
      <c r="AE235" s="29">
        <v>1</v>
      </c>
    </row>
    <row r="236" spans="2:31" x14ac:dyDescent="0.2">
      <c r="B236" s="27">
        <v>169</v>
      </c>
      <c r="C236" s="28" t="s">
        <v>707</v>
      </c>
      <c r="D236" s="28" t="s">
        <v>383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-53.344200000000001</v>
      </c>
      <c r="N236" s="30">
        <v>0.2139115789473684</v>
      </c>
      <c r="O236" s="29">
        <v>1</v>
      </c>
      <c r="R236" s="27">
        <v>169</v>
      </c>
      <c r="S236" s="28" t="s">
        <v>707</v>
      </c>
      <c r="T236" s="28" t="s">
        <v>383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-53.351199999999999</v>
      </c>
      <c r="AD236" s="30">
        <v>0.213939649122807</v>
      </c>
      <c r="AE236" s="29">
        <v>1</v>
      </c>
    </row>
    <row r="237" spans="2:31" x14ac:dyDescent="0.2">
      <c r="B237" s="27">
        <v>169</v>
      </c>
      <c r="C237" s="28" t="s">
        <v>708</v>
      </c>
      <c r="D237" s="28" t="s">
        <v>385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73.387500000000003</v>
      </c>
      <c r="N237" s="30">
        <v>0.29428571428571426</v>
      </c>
      <c r="O237" s="29">
        <v>1</v>
      </c>
      <c r="R237" s="27">
        <v>169</v>
      </c>
      <c r="S237" s="28" t="s">
        <v>708</v>
      </c>
      <c r="T237" s="28" t="s">
        <v>385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51.467500000000001</v>
      </c>
      <c r="AD237" s="30">
        <v>0.2063859649122807</v>
      </c>
      <c r="AE237" s="29">
        <v>1</v>
      </c>
    </row>
    <row r="238" spans="2:31" x14ac:dyDescent="0.2">
      <c r="B238" s="27">
        <v>170</v>
      </c>
      <c r="C238" s="28" t="s">
        <v>709</v>
      </c>
      <c r="D238" s="28" t="s">
        <v>383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-52.5623</v>
      </c>
      <c r="N238" s="30">
        <v>0.21077614035087722</v>
      </c>
      <c r="O238" s="29">
        <v>1</v>
      </c>
      <c r="R238" s="27">
        <v>170</v>
      </c>
      <c r="S238" s="28" t="s">
        <v>709</v>
      </c>
      <c r="T238" s="28" t="s">
        <v>383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-52.568899999999999</v>
      </c>
      <c r="AD238" s="30">
        <v>0.21080260651629074</v>
      </c>
      <c r="AE238" s="29">
        <v>1</v>
      </c>
    </row>
    <row r="239" spans="2:31" x14ac:dyDescent="0.2">
      <c r="B239" s="27">
        <v>170</v>
      </c>
      <c r="C239" s="28" t="s">
        <v>710</v>
      </c>
      <c r="D239" s="28" t="s">
        <v>385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73.387500000000003</v>
      </c>
      <c r="N239" s="30">
        <v>0.29428571428571426</v>
      </c>
      <c r="O239" s="29">
        <v>1</v>
      </c>
      <c r="R239" s="27">
        <v>170</v>
      </c>
      <c r="S239" s="28" t="s">
        <v>710</v>
      </c>
      <c r="T239" s="28" t="s">
        <v>385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51.467500000000001</v>
      </c>
      <c r="AD239" s="30">
        <v>0.2063859649122807</v>
      </c>
      <c r="AE239" s="29">
        <v>1</v>
      </c>
    </row>
    <row r="240" spans="2:31" x14ac:dyDescent="0.2">
      <c r="B240" s="27">
        <v>171</v>
      </c>
      <c r="C240" s="28" t="s">
        <v>712</v>
      </c>
      <c r="D240" s="28" t="s">
        <v>383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-54.101500000000001</v>
      </c>
      <c r="N240" s="30">
        <v>0.21694837092731831</v>
      </c>
      <c r="O240" s="29">
        <v>1</v>
      </c>
      <c r="R240" s="27">
        <v>171</v>
      </c>
      <c r="S240" s="28" t="s">
        <v>712</v>
      </c>
      <c r="T240" s="28" t="s">
        <v>383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-54.107700000000001</v>
      </c>
      <c r="AD240" s="30">
        <v>0.21697323308270677</v>
      </c>
      <c r="AE240" s="29">
        <v>1</v>
      </c>
    </row>
    <row r="241" spans="2:31" x14ac:dyDescent="0.2">
      <c r="B241" s="27">
        <v>171</v>
      </c>
      <c r="C241" s="28" t="s">
        <v>713</v>
      </c>
      <c r="D241" s="28" t="s">
        <v>385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73.387500000000003</v>
      </c>
      <c r="N241" s="30">
        <v>0.29428571428571426</v>
      </c>
      <c r="O241" s="29">
        <v>1</v>
      </c>
      <c r="R241" s="27">
        <v>171</v>
      </c>
      <c r="S241" s="28" t="s">
        <v>713</v>
      </c>
      <c r="T241" s="28" t="s">
        <v>385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51.467500000000001</v>
      </c>
      <c r="AD241" s="30">
        <v>0.2063859649122807</v>
      </c>
      <c r="AE241" s="29">
        <v>1</v>
      </c>
    </row>
    <row r="242" spans="2:31" x14ac:dyDescent="0.2">
      <c r="B242" s="27">
        <v>149</v>
      </c>
      <c r="C242" s="28" t="s">
        <v>715</v>
      </c>
      <c r="D242" s="28" t="s">
        <v>383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-59.282800000000002</v>
      </c>
      <c r="N242" s="30">
        <v>0.23772551378446116</v>
      </c>
      <c r="O242" s="29">
        <v>1</v>
      </c>
      <c r="R242" s="27">
        <v>149</v>
      </c>
      <c r="S242" s="28" t="s">
        <v>715</v>
      </c>
      <c r="T242" s="28" t="s">
        <v>383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-59.278199999999998</v>
      </c>
      <c r="AD242" s="30">
        <v>0.23770706766917293</v>
      </c>
      <c r="AE242" s="29">
        <v>1</v>
      </c>
    </row>
    <row r="243" spans="2:31" x14ac:dyDescent="0.2">
      <c r="B243" s="27">
        <v>149</v>
      </c>
      <c r="C243" s="28" t="s">
        <v>716</v>
      </c>
      <c r="D243" s="28" t="s">
        <v>385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73.387500000000003</v>
      </c>
      <c r="N243" s="30">
        <v>0.29428571428571426</v>
      </c>
      <c r="O243" s="29">
        <v>1</v>
      </c>
      <c r="R243" s="27">
        <v>149</v>
      </c>
      <c r="S243" s="28" t="s">
        <v>716</v>
      </c>
      <c r="T243" s="28" t="s">
        <v>385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51.467500000000001</v>
      </c>
      <c r="AD243" s="30">
        <v>0.2063859649122807</v>
      </c>
      <c r="AE243" s="29">
        <v>1</v>
      </c>
    </row>
    <row r="244" spans="2:31" x14ac:dyDescent="0.2">
      <c r="B244" s="27">
        <v>152</v>
      </c>
      <c r="C244" s="28" t="s">
        <v>718</v>
      </c>
      <c r="D244" s="28" t="s">
        <v>383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-70.260900000000007</v>
      </c>
      <c r="N244" s="30">
        <v>0.28174796992481205</v>
      </c>
      <c r="O244" s="29">
        <v>1</v>
      </c>
      <c r="R244" s="27">
        <v>152</v>
      </c>
      <c r="S244" s="28" t="s">
        <v>718</v>
      </c>
      <c r="T244" s="28" t="s">
        <v>383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-70.253299999999996</v>
      </c>
      <c r="AD244" s="30">
        <v>0.28171749373433586</v>
      </c>
      <c r="AE244" s="29">
        <v>1</v>
      </c>
    </row>
    <row r="245" spans="2:31" x14ac:dyDescent="0.2">
      <c r="B245" s="27">
        <v>152</v>
      </c>
      <c r="C245" s="28" t="s">
        <v>719</v>
      </c>
      <c r="D245" s="28" t="s">
        <v>385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73.387500000000003</v>
      </c>
      <c r="N245" s="30">
        <v>0.29428571428571426</v>
      </c>
      <c r="O245" s="29">
        <v>1</v>
      </c>
      <c r="R245" s="27">
        <v>152</v>
      </c>
      <c r="S245" s="28" t="s">
        <v>719</v>
      </c>
      <c r="T245" s="28" t="s">
        <v>385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51.467500000000001</v>
      </c>
      <c r="AD245" s="30">
        <v>0.2063859649122807</v>
      </c>
      <c r="AE245" s="29">
        <v>1</v>
      </c>
    </row>
    <row r="246" spans="2:31" x14ac:dyDescent="0.2">
      <c r="B246" s="27">
        <v>155</v>
      </c>
      <c r="C246" s="28" t="s">
        <v>721</v>
      </c>
      <c r="D246" s="28" t="s">
        <v>383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-70.3172</v>
      </c>
      <c r="N246" s="30">
        <v>0.28197373433583961</v>
      </c>
      <c r="O246" s="29">
        <v>1</v>
      </c>
      <c r="R246" s="27">
        <v>155</v>
      </c>
      <c r="S246" s="28" t="s">
        <v>721</v>
      </c>
      <c r="T246" s="28" t="s">
        <v>383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-70.309799999999996</v>
      </c>
      <c r="AD246" s="30">
        <v>0.28194406015037587</v>
      </c>
      <c r="AE246" s="29">
        <v>1</v>
      </c>
    </row>
    <row r="247" spans="2:31" x14ac:dyDescent="0.2">
      <c r="B247" s="27">
        <v>155</v>
      </c>
      <c r="C247" s="28" t="s">
        <v>722</v>
      </c>
      <c r="D247" s="28" t="s">
        <v>385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73.387500000000003</v>
      </c>
      <c r="N247" s="30">
        <v>0.29428571428571426</v>
      </c>
      <c r="O247" s="29">
        <v>1</v>
      </c>
      <c r="R247" s="27">
        <v>155</v>
      </c>
      <c r="S247" s="28" t="s">
        <v>722</v>
      </c>
      <c r="T247" s="28" t="s">
        <v>385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51.467500000000001</v>
      </c>
      <c r="AD247" s="30">
        <v>0.2063859649122807</v>
      </c>
      <c r="AE247" s="29">
        <v>1</v>
      </c>
    </row>
    <row r="248" spans="2:31" x14ac:dyDescent="0.2">
      <c r="B248" s="27">
        <v>158</v>
      </c>
      <c r="C248" s="28" t="s">
        <v>724</v>
      </c>
      <c r="D248" s="28" t="s">
        <v>383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-69.556399999999996</v>
      </c>
      <c r="N248" s="30">
        <v>0.27892290726817043</v>
      </c>
      <c r="O248" s="29">
        <v>1</v>
      </c>
      <c r="R248" s="27">
        <v>158</v>
      </c>
      <c r="S248" s="28" t="s">
        <v>724</v>
      </c>
      <c r="T248" s="28" t="s">
        <v>383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-69.548699999999997</v>
      </c>
      <c r="AD248" s="30">
        <v>0.27889203007518798</v>
      </c>
      <c r="AE248" s="29">
        <v>1</v>
      </c>
    </row>
    <row r="249" spans="2:31" x14ac:dyDescent="0.2">
      <c r="B249" s="27">
        <v>158</v>
      </c>
      <c r="C249" s="28" t="s">
        <v>725</v>
      </c>
      <c r="D249" s="28" t="s">
        <v>385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73.387500000000003</v>
      </c>
      <c r="N249" s="30">
        <v>0.29428571428571426</v>
      </c>
      <c r="O249" s="29">
        <v>1</v>
      </c>
      <c r="R249" s="27">
        <v>158</v>
      </c>
      <c r="S249" s="28" t="s">
        <v>725</v>
      </c>
      <c r="T249" s="28" t="s">
        <v>385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51.467500000000001</v>
      </c>
      <c r="AD249" s="30">
        <v>0.2063859649122807</v>
      </c>
      <c r="AE249" s="29">
        <v>1</v>
      </c>
    </row>
    <row r="250" spans="2:31" x14ac:dyDescent="0.2">
      <c r="B250" s="27">
        <v>161</v>
      </c>
      <c r="C250" s="28" t="s">
        <v>727</v>
      </c>
      <c r="D250" s="28" t="s">
        <v>383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-68.194999999999993</v>
      </c>
      <c r="N250" s="30">
        <v>0.27346365914786969</v>
      </c>
      <c r="O250" s="29">
        <v>1</v>
      </c>
      <c r="R250" s="27">
        <v>161</v>
      </c>
      <c r="S250" s="28" t="s">
        <v>727</v>
      </c>
      <c r="T250" s="28" t="s">
        <v>383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-68.187100000000001</v>
      </c>
      <c r="AD250" s="30">
        <v>0.27343197994987473</v>
      </c>
      <c r="AE250" s="29">
        <v>1</v>
      </c>
    </row>
    <row r="251" spans="2:31" x14ac:dyDescent="0.2">
      <c r="B251" s="27">
        <v>161</v>
      </c>
      <c r="C251" s="28" t="s">
        <v>728</v>
      </c>
      <c r="D251" s="28" t="s">
        <v>385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73.387500000000003</v>
      </c>
      <c r="N251" s="30">
        <v>0.29428571428571426</v>
      </c>
      <c r="O251" s="29">
        <v>1</v>
      </c>
      <c r="R251" s="27">
        <v>161</v>
      </c>
      <c r="S251" s="28" t="s">
        <v>728</v>
      </c>
      <c r="T251" s="28" t="s">
        <v>385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51.467500000000001</v>
      </c>
      <c r="AD251" s="30">
        <v>0.2063859649122807</v>
      </c>
      <c r="AE251" s="29">
        <v>1</v>
      </c>
    </row>
    <row r="252" spans="2:31" x14ac:dyDescent="0.2">
      <c r="B252" s="27">
        <v>164</v>
      </c>
      <c r="C252" s="28" t="s">
        <v>730</v>
      </c>
      <c r="D252" s="28" t="s">
        <v>383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-52.771299999999997</v>
      </c>
      <c r="N252" s="30">
        <v>0.21161423558897241</v>
      </c>
      <c r="O252" s="29">
        <v>1</v>
      </c>
      <c r="R252" s="27">
        <v>164</v>
      </c>
      <c r="S252" s="28" t="s">
        <v>730</v>
      </c>
      <c r="T252" s="28" t="s">
        <v>383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-52.764400000000002</v>
      </c>
      <c r="AD252" s="30">
        <v>0.21158656641604009</v>
      </c>
      <c r="AE252" s="29">
        <v>1</v>
      </c>
    </row>
    <row r="253" spans="2:31" x14ac:dyDescent="0.2">
      <c r="B253" s="27">
        <v>164</v>
      </c>
      <c r="C253" s="28" t="s">
        <v>731</v>
      </c>
      <c r="D253" s="28" t="s">
        <v>385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73.387500000000003</v>
      </c>
      <c r="N253" s="30">
        <v>0.29428571428571426</v>
      </c>
      <c r="O253" s="29">
        <v>1</v>
      </c>
      <c r="R253" s="27">
        <v>164</v>
      </c>
      <c r="S253" s="28" t="s">
        <v>731</v>
      </c>
      <c r="T253" s="28" t="s">
        <v>385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51.467500000000001</v>
      </c>
      <c r="AD253" s="30">
        <v>0.2063859649122807</v>
      </c>
      <c r="AE253" s="29">
        <v>1</v>
      </c>
    </row>
    <row r="254" spans="2:31" x14ac:dyDescent="0.2">
      <c r="B254" s="27">
        <v>172</v>
      </c>
      <c r="C254" s="28" t="s">
        <v>733</v>
      </c>
      <c r="D254" s="28" t="s">
        <v>383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-65.313900000000004</v>
      </c>
      <c r="N254" s="30">
        <v>0.26191037593984962</v>
      </c>
      <c r="O254" s="29">
        <v>1</v>
      </c>
      <c r="R254" s="27">
        <v>172</v>
      </c>
      <c r="S254" s="28" t="s">
        <v>733</v>
      </c>
      <c r="T254" s="28" t="s">
        <v>383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-65.322000000000003</v>
      </c>
      <c r="AD254" s="30">
        <v>0.26194285714285714</v>
      </c>
      <c r="AE254" s="29">
        <v>1</v>
      </c>
    </row>
    <row r="255" spans="2:31" x14ac:dyDescent="0.2">
      <c r="B255" s="27">
        <v>172</v>
      </c>
      <c r="C255" s="28" t="s">
        <v>734</v>
      </c>
      <c r="D255" s="28" t="s">
        <v>385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73.387500000000003</v>
      </c>
      <c r="N255" s="30">
        <v>0.29428571428571426</v>
      </c>
      <c r="O255" s="29">
        <v>1</v>
      </c>
      <c r="R255" s="27">
        <v>172</v>
      </c>
      <c r="S255" s="28" t="s">
        <v>734</v>
      </c>
      <c r="T255" s="28" t="s">
        <v>385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51.467500000000001</v>
      </c>
      <c r="AD255" s="30">
        <v>0.2063859649122807</v>
      </c>
      <c r="AE255" s="29">
        <v>1</v>
      </c>
    </row>
    <row r="256" spans="2:31" x14ac:dyDescent="0.2">
      <c r="B256" s="27">
        <v>173</v>
      </c>
      <c r="C256" s="28" t="s">
        <v>736</v>
      </c>
      <c r="D256" s="28" t="s">
        <v>383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-61.7986</v>
      </c>
      <c r="N256" s="30">
        <v>0.24781393483709271</v>
      </c>
      <c r="O256" s="29">
        <v>1</v>
      </c>
      <c r="R256" s="27">
        <v>173</v>
      </c>
      <c r="S256" s="28" t="s">
        <v>736</v>
      </c>
      <c r="T256" s="28" t="s">
        <v>383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-61.807000000000002</v>
      </c>
      <c r="AD256" s="30">
        <v>0.24784761904761904</v>
      </c>
      <c r="AE256" s="29">
        <v>1</v>
      </c>
    </row>
    <row r="257" spans="2:31" x14ac:dyDescent="0.2">
      <c r="B257" s="27">
        <v>173</v>
      </c>
      <c r="C257" s="28" t="s">
        <v>737</v>
      </c>
      <c r="D257" s="28" t="s">
        <v>385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73.387500000000003</v>
      </c>
      <c r="N257" s="30">
        <v>0.29428571428571426</v>
      </c>
      <c r="O257" s="29">
        <v>1</v>
      </c>
      <c r="R257" s="27">
        <v>173</v>
      </c>
      <c r="S257" s="28" t="s">
        <v>737</v>
      </c>
      <c r="T257" s="28" t="s">
        <v>385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51.467500000000001</v>
      </c>
      <c r="AD257" s="30">
        <v>0.2063859649122807</v>
      </c>
      <c r="AE257" s="29">
        <v>1</v>
      </c>
    </row>
    <row r="258" spans="2:31" x14ac:dyDescent="0.2">
      <c r="B258" s="27">
        <v>174</v>
      </c>
      <c r="C258" s="28" t="s">
        <v>738</v>
      </c>
      <c r="D258" s="28" t="s">
        <v>383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-64.643100000000004</v>
      </c>
      <c r="N258" s="30">
        <v>0.25922045112781955</v>
      </c>
      <c r="O258" s="29">
        <v>1</v>
      </c>
      <c r="R258" s="27">
        <v>174</v>
      </c>
      <c r="S258" s="28" t="s">
        <v>738</v>
      </c>
      <c r="T258" s="28" t="s">
        <v>383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-64.650400000000005</v>
      </c>
      <c r="AD258" s="30">
        <v>0.25924972431077697</v>
      </c>
      <c r="AE258" s="29">
        <v>1</v>
      </c>
    </row>
    <row r="259" spans="2:31" x14ac:dyDescent="0.2">
      <c r="B259" s="27">
        <v>174</v>
      </c>
      <c r="C259" s="28" t="s">
        <v>739</v>
      </c>
      <c r="D259" s="28" t="s">
        <v>385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73.387500000000003</v>
      </c>
      <c r="N259" s="30">
        <v>0.29428571428571426</v>
      </c>
      <c r="O259" s="29">
        <v>1</v>
      </c>
      <c r="R259" s="27">
        <v>174</v>
      </c>
      <c r="S259" s="28" t="s">
        <v>739</v>
      </c>
      <c r="T259" s="28" t="s">
        <v>385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51.467500000000001</v>
      </c>
      <c r="AD259" s="30">
        <v>0.2063859649122807</v>
      </c>
      <c r="AE259" s="29">
        <v>1</v>
      </c>
    </row>
    <row r="260" spans="2:31" x14ac:dyDescent="0.2">
      <c r="B260" s="27">
        <v>175</v>
      </c>
      <c r="C260" s="28" t="s">
        <v>740</v>
      </c>
      <c r="D260" s="28" t="s">
        <v>383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-65.1738</v>
      </c>
      <c r="N260" s="30">
        <v>0.26134857142857143</v>
      </c>
      <c r="O260" s="29">
        <v>1</v>
      </c>
      <c r="R260" s="27">
        <v>175</v>
      </c>
      <c r="S260" s="28" t="s">
        <v>740</v>
      </c>
      <c r="T260" s="28" t="s">
        <v>383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-65.181399999999996</v>
      </c>
      <c r="AD260" s="30">
        <v>0.26137904761904762</v>
      </c>
      <c r="AE260" s="29">
        <v>1</v>
      </c>
    </row>
    <row r="261" spans="2:31" x14ac:dyDescent="0.2">
      <c r="B261" s="27">
        <v>175</v>
      </c>
      <c r="C261" s="28" t="s">
        <v>741</v>
      </c>
      <c r="D261" s="28" t="s">
        <v>385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73.387500000000003</v>
      </c>
      <c r="N261" s="30">
        <v>0.29428571428571426</v>
      </c>
      <c r="O261" s="29">
        <v>1</v>
      </c>
      <c r="R261" s="27">
        <v>175</v>
      </c>
      <c r="S261" s="28" t="s">
        <v>741</v>
      </c>
      <c r="T261" s="28" t="s">
        <v>385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51.467500000000001</v>
      </c>
      <c r="AD261" s="30">
        <v>0.2063859649122807</v>
      </c>
      <c r="AE261" s="29">
        <v>1</v>
      </c>
    </row>
    <row r="262" spans="2:31" x14ac:dyDescent="0.2">
      <c r="B262" s="27">
        <v>176</v>
      </c>
      <c r="C262" s="28" t="s">
        <v>743</v>
      </c>
      <c r="D262" s="28" t="s">
        <v>383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-63.866799999999998</v>
      </c>
      <c r="N262" s="30">
        <v>0.25610746867167916</v>
      </c>
      <c r="O262" s="29">
        <v>1</v>
      </c>
      <c r="R262" s="27">
        <v>176</v>
      </c>
      <c r="S262" s="28" t="s">
        <v>743</v>
      </c>
      <c r="T262" s="28" t="s">
        <v>383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-63.875700000000002</v>
      </c>
      <c r="AD262" s="30">
        <v>0.25614315789473685</v>
      </c>
      <c r="AE262" s="29">
        <v>1</v>
      </c>
    </row>
    <row r="263" spans="2:31" x14ac:dyDescent="0.2">
      <c r="B263" s="27">
        <v>176</v>
      </c>
      <c r="C263" s="28" t="s">
        <v>744</v>
      </c>
      <c r="D263" s="28" t="s">
        <v>385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73.387500000000003</v>
      </c>
      <c r="N263" s="30">
        <v>0.29428571428571426</v>
      </c>
      <c r="O263" s="29">
        <v>1</v>
      </c>
      <c r="R263" s="27">
        <v>176</v>
      </c>
      <c r="S263" s="28" t="s">
        <v>744</v>
      </c>
      <c r="T263" s="28" t="s">
        <v>385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51.467500000000001</v>
      </c>
      <c r="AD263" s="30">
        <v>0.2063859649122807</v>
      </c>
      <c r="AE263" s="29">
        <v>1</v>
      </c>
    </row>
    <row r="264" spans="2:31" x14ac:dyDescent="0.2">
      <c r="B264" s="27">
        <v>150</v>
      </c>
      <c r="C264" s="28" t="s">
        <v>746</v>
      </c>
      <c r="D264" s="28" t="s">
        <v>383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-58.210099999999997</v>
      </c>
      <c r="N264" s="30">
        <v>0.23342395989974937</v>
      </c>
      <c r="O264" s="29">
        <v>1</v>
      </c>
      <c r="R264" s="27">
        <v>150</v>
      </c>
      <c r="S264" s="28" t="s">
        <v>746</v>
      </c>
      <c r="T264" s="28" t="s">
        <v>383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-58.205300000000001</v>
      </c>
      <c r="AD264" s="30">
        <v>0.23340471177944863</v>
      </c>
      <c r="AE264" s="29">
        <v>1</v>
      </c>
    </row>
    <row r="265" spans="2:31" x14ac:dyDescent="0.2">
      <c r="B265" s="27">
        <v>150</v>
      </c>
      <c r="C265" s="28" t="s">
        <v>747</v>
      </c>
      <c r="D265" s="28" t="s">
        <v>385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73.387500000000003</v>
      </c>
      <c r="N265" s="30">
        <v>0.29428571428571426</v>
      </c>
      <c r="O265" s="29">
        <v>1</v>
      </c>
      <c r="R265" s="27">
        <v>150</v>
      </c>
      <c r="S265" s="28" t="s">
        <v>747</v>
      </c>
      <c r="T265" s="28" t="s">
        <v>385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58.1982</v>
      </c>
      <c r="AD265" s="30">
        <v>0.23337624060150375</v>
      </c>
      <c r="AE265" s="29">
        <v>1</v>
      </c>
    </row>
    <row r="266" spans="2:31" x14ac:dyDescent="0.2">
      <c r="B266" s="27">
        <v>153</v>
      </c>
      <c r="C266" s="28" t="s">
        <v>749</v>
      </c>
      <c r="D266" s="28" t="s">
        <v>383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-74.544799999999995</v>
      </c>
      <c r="N266" s="30">
        <v>0.29892651629072675</v>
      </c>
      <c r="O266" s="29">
        <v>1</v>
      </c>
      <c r="R266" s="27">
        <v>153</v>
      </c>
      <c r="S266" s="28" t="s">
        <v>749</v>
      </c>
      <c r="T266" s="28" t="s">
        <v>383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-74.537400000000005</v>
      </c>
      <c r="AD266" s="30">
        <v>0.29889684210526318</v>
      </c>
      <c r="AE266" s="29">
        <v>1</v>
      </c>
    </row>
    <row r="267" spans="2:31" x14ac:dyDescent="0.2">
      <c r="B267" s="27">
        <v>153</v>
      </c>
      <c r="C267" s="28" t="s">
        <v>750</v>
      </c>
      <c r="D267" s="28" t="s">
        <v>385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74.528199999999998</v>
      </c>
      <c r="N267" s="30">
        <v>0.29885994987468673</v>
      </c>
      <c r="O267" s="29">
        <v>1</v>
      </c>
      <c r="R267" s="27">
        <v>153</v>
      </c>
      <c r="S267" s="28" t="s">
        <v>750</v>
      </c>
      <c r="T267" s="28" t="s">
        <v>385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58.1982</v>
      </c>
      <c r="AD267" s="30">
        <v>0.23337624060150375</v>
      </c>
      <c r="AE267" s="29">
        <v>1</v>
      </c>
    </row>
    <row r="268" spans="2:31" x14ac:dyDescent="0.2">
      <c r="B268" s="27">
        <v>156</v>
      </c>
      <c r="C268" s="28" t="s">
        <v>752</v>
      </c>
      <c r="D268" s="28" t="s">
        <v>383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-68.911600000000007</v>
      </c>
      <c r="N268" s="30">
        <v>0.27633724310776947</v>
      </c>
      <c r="O268" s="29">
        <v>1</v>
      </c>
      <c r="R268" s="27">
        <v>156</v>
      </c>
      <c r="S268" s="28" t="s">
        <v>752</v>
      </c>
      <c r="T268" s="28" t="s">
        <v>383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-68.903899999999993</v>
      </c>
      <c r="AD268" s="30">
        <v>0.27630636591478697</v>
      </c>
      <c r="AE268" s="29">
        <v>1</v>
      </c>
    </row>
    <row r="269" spans="2:31" x14ac:dyDescent="0.2">
      <c r="B269" s="27">
        <v>156</v>
      </c>
      <c r="C269" s="28" t="s">
        <v>753</v>
      </c>
      <c r="D269" s="28" t="s">
        <v>385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74.528199999999998</v>
      </c>
      <c r="N269" s="30">
        <v>0.29885994987468673</v>
      </c>
      <c r="O269" s="29">
        <v>1</v>
      </c>
      <c r="R269" s="27">
        <v>156</v>
      </c>
      <c r="S269" s="28" t="s">
        <v>753</v>
      </c>
      <c r="T269" s="28" t="s">
        <v>385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68.917400000000001</v>
      </c>
      <c r="AD269" s="30">
        <v>0.27636050125313283</v>
      </c>
      <c r="AE269" s="29">
        <v>1</v>
      </c>
    </row>
    <row r="270" spans="2:31" x14ac:dyDescent="0.2">
      <c r="B270" s="27">
        <v>159</v>
      </c>
      <c r="C270" s="28" t="s">
        <v>755</v>
      </c>
      <c r="D270" s="28" t="s">
        <v>383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-69.125299999999996</v>
      </c>
      <c r="N270" s="30">
        <v>0.27719418546365915</v>
      </c>
      <c r="O270" s="29">
        <v>1</v>
      </c>
      <c r="R270" s="27">
        <v>159</v>
      </c>
      <c r="S270" s="28" t="s">
        <v>755</v>
      </c>
      <c r="T270" s="28" t="s">
        <v>383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-69.117999999999995</v>
      </c>
      <c r="AD270" s="30">
        <v>0.27716491228070178</v>
      </c>
      <c r="AE270" s="29">
        <v>1</v>
      </c>
    </row>
    <row r="271" spans="2:31" x14ac:dyDescent="0.2">
      <c r="B271" s="27">
        <v>159</v>
      </c>
      <c r="C271" s="28" t="s">
        <v>756</v>
      </c>
      <c r="D271" s="28" t="s">
        <v>385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74.528199999999998</v>
      </c>
      <c r="N271" s="30">
        <v>0.29885994987468673</v>
      </c>
      <c r="O271" s="29">
        <v>1</v>
      </c>
      <c r="R271" s="27">
        <v>159</v>
      </c>
      <c r="S271" s="28" t="s">
        <v>756</v>
      </c>
      <c r="T271" s="28" t="s">
        <v>385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69.146799999999999</v>
      </c>
      <c r="AD271" s="30">
        <v>0.27728040100250628</v>
      </c>
      <c r="AE271" s="29">
        <v>1</v>
      </c>
    </row>
    <row r="272" spans="2:31" x14ac:dyDescent="0.2">
      <c r="B272" s="27">
        <v>162</v>
      </c>
      <c r="C272" s="28" t="s">
        <v>758</v>
      </c>
      <c r="D272" s="28" t="s">
        <v>383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-73.310699999999997</v>
      </c>
      <c r="N272" s="30">
        <v>0.29397774436090224</v>
      </c>
      <c r="O272" s="29">
        <v>1</v>
      </c>
      <c r="R272" s="27">
        <v>162</v>
      </c>
      <c r="S272" s="28" t="s">
        <v>758</v>
      </c>
      <c r="T272" s="28" t="s">
        <v>383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-73.303200000000004</v>
      </c>
      <c r="AD272" s="30">
        <v>0.2939476691729323</v>
      </c>
      <c r="AE272" s="29">
        <v>1</v>
      </c>
    </row>
    <row r="273" spans="2:31" x14ac:dyDescent="0.2">
      <c r="B273" s="27">
        <v>162</v>
      </c>
      <c r="C273" s="28" t="s">
        <v>759</v>
      </c>
      <c r="D273" s="28" t="s">
        <v>385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73.336399999999998</v>
      </c>
      <c r="N273" s="30">
        <v>0.29408080200501252</v>
      </c>
      <c r="O273" s="29">
        <v>1</v>
      </c>
      <c r="R273" s="27">
        <v>162</v>
      </c>
      <c r="S273" s="28" t="s">
        <v>759</v>
      </c>
      <c r="T273" s="28" t="s">
        <v>385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69.146799999999999</v>
      </c>
      <c r="AD273" s="30">
        <v>0.27728040100250628</v>
      </c>
      <c r="AE273" s="29">
        <v>1</v>
      </c>
    </row>
    <row r="274" spans="2:31" x14ac:dyDescent="0.2">
      <c r="B274" s="27">
        <v>165</v>
      </c>
      <c r="C274" s="28" t="s">
        <v>761</v>
      </c>
      <c r="D274" s="28" t="s">
        <v>383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-51.0747</v>
      </c>
      <c r="N274" s="30">
        <v>0.20481082706766915</v>
      </c>
      <c r="O274" s="29">
        <v>1</v>
      </c>
      <c r="R274" s="27">
        <v>165</v>
      </c>
      <c r="S274" s="28" t="s">
        <v>761</v>
      </c>
      <c r="T274" s="28" t="s">
        <v>383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-51.067399999999999</v>
      </c>
      <c r="AD274" s="30">
        <v>0.20478155388471178</v>
      </c>
      <c r="AE274" s="29">
        <v>1</v>
      </c>
    </row>
    <row r="275" spans="2:31" x14ac:dyDescent="0.2">
      <c r="B275" s="27">
        <v>165</v>
      </c>
      <c r="C275" s="28" t="s">
        <v>762</v>
      </c>
      <c r="D275" s="28" t="s">
        <v>385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73.336399999999998</v>
      </c>
      <c r="N275" s="30">
        <v>0.29408080200501252</v>
      </c>
      <c r="O275" s="29">
        <v>1</v>
      </c>
      <c r="R275" s="27">
        <v>165</v>
      </c>
      <c r="S275" s="28" t="s">
        <v>762</v>
      </c>
      <c r="T275" s="28" t="s">
        <v>385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51.107700000000001</v>
      </c>
      <c r="AD275" s="30">
        <v>0.20494315789473685</v>
      </c>
      <c r="AE275" s="29">
        <v>1</v>
      </c>
    </row>
    <row r="276" spans="2:31" x14ac:dyDescent="0.2">
      <c r="B276" s="27">
        <v>177</v>
      </c>
      <c r="C276" s="28" t="s">
        <v>764</v>
      </c>
      <c r="D276" s="28" t="s">
        <v>383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-65.328500000000005</v>
      </c>
      <c r="N276" s="30">
        <v>0.26196892230576446</v>
      </c>
      <c r="O276" s="29">
        <v>1</v>
      </c>
      <c r="R276" s="27">
        <v>177</v>
      </c>
      <c r="S276" s="28" t="s">
        <v>764</v>
      </c>
      <c r="T276" s="28" t="s">
        <v>383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-65.336500000000001</v>
      </c>
      <c r="AD276" s="30">
        <v>0.26200100250626568</v>
      </c>
      <c r="AE276" s="29">
        <v>1</v>
      </c>
    </row>
    <row r="277" spans="2:31" x14ac:dyDescent="0.2">
      <c r="B277" s="27">
        <v>177</v>
      </c>
      <c r="C277" s="28" t="s">
        <v>765</v>
      </c>
      <c r="D277" s="28" t="s">
        <v>385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73.336399999999998</v>
      </c>
      <c r="N277" s="30">
        <v>0.29408080200501252</v>
      </c>
      <c r="O277" s="29">
        <v>1</v>
      </c>
      <c r="R277" s="27">
        <v>177</v>
      </c>
      <c r="S277" s="28" t="s">
        <v>765</v>
      </c>
      <c r="T277" s="28" t="s">
        <v>385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51.107700000000001</v>
      </c>
      <c r="AD277" s="30">
        <v>0.20494315789473685</v>
      </c>
      <c r="AE277" s="29">
        <v>1</v>
      </c>
    </row>
    <row r="278" spans="2:31" x14ac:dyDescent="0.2">
      <c r="B278" s="27">
        <v>178</v>
      </c>
      <c r="C278" s="28" t="s">
        <v>767</v>
      </c>
      <c r="D278" s="28" t="s">
        <v>383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-61.813299999999998</v>
      </c>
      <c r="N278" s="30">
        <v>0.24787288220551376</v>
      </c>
      <c r="O278" s="29">
        <v>1</v>
      </c>
      <c r="R278" s="27">
        <v>178</v>
      </c>
      <c r="S278" s="28" t="s">
        <v>767</v>
      </c>
      <c r="T278" s="28" t="s">
        <v>383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-61.821399999999997</v>
      </c>
      <c r="AD278" s="30">
        <v>0.24790536340852129</v>
      </c>
      <c r="AE278" s="29">
        <v>1</v>
      </c>
    </row>
    <row r="279" spans="2:31" x14ac:dyDescent="0.2">
      <c r="B279" s="27">
        <v>178</v>
      </c>
      <c r="C279" s="28" t="s">
        <v>768</v>
      </c>
      <c r="D279" s="28" t="s">
        <v>385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73.336399999999998</v>
      </c>
      <c r="N279" s="30">
        <v>0.29408080200501252</v>
      </c>
      <c r="O279" s="29">
        <v>1</v>
      </c>
      <c r="R279" s="27">
        <v>178</v>
      </c>
      <c r="S279" s="28" t="s">
        <v>768</v>
      </c>
      <c r="T279" s="28" t="s">
        <v>385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51.107700000000001</v>
      </c>
      <c r="AD279" s="30">
        <v>0.20494315789473685</v>
      </c>
      <c r="AE279" s="29">
        <v>1</v>
      </c>
    </row>
    <row r="280" spans="2:31" x14ac:dyDescent="0.2">
      <c r="B280" s="27">
        <v>179</v>
      </c>
      <c r="C280" s="28" t="s">
        <v>769</v>
      </c>
      <c r="D280" s="28" t="s">
        <v>383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-64.657399999999996</v>
      </c>
      <c r="N280" s="30">
        <v>0.25927779448621552</v>
      </c>
      <c r="O280" s="29">
        <v>1</v>
      </c>
      <c r="R280" s="27">
        <v>179</v>
      </c>
      <c r="S280" s="28" t="s">
        <v>769</v>
      </c>
      <c r="T280" s="28" t="s">
        <v>383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-64.664500000000004</v>
      </c>
      <c r="AD280" s="30">
        <v>0.25930626566416043</v>
      </c>
      <c r="AE280" s="29">
        <v>1</v>
      </c>
    </row>
    <row r="281" spans="2:31" x14ac:dyDescent="0.2">
      <c r="B281" s="27">
        <v>179</v>
      </c>
      <c r="C281" s="28" t="s">
        <v>770</v>
      </c>
      <c r="D281" s="28" t="s">
        <v>385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73.336399999999998</v>
      </c>
      <c r="N281" s="30">
        <v>0.29408080200501252</v>
      </c>
      <c r="O281" s="29">
        <v>1</v>
      </c>
      <c r="R281" s="27">
        <v>179</v>
      </c>
      <c r="S281" s="28" t="s">
        <v>770</v>
      </c>
      <c r="T281" s="28" t="s">
        <v>385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51.107700000000001</v>
      </c>
      <c r="AD281" s="30">
        <v>0.20494315789473685</v>
      </c>
      <c r="AE281" s="29">
        <v>1</v>
      </c>
    </row>
    <row r="282" spans="2:31" x14ac:dyDescent="0.2">
      <c r="B282" s="27">
        <v>180</v>
      </c>
      <c r="C282" s="28" t="s">
        <v>771</v>
      </c>
      <c r="D282" s="28" t="s">
        <v>383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-65.19</v>
      </c>
      <c r="N282" s="30">
        <v>0.26141353383458649</v>
      </c>
      <c r="O282" s="29">
        <v>1</v>
      </c>
      <c r="R282" s="27">
        <v>180</v>
      </c>
      <c r="S282" s="28" t="s">
        <v>771</v>
      </c>
      <c r="T282" s="28" t="s">
        <v>383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-65.197500000000005</v>
      </c>
      <c r="AD282" s="30">
        <v>0.26144360902255642</v>
      </c>
      <c r="AE282" s="29">
        <v>1</v>
      </c>
    </row>
    <row r="283" spans="2:31" x14ac:dyDescent="0.2">
      <c r="B283" s="27">
        <v>180</v>
      </c>
      <c r="C283" s="28" t="s">
        <v>772</v>
      </c>
      <c r="D283" s="28" t="s">
        <v>385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73.336399999999998</v>
      </c>
      <c r="N283" s="30">
        <v>0.29408080200501252</v>
      </c>
      <c r="O283" s="29">
        <v>1</v>
      </c>
      <c r="R283" s="27">
        <v>180</v>
      </c>
      <c r="S283" s="28" t="s">
        <v>772</v>
      </c>
      <c r="T283" s="28" t="s">
        <v>385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51.107700000000001</v>
      </c>
      <c r="AD283" s="30">
        <v>0.20494315789473685</v>
      </c>
      <c r="AE283" s="29">
        <v>1</v>
      </c>
    </row>
    <row r="284" spans="2:31" x14ac:dyDescent="0.2">
      <c r="B284" s="27">
        <v>181</v>
      </c>
      <c r="C284" s="28" t="s">
        <v>774</v>
      </c>
      <c r="D284" s="28" t="s">
        <v>383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-63.879300000000001</v>
      </c>
      <c r="N284" s="30">
        <v>0.25615759398496241</v>
      </c>
      <c r="O284" s="29">
        <v>1</v>
      </c>
      <c r="R284" s="27">
        <v>181</v>
      </c>
      <c r="S284" s="28" t="s">
        <v>774</v>
      </c>
      <c r="T284" s="28" t="s">
        <v>383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-63.887900000000002</v>
      </c>
      <c r="AD284" s="30">
        <v>0.25619208020050127</v>
      </c>
      <c r="AE284" s="29">
        <v>1</v>
      </c>
    </row>
    <row r="285" spans="2:31" x14ac:dyDescent="0.2">
      <c r="B285" s="27">
        <v>181</v>
      </c>
      <c r="C285" s="28" t="s">
        <v>775</v>
      </c>
      <c r="D285" s="28" t="s">
        <v>385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73.336399999999998</v>
      </c>
      <c r="N285" s="30">
        <v>0.29408080200501252</v>
      </c>
      <c r="O285" s="29">
        <v>1</v>
      </c>
      <c r="R285" s="27">
        <v>181</v>
      </c>
      <c r="S285" s="28" t="s">
        <v>775</v>
      </c>
      <c r="T285" s="28" t="s">
        <v>385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51.107700000000001</v>
      </c>
      <c r="AD285" s="30">
        <v>0.20494315789473685</v>
      </c>
      <c r="AE285" s="29">
        <v>1</v>
      </c>
    </row>
    <row r="286" spans="2:31" x14ac:dyDescent="0.2">
      <c r="B286" s="27">
        <v>151</v>
      </c>
      <c r="C286" s="28" t="s">
        <v>777</v>
      </c>
      <c r="D286" s="28" t="s">
        <v>383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-60.014099999999999</v>
      </c>
      <c r="N286" s="30">
        <v>0.24065804511278194</v>
      </c>
      <c r="O286" s="29">
        <v>1</v>
      </c>
      <c r="R286" s="27">
        <v>151</v>
      </c>
      <c r="S286" s="28" t="s">
        <v>777</v>
      </c>
      <c r="T286" s="28" t="s">
        <v>383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-60.009399999999999</v>
      </c>
      <c r="AD286" s="30">
        <v>0.24063919799498748</v>
      </c>
      <c r="AE286" s="29">
        <v>1</v>
      </c>
    </row>
    <row r="287" spans="2:31" x14ac:dyDescent="0.2">
      <c r="B287" s="27">
        <v>151</v>
      </c>
      <c r="C287" s="28" t="s">
        <v>778</v>
      </c>
      <c r="D287" s="28" t="s">
        <v>385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73.336399999999998</v>
      </c>
      <c r="N287" s="30">
        <v>0.29408080200501252</v>
      </c>
      <c r="O287" s="29">
        <v>1</v>
      </c>
      <c r="R287" s="27">
        <v>151</v>
      </c>
      <c r="S287" s="28" t="s">
        <v>778</v>
      </c>
      <c r="T287" s="28" t="s">
        <v>385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51.107700000000001</v>
      </c>
      <c r="AD287" s="30">
        <v>0.20494315789473685</v>
      </c>
      <c r="AE287" s="29">
        <v>1</v>
      </c>
    </row>
    <row r="288" spans="2:31" x14ac:dyDescent="0.2">
      <c r="B288" s="27">
        <v>154</v>
      </c>
      <c r="C288" s="28" t="s">
        <v>780</v>
      </c>
      <c r="D288" s="28" t="s">
        <v>383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-73.5899</v>
      </c>
      <c r="N288" s="30">
        <v>0.29509734335839599</v>
      </c>
      <c r="O288" s="29">
        <v>1</v>
      </c>
      <c r="R288" s="27">
        <v>154</v>
      </c>
      <c r="S288" s="28" t="s">
        <v>780</v>
      </c>
      <c r="T288" s="28" t="s">
        <v>383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-73.582700000000003</v>
      </c>
      <c r="AD288" s="30">
        <v>0.29506847117794482</v>
      </c>
      <c r="AE288" s="29">
        <v>1</v>
      </c>
    </row>
    <row r="289" spans="2:31" x14ac:dyDescent="0.2">
      <c r="B289" s="27">
        <v>154</v>
      </c>
      <c r="C289" s="28" t="s">
        <v>781</v>
      </c>
      <c r="D289" s="28" t="s">
        <v>385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73.336399999999998</v>
      </c>
      <c r="N289" s="30">
        <v>0.29408080200501252</v>
      </c>
      <c r="O289" s="29">
        <v>1</v>
      </c>
      <c r="R289" s="27">
        <v>154</v>
      </c>
      <c r="S289" s="28" t="s">
        <v>781</v>
      </c>
      <c r="T289" s="28" t="s">
        <v>385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51.107700000000001</v>
      </c>
      <c r="AD289" s="30">
        <v>0.20494315789473685</v>
      </c>
      <c r="AE289" s="29">
        <v>1</v>
      </c>
    </row>
    <row r="290" spans="2:31" x14ac:dyDescent="0.2">
      <c r="B290" s="27">
        <v>157</v>
      </c>
      <c r="C290" s="28" t="s">
        <v>783</v>
      </c>
      <c r="D290" s="28" t="s">
        <v>383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-68.730599999999995</v>
      </c>
      <c r="N290" s="30">
        <v>0.27561142857142856</v>
      </c>
      <c r="O290" s="29">
        <v>1</v>
      </c>
      <c r="R290" s="27">
        <v>157</v>
      </c>
      <c r="S290" s="28" t="s">
        <v>783</v>
      </c>
      <c r="T290" s="28" t="s">
        <v>383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-68.723100000000002</v>
      </c>
      <c r="AD290" s="30">
        <v>0.27558135338345868</v>
      </c>
      <c r="AE290" s="29">
        <v>1</v>
      </c>
    </row>
    <row r="291" spans="2:31" x14ac:dyDescent="0.2">
      <c r="B291" s="27">
        <v>157</v>
      </c>
      <c r="C291" s="28" t="s">
        <v>784</v>
      </c>
      <c r="D291" s="28" t="s">
        <v>385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73.336399999999998</v>
      </c>
      <c r="N291" s="30">
        <v>0.29408080200501252</v>
      </c>
      <c r="O291" s="29">
        <v>1</v>
      </c>
      <c r="R291" s="27">
        <v>157</v>
      </c>
      <c r="S291" s="28" t="s">
        <v>784</v>
      </c>
      <c r="T291" s="28" t="s">
        <v>385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51.107700000000001</v>
      </c>
      <c r="AD291" s="30">
        <v>0.20494315789473685</v>
      </c>
      <c r="AE291" s="29">
        <v>1</v>
      </c>
    </row>
    <row r="292" spans="2:31" x14ac:dyDescent="0.2">
      <c r="B292" s="27">
        <v>160</v>
      </c>
      <c r="C292" s="28" t="s">
        <v>786</v>
      </c>
      <c r="D292" s="28" t="s">
        <v>383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-69.184700000000007</v>
      </c>
      <c r="N292" s="30">
        <v>0.27743238095238099</v>
      </c>
      <c r="O292" s="29">
        <v>1</v>
      </c>
      <c r="R292" s="27">
        <v>160</v>
      </c>
      <c r="S292" s="28" t="s">
        <v>786</v>
      </c>
      <c r="T292" s="28" t="s">
        <v>383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-69.177700000000002</v>
      </c>
      <c r="AD292" s="30">
        <v>0.27740431077694233</v>
      </c>
      <c r="AE292" s="29">
        <v>1</v>
      </c>
    </row>
    <row r="293" spans="2:31" x14ac:dyDescent="0.2">
      <c r="B293" s="27">
        <v>160</v>
      </c>
      <c r="C293" s="28" t="s">
        <v>787</v>
      </c>
      <c r="D293" s="28" t="s">
        <v>385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73.336399999999998</v>
      </c>
      <c r="N293" s="30">
        <v>0.29408080200501252</v>
      </c>
      <c r="O293" s="29">
        <v>1</v>
      </c>
      <c r="R293" s="27">
        <v>160</v>
      </c>
      <c r="S293" s="28" t="s">
        <v>787</v>
      </c>
      <c r="T293" s="28" t="s">
        <v>385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51.107700000000001</v>
      </c>
      <c r="AD293" s="30">
        <v>0.20494315789473685</v>
      </c>
      <c r="AE293" s="29">
        <v>1</v>
      </c>
    </row>
    <row r="294" spans="2:31" x14ac:dyDescent="0.2">
      <c r="B294" s="27">
        <v>163</v>
      </c>
      <c r="C294" s="28" t="s">
        <v>789</v>
      </c>
      <c r="D294" s="28" t="s">
        <v>383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-72.576999999999998</v>
      </c>
      <c r="N294" s="30">
        <v>0.29103558897243109</v>
      </c>
      <c r="O294" s="29">
        <v>1</v>
      </c>
      <c r="R294" s="27">
        <v>163</v>
      </c>
      <c r="S294" s="28" t="s">
        <v>789</v>
      </c>
      <c r="T294" s="28" t="s">
        <v>383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-72.569800000000001</v>
      </c>
      <c r="AD294" s="30">
        <v>0.29100671679197998</v>
      </c>
      <c r="AE294" s="29">
        <v>1</v>
      </c>
    </row>
    <row r="295" spans="2:31" x14ac:dyDescent="0.2">
      <c r="B295" s="27">
        <v>163</v>
      </c>
      <c r="C295" s="28" t="s">
        <v>790</v>
      </c>
      <c r="D295" s="28" t="s">
        <v>385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73.336399999999998</v>
      </c>
      <c r="N295" s="30">
        <v>0.29408080200501252</v>
      </c>
      <c r="O295" s="29">
        <v>1</v>
      </c>
      <c r="R295" s="27">
        <v>163</v>
      </c>
      <c r="S295" s="28" t="s">
        <v>790</v>
      </c>
      <c r="T295" s="28" t="s">
        <v>385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51.107700000000001</v>
      </c>
      <c r="AD295" s="30">
        <v>0.20494315789473685</v>
      </c>
      <c r="AE295" s="29">
        <v>1</v>
      </c>
    </row>
    <row r="296" spans="2:31" x14ac:dyDescent="0.2">
      <c r="B296" s="27">
        <v>166</v>
      </c>
      <c r="C296" s="28" t="s">
        <v>792</v>
      </c>
      <c r="D296" s="28" t="s">
        <v>383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-52.526800000000001</v>
      </c>
      <c r="N296" s="30">
        <v>0.21063378446115288</v>
      </c>
      <c r="O296" s="29">
        <v>1</v>
      </c>
      <c r="R296" s="27">
        <v>166</v>
      </c>
      <c r="S296" s="28" t="s">
        <v>792</v>
      </c>
      <c r="T296" s="28" t="s">
        <v>383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-52.519599999999997</v>
      </c>
      <c r="AD296" s="30">
        <v>0.21060491228070174</v>
      </c>
      <c r="AE296" s="29">
        <v>1</v>
      </c>
    </row>
    <row r="297" spans="2:31" x14ac:dyDescent="0.2">
      <c r="B297" s="27">
        <v>166</v>
      </c>
      <c r="C297" s="28" t="s">
        <v>793</v>
      </c>
      <c r="D297" s="28" t="s">
        <v>385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73.336399999999998</v>
      </c>
      <c r="N297" s="30">
        <v>0.29408080200501252</v>
      </c>
      <c r="O297" s="29">
        <v>1</v>
      </c>
      <c r="R297" s="27">
        <v>166</v>
      </c>
      <c r="S297" s="28" t="s">
        <v>793</v>
      </c>
      <c r="T297" s="28" t="s">
        <v>385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51.107700000000001</v>
      </c>
      <c r="AD297" s="30">
        <v>0.20494315789473685</v>
      </c>
      <c r="AE297" s="29">
        <v>1</v>
      </c>
    </row>
    <row r="298" spans="2:31" x14ac:dyDescent="0.2">
      <c r="B298" s="27">
        <v>182</v>
      </c>
      <c r="C298" s="28" t="s">
        <v>795</v>
      </c>
      <c r="D298" s="28" t="s">
        <v>383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-50.618000000000002</v>
      </c>
      <c r="N298" s="30">
        <v>0.2029794486215539</v>
      </c>
      <c r="O298" s="29">
        <v>1</v>
      </c>
      <c r="R298" s="27">
        <v>182</v>
      </c>
      <c r="S298" s="28" t="s">
        <v>795</v>
      </c>
      <c r="T298" s="28" t="s">
        <v>383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-50.624299999999998</v>
      </c>
      <c r="AD298" s="30">
        <v>0.20300471177944859</v>
      </c>
      <c r="AE298" s="29">
        <v>1</v>
      </c>
    </row>
    <row r="299" spans="2:31" x14ac:dyDescent="0.2">
      <c r="B299" s="27">
        <v>182</v>
      </c>
      <c r="C299" s="28" t="s">
        <v>796</v>
      </c>
      <c r="D299" s="28" t="s">
        <v>385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73.336399999999998</v>
      </c>
      <c r="N299" s="30">
        <v>0.29408080200501252</v>
      </c>
      <c r="O299" s="29">
        <v>1</v>
      </c>
      <c r="R299" s="27">
        <v>182</v>
      </c>
      <c r="S299" s="28" t="s">
        <v>796</v>
      </c>
      <c r="T299" s="28" t="s">
        <v>385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51.107700000000001</v>
      </c>
      <c r="AD299" s="30">
        <v>0.20494315789473685</v>
      </c>
      <c r="AE299" s="29">
        <v>1</v>
      </c>
    </row>
    <row r="300" spans="2:31" x14ac:dyDescent="0.2">
      <c r="B300" s="27">
        <v>183</v>
      </c>
      <c r="C300" s="28" t="s">
        <v>798</v>
      </c>
      <c r="D300" s="28" t="s">
        <v>383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-55.621000000000002</v>
      </c>
      <c r="N300" s="30">
        <v>0.22304160401002507</v>
      </c>
      <c r="O300" s="29">
        <v>1</v>
      </c>
      <c r="R300" s="27">
        <v>183</v>
      </c>
      <c r="S300" s="28" t="s">
        <v>798</v>
      </c>
      <c r="T300" s="28" t="s">
        <v>383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-55.628300000000003</v>
      </c>
      <c r="AD300" s="30">
        <v>0.22307087719298246</v>
      </c>
      <c r="AE300" s="29">
        <v>1</v>
      </c>
    </row>
    <row r="301" spans="2:31" x14ac:dyDescent="0.2">
      <c r="B301" s="27">
        <v>183</v>
      </c>
      <c r="C301" s="28" t="s">
        <v>799</v>
      </c>
      <c r="D301" s="28" t="s">
        <v>385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73.336399999999998</v>
      </c>
      <c r="N301" s="30">
        <v>0.29408080200501252</v>
      </c>
      <c r="O301" s="29">
        <v>1</v>
      </c>
      <c r="R301" s="27">
        <v>183</v>
      </c>
      <c r="S301" s="28" t="s">
        <v>799</v>
      </c>
      <c r="T301" s="28" t="s">
        <v>385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51.107700000000001</v>
      </c>
      <c r="AD301" s="30">
        <v>0.20494315789473685</v>
      </c>
      <c r="AE301" s="29">
        <v>1</v>
      </c>
    </row>
    <row r="302" spans="2:31" x14ac:dyDescent="0.2">
      <c r="B302" s="27">
        <v>184</v>
      </c>
      <c r="C302" s="28" t="s">
        <v>800</v>
      </c>
      <c r="D302" s="28" t="s">
        <v>383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-53.378100000000003</v>
      </c>
      <c r="N302" s="30">
        <v>0.21404751879699249</v>
      </c>
      <c r="O302" s="29">
        <v>1</v>
      </c>
      <c r="R302" s="27">
        <v>184</v>
      </c>
      <c r="S302" s="28" t="s">
        <v>800</v>
      </c>
      <c r="T302" s="28" t="s">
        <v>383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-53.385399999999997</v>
      </c>
      <c r="AD302" s="30">
        <v>0.21407679197994986</v>
      </c>
      <c r="AE302" s="29">
        <v>1</v>
      </c>
    </row>
    <row r="303" spans="2:31" x14ac:dyDescent="0.2">
      <c r="B303" s="27">
        <v>184</v>
      </c>
      <c r="C303" s="28" t="s">
        <v>801</v>
      </c>
      <c r="D303" s="28" t="s">
        <v>385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73.336399999999998</v>
      </c>
      <c r="N303" s="30">
        <v>0.29408080200501252</v>
      </c>
      <c r="O303" s="29">
        <v>1</v>
      </c>
      <c r="R303" s="27">
        <v>184</v>
      </c>
      <c r="S303" s="28" t="s">
        <v>801</v>
      </c>
      <c r="T303" s="28" t="s">
        <v>385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51.107700000000001</v>
      </c>
      <c r="AD303" s="30">
        <v>0.20494315789473685</v>
      </c>
      <c r="AE303" s="29">
        <v>1</v>
      </c>
    </row>
    <row r="304" spans="2:31" x14ac:dyDescent="0.2">
      <c r="B304" s="27">
        <v>185</v>
      </c>
      <c r="C304" s="28" t="s">
        <v>802</v>
      </c>
      <c r="D304" s="28" t="s">
        <v>383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-52.598199999999999</v>
      </c>
      <c r="N304" s="30">
        <v>0.21092010025062655</v>
      </c>
      <c r="O304" s="29">
        <v>1</v>
      </c>
      <c r="R304" s="27">
        <v>185</v>
      </c>
      <c r="S304" s="28" t="s">
        <v>802</v>
      </c>
      <c r="T304" s="28" t="s">
        <v>383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-52.6051</v>
      </c>
      <c r="AD304" s="30">
        <v>0.21094776942355889</v>
      </c>
      <c r="AE304" s="29">
        <v>1</v>
      </c>
    </row>
    <row r="305" spans="2:31" x14ac:dyDescent="0.2">
      <c r="B305" s="27">
        <v>185</v>
      </c>
      <c r="C305" s="28" t="s">
        <v>803</v>
      </c>
      <c r="D305" s="28" t="s">
        <v>385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73.336399999999998</v>
      </c>
      <c r="N305" s="30">
        <v>0.29408080200501252</v>
      </c>
      <c r="O305" s="29">
        <v>1</v>
      </c>
      <c r="R305" s="27">
        <v>185</v>
      </c>
      <c r="S305" s="28" t="s">
        <v>803</v>
      </c>
      <c r="T305" s="28" t="s">
        <v>385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51.107700000000001</v>
      </c>
      <c r="AD305" s="30">
        <v>0.20494315789473685</v>
      </c>
      <c r="AE305" s="29">
        <v>1</v>
      </c>
    </row>
    <row r="306" spans="2:31" x14ac:dyDescent="0.2">
      <c r="B306" s="27">
        <v>186</v>
      </c>
      <c r="C306" s="28" t="s">
        <v>805</v>
      </c>
      <c r="D306" s="28" t="s">
        <v>383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-54.127299999999998</v>
      </c>
      <c r="N306" s="30">
        <v>0.21705182957393482</v>
      </c>
      <c r="O306" s="29">
        <v>1</v>
      </c>
      <c r="R306" s="27">
        <v>186</v>
      </c>
      <c r="S306" s="28" t="s">
        <v>805</v>
      </c>
      <c r="T306" s="28" t="s">
        <v>383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-54.134</v>
      </c>
      <c r="AD306" s="30">
        <v>0.21707869674185465</v>
      </c>
      <c r="AE306" s="29">
        <v>1</v>
      </c>
    </row>
    <row r="307" spans="2:31" x14ac:dyDescent="0.2">
      <c r="B307" s="27">
        <v>186</v>
      </c>
      <c r="C307" s="28" t="s">
        <v>806</v>
      </c>
      <c r="D307" s="28" t="s">
        <v>385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73.336399999999998</v>
      </c>
      <c r="N307" s="30">
        <v>0.29408080200501252</v>
      </c>
      <c r="O307" s="29">
        <v>1</v>
      </c>
      <c r="R307" s="27">
        <v>186</v>
      </c>
      <c r="S307" s="28" t="s">
        <v>806</v>
      </c>
      <c r="T307" s="28" t="s">
        <v>385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51.107700000000001</v>
      </c>
      <c r="AD307" s="30">
        <v>0.20494315789473685</v>
      </c>
      <c r="AE307" s="29">
        <v>1</v>
      </c>
    </row>
    <row r="308" spans="2:31" x14ac:dyDescent="0.2">
      <c r="B308" s="27">
        <v>43</v>
      </c>
      <c r="C308" s="28" t="s">
        <v>808</v>
      </c>
      <c r="D308" s="28" t="s">
        <v>383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-47.670099999999998</v>
      </c>
      <c r="N308" s="30">
        <v>0.19115829573934837</v>
      </c>
      <c r="O308" s="29">
        <v>1</v>
      </c>
      <c r="R308" s="27">
        <v>43</v>
      </c>
      <c r="S308" s="28" t="s">
        <v>808</v>
      </c>
      <c r="T308" s="28" t="s">
        <v>383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-47.687800000000003</v>
      </c>
      <c r="AD308" s="30">
        <v>0.1912292731829574</v>
      </c>
      <c r="AE308" s="29">
        <v>1</v>
      </c>
    </row>
    <row r="309" spans="2:31" x14ac:dyDescent="0.2">
      <c r="B309" s="27">
        <v>43</v>
      </c>
      <c r="C309" s="28" t="s">
        <v>809</v>
      </c>
      <c r="D309" s="28" t="s">
        <v>385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73.336399999999998</v>
      </c>
      <c r="N309" s="30">
        <v>0.29408080200501252</v>
      </c>
      <c r="O309" s="29">
        <v>1</v>
      </c>
      <c r="R309" s="27">
        <v>43</v>
      </c>
      <c r="S309" s="28" t="s">
        <v>809</v>
      </c>
      <c r="T309" s="28" t="s">
        <v>385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51.107700000000001</v>
      </c>
      <c r="AD309" s="30">
        <v>0.20494315789473685</v>
      </c>
      <c r="AE309" s="29">
        <v>1</v>
      </c>
    </row>
    <row r="310" spans="2:31" x14ac:dyDescent="0.2">
      <c r="B310" s="27">
        <v>44</v>
      </c>
      <c r="C310" s="28" t="s">
        <v>811</v>
      </c>
      <c r="D310" s="28" t="s">
        <v>383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-52.293100000000003</v>
      </c>
      <c r="N310" s="30">
        <v>0.20969664160401005</v>
      </c>
      <c r="O310" s="29">
        <v>1</v>
      </c>
      <c r="R310" s="27">
        <v>44</v>
      </c>
      <c r="S310" s="28" t="s">
        <v>811</v>
      </c>
      <c r="T310" s="28" t="s">
        <v>383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-52.312800000000003</v>
      </c>
      <c r="AD310" s="30">
        <v>0.20977563909774438</v>
      </c>
      <c r="AE310" s="29">
        <v>1</v>
      </c>
    </row>
    <row r="311" spans="2:31" x14ac:dyDescent="0.2">
      <c r="B311" s="27">
        <v>44</v>
      </c>
      <c r="C311" s="28" t="s">
        <v>812</v>
      </c>
      <c r="D311" s="28" t="s">
        <v>385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73.336399999999998</v>
      </c>
      <c r="N311" s="30">
        <v>0.29408080200501252</v>
      </c>
      <c r="O311" s="29">
        <v>1</v>
      </c>
      <c r="R311" s="27">
        <v>44</v>
      </c>
      <c r="S311" s="28" t="s">
        <v>812</v>
      </c>
      <c r="T311" s="28" t="s">
        <v>385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51.107700000000001</v>
      </c>
      <c r="AD311" s="30">
        <v>0.20494315789473685</v>
      </c>
      <c r="AE311" s="29">
        <v>1</v>
      </c>
    </row>
    <row r="312" spans="2:31" x14ac:dyDescent="0.2">
      <c r="B312" s="27">
        <v>45</v>
      </c>
      <c r="C312" s="28" t="s">
        <v>813</v>
      </c>
      <c r="D312" s="28" t="s">
        <v>383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-49.706299999999999</v>
      </c>
      <c r="N312" s="30">
        <v>0.19932350877192981</v>
      </c>
      <c r="O312" s="29">
        <v>1</v>
      </c>
      <c r="R312" s="27">
        <v>45</v>
      </c>
      <c r="S312" s="28" t="s">
        <v>813</v>
      </c>
      <c r="T312" s="28" t="s">
        <v>383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-49.727400000000003</v>
      </c>
      <c r="AD312" s="30">
        <v>0.19940812030075189</v>
      </c>
      <c r="AE312" s="29">
        <v>1</v>
      </c>
    </row>
    <row r="313" spans="2:31" x14ac:dyDescent="0.2">
      <c r="B313" s="27">
        <v>45</v>
      </c>
      <c r="C313" s="28" t="s">
        <v>814</v>
      </c>
      <c r="D313" s="28" t="s">
        <v>385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73.336399999999998</v>
      </c>
      <c r="N313" s="30">
        <v>0.29408080200501252</v>
      </c>
      <c r="O313" s="29">
        <v>1</v>
      </c>
      <c r="R313" s="27">
        <v>45</v>
      </c>
      <c r="S313" s="28" t="s">
        <v>814</v>
      </c>
      <c r="T313" s="28" t="s">
        <v>385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51.107700000000001</v>
      </c>
      <c r="AD313" s="30">
        <v>0.20494315789473685</v>
      </c>
      <c r="AE313" s="29">
        <v>1</v>
      </c>
    </row>
    <row r="314" spans="2:31" x14ac:dyDescent="0.2">
      <c r="B314" s="27">
        <v>46</v>
      </c>
      <c r="C314" s="28" t="s">
        <v>815</v>
      </c>
      <c r="D314" s="28" t="s">
        <v>383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-49.0837</v>
      </c>
      <c r="N314" s="30">
        <v>0.19682686716791978</v>
      </c>
      <c r="O314" s="29">
        <v>1</v>
      </c>
      <c r="R314" s="27">
        <v>46</v>
      </c>
      <c r="S314" s="28" t="s">
        <v>815</v>
      </c>
      <c r="T314" s="28" t="s">
        <v>383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-49.103999999999999</v>
      </c>
      <c r="AD314" s="30">
        <v>0.19690827067669173</v>
      </c>
      <c r="AE314" s="29">
        <v>1</v>
      </c>
    </row>
    <row r="315" spans="2:31" x14ac:dyDescent="0.2">
      <c r="B315" s="27">
        <v>46</v>
      </c>
      <c r="C315" s="28" t="s">
        <v>816</v>
      </c>
      <c r="D315" s="28" t="s">
        <v>385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73.336399999999998</v>
      </c>
      <c r="N315" s="30">
        <v>0.29408080200501252</v>
      </c>
      <c r="O315" s="29">
        <v>1</v>
      </c>
      <c r="R315" s="27">
        <v>46</v>
      </c>
      <c r="S315" s="28" t="s">
        <v>816</v>
      </c>
      <c r="T315" s="28" t="s">
        <v>385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51.107700000000001</v>
      </c>
      <c r="AD315" s="30">
        <v>0.20494315789473685</v>
      </c>
      <c r="AE315" s="29">
        <v>1</v>
      </c>
    </row>
    <row r="316" spans="2:31" x14ac:dyDescent="0.2">
      <c r="B316" s="27">
        <v>47</v>
      </c>
      <c r="C316" s="28" t="s">
        <v>818</v>
      </c>
      <c r="D316" s="28" t="s">
        <v>383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-51.531100000000002</v>
      </c>
      <c r="N316" s="30">
        <v>0.20664100250626566</v>
      </c>
      <c r="O316" s="29">
        <v>1</v>
      </c>
      <c r="R316" s="27">
        <v>47</v>
      </c>
      <c r="S316" s="28" t="s">
        <v>818</v>
      </c>
      <c r="T316" s="28" t="s">
        <v>383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-51.549100000000003</v>
      </c>
      <c r="AD316" s="30">
        <v>0.20671318295739352</v>
      </c>
      <c r="AE316" s="29">
        <v>1</v>
      </c>
    </row>
    <row r="317" spans="2:31" x14ac:dyDescent="0.2">
      <c r="B317" s="27">
        <v>47</v>
      </c>
      <c r="C317" s="28" t="s">
        <v>819</v>
      </c>
      <c r="D317" s="28" t="s">
        <v>385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73.336399999999998</v>
      </c>
      <c r="N317" s="30">
        <v>0.29408080200501252</v>
      </c>
      <c r="O317" s="29">
        <v>1</v>
      </c>
      <c r="R317" s="27">
        <v>47</v>
      </c>
      <c r="S317" s="28" t="s">
        <v>819</v>
      </c>
      <c r="T317" s="28" t="s">
        <v>385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51.107700000000001</v>
      </c>
      <c r="AD317" s="30">
        <v>0.20494315789473685</v>
      </c>
      <c r="AE317" s="29">
        <v>1</v>
      </c>
    </row>
    <row r="318" spans="2:31" x14ac:dyDescent="0.2">
      <c r="B318" s="27">
        <v>25</v>
      </c>
      <c r="C318" s="28" t="s">
        <v>821</v>
      </c>
      <c r="D318" s="28" t="s">
        <v>383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-57.370800000000003</v>
      </c>
      <c r="N318" s="30">
        <v>0.23005834586466167</v>
      </c>
      <c r="O318" s="29">
        <v>1</v>
      </c>
      <c r="R318" s="27">
        <v>25</v>
      </c>
      <c r="S318" s="28" t="s">
        <v>821</v>
      </c>
      <c r="T318" s="28" t="s">
        <v>383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-57.370199999999997</v>
      </c>
      <c r="AD318" s="30">
        <v>0.23005593984962405</v>
      </c>
      <c r="AE318" s="29">
        <v>1</v>
      </c>
    </row>
    <row r="319" spans="2:31" x14ac:dyDescent="0.2">
      <c r="B319" s="27">
        <v>25</v>
      </c>
      <c r="C319" s="28" t="s">
        <v>822</v>
      </c>
      <c r="D319" s="28" t="s">
        <v>385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73.336399999999998</v>
      </c>
      <c r="N319" s="30">
        <v>0.29408080200501252</v>
      </c>
      <c r="O319" s="29">
        <v>1</v>
      </c>
      <c r="R319" s="27">
        <v>25</v>
      </c>
      <c r="S319" s="28" t="s">
        <v>822</v>
      </c>
      <c r="T319" s="28" t="s">
        <v>385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51.107700000000001</v>
      </c>
      <c r="AD319" s="30">
        <v>0.20494315789473685</v>
      </c>
      <c r="AE319" s="29">
        <v>1</v>
      </c>
    </row>
    <row r="320" spans="2:31" x14ac:dyDescent="0.2">
      <c r="B320" s="27">
        <v>28</v>
      </c>
      <c r="C320" s="28" t="s">
        <v>824</v>
      </c>
      <c r="D320" s="28" t="s">
        <v>383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-70.225300000000004</v>
      </c>
      <c r="N320" s="30">
        <v>0.28160521303258146</v>
      </c>
      <c r="O320" s="29">
        <v>1</v>
      </c>
      <c r="R320" s="27">
        <v>28</v>
      </c>
      <c r="S320" s="28" t="s">
        <v>824</v>
      </c>
      <c r="T320" s="28" t="s">
        <v>383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-70.220500000000001</v>
      </c>
      <c r="AD320" s="30">
        <v>0.28158596491228072</v>
      </c>
      <c r="AE320" s="29">
        <v>1</v>
      </c>
    </row>
    <row r="321" spans="2:31" x14ac:dyDescent="0.2">
      <c r="B321" s="27">
        <v>28</v>
      </c>
      <c r="C321" s="28" t="s">
        <v>825</v>
      </c>
      <c r="D321" s="28" t="s">
        <v>385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73.336399999999998</v>
      </c>
      <c r="N321" s="30">
        <v>0.29408080200501252</v>
      </c>
      <c r="O321" s="29">
        <v>1</v>
      </c>
      <c r="R321" s="27">
        <v>28</v>
      </c>
      <c r="S321" s="28" t="s">
        <v>825</v>
      </c>
      <c r="T321" s="28" t="s">
        <v>385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51.107700000000001</v>
      </c>
      <c r="AD321" s="30">
        <v>0.20494315789473685</v>
      </c>
      <c r="AE321" s="29">
        <v>1</v>
      </c>
    </row>
    <row r="322" spans="2:31" x14ac:dyDescent="0.2">
      <c r="B322" s="27">
        <v>31</v>
      </c>
      <c r="C322" s="28" t="s">
        <v>827</v>
      </c>
      <c r="D322" s="28" t="s">
        <v>383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-69.748199999999997</v>
      </c>
      <c r="N322" s="30">
        <v>0.27969203007518795</v>
      </c>
      <c r="O322" s="29">
        <v>1</v>
      </c>
      <c r="R322" s="27">
        <v>31</v>
      </c>
      <c r="S322" s="28" t="s">
        <v>827</v>
      </c>
      <c r="T322" s="28" t="s">
        <v>383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-69.743899999999996</v>
      </c>
      <c r="AD322" s="30">
        <v>0.27967478696741854</v>
      </c>
      <c r="AE322" s="29">
        <v>1</v>
      </c>
    </row>
    <row r="323" spans="2:31" x14ac:dyDescent="0.2">
      <c r="B323" s="27">
        <v>31</v>
      </c>
      <c r="C323" s="28" t="s">
        <v>828</v>
      </c>
      <c r="D323" s="28" t="s">
        <v>385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73.336399999999998</v>
      </c>
      <c r="N323" s="30">
        <v>0.29408080200501252</v>
      </c>
      <c r="O323" s="29">
        <v>1</v>
      </c>
      <c r="R323" s="27">
        <v>31</v>
      </c>
      <c r="S323" s="28" t="s">
        <v>828</v>
      </c>
      <c r="T323" s="28" t="s">
        <v>385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51.107700000000001</v>
      </c>
      <c r="AD323" s="30">
        <v>0.20494315789473685</v>
      </c>
      <c r="AE323" s="29">
        <v>1</v>
      </c>
    </row>
    <row r="324" spans="2:31" x14ac:dyDescent="0.2">
      <c r="B324" s="27">
        <v>34</v>
      </c>
      <c r="C324" s="28" t="s">
        <v>830</v>
      </c>
      <c r="D324" s="28" t="s">
        <v>383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-69.189499999999995</v>
      </c>
      <c r="N324" s="30">
        <v>0.27745162907268173</v>
      </c>
      <c r="O324" s="29">
        <v>1</v>
      </c>
      <c r="R324" s="27">
        <v>34</v>
      </c>
      <c r="S324" s="28" t="s">
        <v>830</v>
      </c>
      <c r="T324" s="28" t="s">
        <v>383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-69.184399999999997</v>
      </c>
      <c r="AD324" s="30">
        <v>0.27743117794486211</v>
      </c>
      <c r="AE324" s="29">
        <v>1</v>
      </c>
    </row>
    <row r="325" spans="2:31" x14ac:dyDescent="0.2">
      <c r="B325" s="27">
        <v>34</v>
      </c>
      <c r="C325" s="28" t="s">
        <v>831</v>
      </c>
      <c r="D325" s="28" t="s">
        <v>385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73.336399999999998</v>
      </c>
      <c r="N325" s="30">
        <v>0.29408080200501252</v>
      </c>
      <c r="O325" s="29">
        <v>1</v>
      </c>
      <c r="R325" s="27">
        <v>34</v>
      </c>
      <c r="S325" s="28" t="s">
        <v>831</v>
      </c>
      <c r="T325" s="28" t="s">
        <v>385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51.107700000000001</v>
      </c>
      <c r="AD325" s="30">
        <v>0.20494315789473685</v>
      </c>
      <c r="AE325" s="29">
        <v>1</v>
      </c>
    </row>
    <row r="326" spans="2:31" x14ac:dyDescent="0.2">
      <c r="B326" s="27">
        <v>37</v>
      </c>
      <c r="C326" s="28" t="s">
        <v>833</v>
      </c>
      <c r="D326" s="28" t="s">
        <v>383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-68.587900000000005</v>
      </c>
      <c r="N326" s="30">
        <v>0.27503919799498749</v>
      </c>
      <c r="O326" s="29">
        <v>1</v>
      </c>
      <c r="R326" s="27">
        <v>37</v>
      </c>
      <c r="S326" s="28" t="s">
        <v>833</v>
      </c>
      <c r="T326" s="28" t="s">
        <v>383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-68.581199999999995</v>
      </c>
      <c r="AD326" s="30">
        <v>0.27501233082706766</v>
      </c>
      <c r="AE326" s="29">
        <v>1</v>
      </c>
    </row>
    <row r="327" spans="2:31" x14ac:dyDescent="0.2">
      <c r="B327" s="27">
        <v>37</v>
      </c>
      <c r="C327" s="28" t="s">
        <v>834</v>
      </c>
      <c r="D327" s="28" t="s">
        <v>385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73.336399999999998</v>
      </c>
      <c r="N327" s="30">
        <v>0.29408080200501252</v>
      </c>
      <c r="O327" s="29">
        <v>1</v>
      </c>
      <c r="R327" s="27">
        <v>37</v>
      </c>
      <c r="S327" s="28" t="s">
        <v>834</v>
      </c>
      <c r="T327" s="28" t="s">
        <v>385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51.107700000000001</v>
      </c>
      <c r="AD327" s="30">
        <v>0.20494315789473685</v>
      </c>
      <c r="AE327" s="29">
        <v>1</v>
      </c>
    </row>
    <row r="328" spans="2:31" x14ac:dyDescent="0.2">
      <c r="B328" s="27">
        <v>40</v>
      </c>
      <c r="C328" s="28" t="s">
        <v>836</v>
      </c>
      <c r="D328" s="28" t="s">
        <v>383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-52.1419</v>
      </c>
      <c r="N328" s="30">
        <v>0.20909032581453635</v>
      </c>
      <c r="O328" s="29">
        <v>1</v>
      </c>
      <c r="R328" s="27">
        <v>40</v>
      </c>
      <c r="S328" s="28" t="s">
        <v>836</v>
      </c>
      <c r="T328" s="28" t="s">
        <v>383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-52.134</v>
      </c>
      <c r="AD328" s="30">
        <v>0.20905864661654136</v>
      </c>
      <c r="AE328" s="29">
        <v>1</v>
      </c>
    </row>
    <row r="329" spans="2:31" x14ac:dyDescent="0.2">
      <c r="B329" s="27">
        <v>40</v>
      </c>
      <c r="C329" s="28" t="s">
        <v>837</v>
      </c>
      <c r="D329" s="28" t="s">
        <v>385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73.336399999999998</v>
      </c>
      <c r="N329" s="30">
        <v>0.29408080200501252</v>
      </c>
      <c r="O329" s="29">
        <v>1</v>
      </c>
      <c r="R329" s="27">
        <v>40</v>
      </c>
      <c r="S329" s="28" t="s">
        <v>837</v>
      </c>
      <c r="T329" s="28" t="s">
        <v>385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51.107700000000001</v>
      </c>
      <c r="AD329" s="30">
        <v>0.20494315789473685</v>
      </c>
      <c r="AE329" s="29">
        <v>1</v>
      </c>
    </row>
    <row r="330" spans="2:31" x14ac:dyDescent="0.2">
      <c r="B330" s="27">
        <v>48</v>
      </c>
      <c r="C330" s="28" t="s">
        <v>839</v>
      </c>
      <c r="D330" s="28" t="s">
        <v>383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-61.084600000000002</v>
      </c>
      <c r="N330" s="30">
        <v>0.2449507769423559</v>
      </c>
      <c r="O330" s="29">
        <v>1</v>
      </c>
      <c r="R330" s="27">
        <v>48</v>
      </c>
      <c r="S330" s="28" t="s">
        <v>839</v>
      </c>
      <c r="T330" s="28" t="s">
        <v>383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-61.107500000000002</v>
      </c>
      <c r="AD330" s="30">
        <v>0.24504260651629073</v>
      </c>
      <c r="AE330" s="29">
        <v>1</v>
      </c>
    </row>
    <row r="331" spans="2:31" x14ac:dyDescent="0.2">
      <c r="B331" s="27">
        <v>48</v>
      </c>
      <c r="C331" s="28" t="s">
        <v>840</v>
      </c>
      <c r="D331" s="28" t="s">
        <v>385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73.336399999999998</v>
      </c>
      <c r="N331" s="30">
        <v>0.29408080200501252</v>
      </c>
      <c r="O331" s="29">
        <v>1</v>
      </c>
      <c r="R331" s="27">
        <v>48</v>
      </c>
      <c r="S331" s="28" t="s">
        <v>840</v>
      </c>
      <c r="T331" s="28" t="s">
        <v>385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51.107700000000001</v>
      </c>
      <c r="AD331" s="30">
        <v>0.20494315789473685</v>
      </c>
      <c r="AE331" s="29">
        <v>1</v>
      </c>
    </row>
    <row r="332" spans="2:31" x14ac:dyDescent="0.2">
      <c r="B332" s="27">
        <v>49</v>
      </c>
      <c r="C332" s="28" t="s">
        <v>842</v>
      </c>
      <c r="D332" s="28" t="s">
        <v>383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-58.1066</v>
      </c>
      <c r="N332" s="30">
        <v>0.23300892230576439</v>
      </c>
      <c r="O332" s="29">
        <v>1</v>
      </c>
      <c r="R332" s="27">
        <v>49</v>
      </c>
      <c r="S332" s="28" t="s">
        <v>842</v>
      </c>
      <c r="T332" s="28" t="s">
        <v>383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-58.128399999999999</v>
      </c>
      <c r="AD332" s="30">
        <v>0.23309634085213032</v>
      </c>
      <c r="AE332" s="29">
        <v>1</v>
      </c>
    </row>
    <row r="333" spans="2:31" x14ac:dyDescent="0.2">
      <c r="B333" s="27">
        <v>49</v>
      </c>
      <c r="C333" s="28" t="s">
        <v>843</v>
      </c>
      <c r="D333" s="28" t="s">
        <v>385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73.336399999999998</v>
      </c>
      <c r="N333" s="30">
        <v>0.29408080200501252</v>
      </c>
      <c r="O333" s="29">
        <v>1</v>
      </c>
      <c r="R333" s="27">
        <v>49</v>
      </c>
      <c r="S333" s="28" t="s">
        <v>843</v>
      </c>
      <c r="T333" s="28" t="s">
        <v>385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51.107700000000001</v>
      </c>
      <c r="AD333" s="30">
        <v>0.20494315789473685</v>
      </c>
      <c r="AE333" s="29">
        <v>1</v>
      </c>
    </row>
    <row r="334" spans="2:31" x14ac:dyDescent="0.2">
      <c r="B334" s="27">
        <v>50</v>
      </c>
      <c r="C334" s="28" t="s">
        <v>844</v>
      </c>
      <c r="D334" s="28" t="s">
        <v>383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-61.122399999999999</v>
      </c>
      <c r="N334" s="30">
        <v>0.24510235588972432</v>
      </c>
      <c r="O334" s="29">
        <v>1</v>
      </c>
      <c r="R334" s="27">
        <v>50</v>
      </c>
      <c r="S334" s="28" t="s">
        <v>844</v>
      </c>
      <c r="T334" s="28" t="s">
        <v>383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-61.143500000000003</v>
      </c>
      <c r="AD334" s="30">
        <v>0.24518696741854637</v>
      </c>
      <c r="AE334" s="29">
        <v>1</v>
      </c>
    </row>
    <row r="335" spans="2:31" x14ac:dyDescent="0.2">
      <c r="B335" s="27">
        <v>50</v>
      </c>
      <c r="C335" s="28" t="s">
        <v>845</v>
      </c>
      <c r="D335" s="28" t="s">
        <v>385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73.336399999999998</v>
      </c>
      <c r="N335" s="30">
        <v>0.29408080200501252</v>
      </c>
      <c r="O335" s="29">
        <v>1</v>
      </c>
      <c r="R335" s="27">
        <v>50</v>
      </c>
      <c r="S335" s="28" t="s">
        <v>845</v>
      </c>
      <c r="T335" s="28" t="s">
        <v>385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51.107700000000001</v>
      </c>
      <c r="AD335" s="30">
        <v>0.20494315789473685</v>
      </c>
      <c r="AE335" s="29">
        <v>1</v>
      </c>
    </row>
    <row r="336" spans="2:31" x14ac:dyDescent="0.2">
      <c r="B336" s="27">
        <v>51</v>
      </c>
      <c r="C336" s="28" t="s">
        <v>846</v>
      </c>
      <c r="D336" s="28" t="s">
        <v>383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-61.3992</v>
      </c>
      <c r="N336" s="30">
        <v>0.24621233082706767</v>
      </c>
      <c r="O336" s="29">
        <v>1</v>
      </c>
      <c r="R336" s="27">
        <v>51</v>
      </c>
      <c r="S336" s="28" t="s">
        <v>846</v>
      </c>
      <c r="T336" s="28" t="s">
        <v>383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-61.4206</v>
      </c>
      <c r="AD336" s="30">
        <v>0.24629814536340852</v>
      </c>
      <c r="AE336" s="29">
        <v>1</v>
      </c>
    </row>
    <row r="337" spans="2:31" x14ac:dyDescent="0.2">
      <c r="B337" s="27">
        <v>51</v>
      </c>
      <c r="C337" s="28" t="s">
        <v>847</v>
      </c>
      <c r="D337" s="28" t="s">
        <v>385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73.336399999999998</v>
      </c>
      <c r="N337" s="30">
        <v>0.29408080200501252</v>
      </c>
      <c r="O337" s="29">
        <v>1</v>
      </c>
      <c r="R337" s="27">
        <v>51</v>
      </c>
      <c r="S337" s="28" t="s">
        <v>847</v>
      </c>
      <c r="T337" s="28" t="s">
        <v>385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51.107700000000001</v>
      </c>
      <c r="AD337" s="30">
        <v>0.20494315789473685</v>
      </c>
      <c r="AE337" s="29">
        <v>1</v>
      </c>
    </row>
    <row r="338" spans="2:31" x14ac:dyDescent="0.2">
      <c r="B338" s="27">
        <v>52</v>
      </c>
      <c r="C338" s="28" t="s">
        <v>849</v>
      </c>
      <c r="D338" s="28" t="s">
        <v>383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-60.677500000000002</v>
      </c>
      <c r="N338" s="30">
        <v>0.24331829573934838</v>
      </c>
      <c r="O338" s="29">
        <v>1</v>
      </c>
      <c r="R338" s="27">
        <v>52</v>
      </c>
      <c r="S338" s="28" t="s">
        <v>849</v>
      </c>
      <c r="T338" s="28" t="s">
        <v>383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-60.700800000000001</v>
      </c>
      <c r="AD338" s="30">
        <v>0.24341172932330829</v>
      </c>
      <c r="AE338" s="29">
        <v>1</v>
      </c>
    </row>
    <row r="339" spans="2:31" x14ac:dyDescent="0.2">
      <c r="B339" s="27">
        <v>52</v>
      </c>
      <c r="C339" s="28" t="s">
        <v>850</v>
      </c>
      <c r="D339" s="28" t="s">
        <v>385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73.336399999999998</v>
      </c>
      <c r="N339" s="30">
        <v>0.29408080200501252</v>
      </c>
      <c r="O339" s="29">
        <v>1</v>
      </c>
      <c r="R339" s="27">
        <v>52</v>
      </c>
      <c r="S339" s="28" t="s">
        <v>850</v>
      </c>
      <c r="T339" s="28" t="s">
        <v>385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51.107700000000001</v>
      </c>
      <c r="AD339" s="30">
        <v>0.20494315789473685</v>
      </c>
      <c r="AE339" s="29">
        <v>1</v>
      </c>
    </row>
    <row r="340" spans="2:31" x14ac:dyDescent="0.2">
      <c r="B340" s="27">
        <v>26</v>
      </c>
      <c r="C340" s="28" t="s">
        <v>852</v>
      </c>
      <c r="D340" s="28" t="s">
        <v>383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-57.485399999999998</v>
      </c>
      <c r="N340" s="30">
        <v>0.23051789473684212</v>
      </c>
      <c r="O340" s="29">
        <v>1</v>
      </c>
      <c r="R340" s="27">
        <v>26</v>
      </c>
      <c r="S340" s="28" t="s">
        <v>852</v>
      </c>
      <c r="T340" s="28" t="s">
        <v>383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-57.484499999999997</v>
      </c>
      <c r="AD340" s="30">
        <v>0.23051428571428573</v>
      </c>
      <c r="AE340" s="29">
        <v>1</v>
      </c>
    </row>
    <row r="341" spans="2:31" x14ac:dyDescent="0.2">
      <c r="B341" s="27">
        <v>26</v>
      </c>
      <c r="C341" s="28" t="s">
        <v>853</v>
      </c>
      <c r="D341" s="28" t="s">
        <v>385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73.336399999999998</v>
      </c>
      <c r="N341" s="30">
        <v>0.29408080200501252</v>
      </c>
      <c r="O341" s="29">
        <v>1</v>
      </c>
      <c r="R341" s="27">
        <v>26</v>
      </c>
      <c r="S341" s="28" t="s">
        <v>853</v>
      </c>
      <c r="T341" s="28" t="s">
        <v>385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57.478499999999997</v>
      </c>
      <c r="AD341" s="30">
        <v>0.23049022556390977</v>
      </c>
      <c r="AE341" s="29">
        <v>1</v>
      </c>
    </row>
    <row r="342" spans="2:31" x14ac:dyDescent="0.2">
      <c r="B342" s="27">
        <v>29</v>
      </c>
      <c r="C342" s="28" t="s">
        <v>855</v>
      </c>
      <c r="D342" s="28" t="s">
        <v>383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-74.471199999999996</v>
      </c>
      <c r="N342" s="30">
        <v>0.29863137844611526</v>
      </c>
      <c r="O342" s="29">
        <v>1</v>
      </c>
      <c r="R342" s="27">
        <v>29</v>
      </c>
      <c r="S342" s="28" t="s">
        <v>855</v>
      </c>
      <c r="T342" s="28" t="s">
        <v>383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-74.466099999999997</v>
      </c>
      <c r="AD342" s="30">
        <v>0.29861092731829569</v>
      </c>
      <c r="AE342" s="29">
        <v>1</v>
      </c>
    </row>
    <row r="343" spans="2:31" x14ac:dyDescent="0.2">
      <c r="B343" s="27">
        <v>29</v>
      </c>
      <c r="C343" s="28" t="s">
        <v>856</v>
      </c>
      <c r="D343" s="28" t="s">
        <v>385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74.458399999999997</v>
      </c>
      <c r="N343" s="30">
        <v>0.29858005012531325</v>
      </c>
      <c r="O343" s="29">
        <v>1</v>
      </c>
      <c r="R343" s="27">
        <v>29</v>
      </c>
      <c r="S343" s="28" t="s">
        <v>856</v>
      </c>
      <c r="T343" s="28" t="s">
        <v>385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57.478499999999997</v>
      </c>
      <c r="AD343" s="30">
        <v>0.23049022556390977</v>
      </c>
      <c r="AE343" s="29">
        <v>1</v>
      </c>
    </row>
    <row r="344" spans="2:31" x14ac:dyDescent="0.2">
      <c r="B344" s="27">
        <v>32</v>
      </c>
      <c r="C344" s="28" t="s">
        <v>858</v>
      </c>
      <c r="D344" s="28" t="s">
        <v>383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-68.935500000000005</v>
      </c>
      <c r="N344" s="30">
        <v>0.27643308270676692</v>
      </c>
      <c r="O344" s="29">
        <v>1</v>
      </c>
      <c r="R344" s="27">
        <v>32</v>
      </c>
      <c r="S344" s="28" t="s">
        <v>858</v>
      </c>
      <c r="T344" s="28" t="s">
        <v>383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-68.9298</v>
      </c>
      <c r="AD344" s="30">
        <v>0.27641022556390976</v>
      </c>
      <c r="AE344" s="29">
        <v>1</v>
      </c>
    </row>
    <row r="345" spans="2:31" x14ac:dyDescent="0.2">
      <c r="B345" s="27">
        <v>32</v>
      </c>
      <c r="C345" s="28" t="s">
        <v>859</v>
      </c>
      <c r="D345" s="28" t="s">
        <v>385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74.458399999999997</v>
      </c>
      <c r="N345" s="30">
        <v>0.29858005012531325</v>
      </c>
      <c r="O345" s="29">
        <v>1</v>
      </c>
      <c r="R345" s="27">
        <v>32</v>
      </c>
      <c r="S345" s="28" t="s">
        <v>859</v>
      </c>
      <c r="T345" s="28" t="s">
        <v>385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68.94</v>
      </c>
      <c r="AD345" s="30">
        <v>0.27645112781954889</v>
      </c>
      <c r="AE345" s="29">
        <v>1</v>
      </c>
    </row>
    <row r="346" spans="2:31" x14ac:dyDescent="0.2">
      <c r="B346" s="27">
        <v>35</v>
      </c>
      <c r="C346" s="28" t="s">
        <v>861</v>
      </c>
      <c r="D346" s="28" t="s">
        <v>383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-69.118499999999997</v>
      </c>
      <c r="N346" s="30">
        <v>0.27716691729323306</v>
      </c>
      <c r="O346" s="29">
        <v>1</v>
      </c>
      <c r="R346" s="27">
        <v>35</v>
      </c>
      <c r="S346" s="28" t="s">
        <v>861</v>
      </c>
      <c r="T346" s="28" t="s">
        <v>383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-69.112899999999996</v>
      </c>
      <c r="AD346" s="30">
        <v>0.27714446115288216</v>
      </c>
      <c r="AE346" s="29">
        <v>1</v>
      </c>
    </row>
    <row r="347" spans="2:31" x14ac:dyDescent="0.2">
      <c r="B347" s="27">
        <v>35</v>
      </c>
      <c r="C347" s="28" t="s">
        <v>862</v>
      </c>
      <c r="D347" s="28" t="s">
        <v>385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74.458399999999997</v>
      </c>
      <c r="N347" s="30">
        <v>0.29858005012531325</v>
      </c>
      <c r="O347" s="29">
        <v>1</v>
      </c>
      <c r="R347" s="27">
        <v>35</v>
      </c>
      <c r="S347" s="28" t="s">
        <v>862</v>
      </c>
      <c r="T347" s="28" t="s">
        <v>385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69.135599999999997</v>
      </c>
      <c r="AD347" s="30">
        <v>0.27723548872180448</v>
      </c>
      <c r="AE347" s="29">
        <v>1</v>
      </c>
    </row>
    <row r="348" spans="2:31" x14ac:dyDescent="0.2">
      <c r="B348" s="27">
        <v>38</v>
      </c>
      <c r="C348" s="28" t="s">
        <v>864</v>
      </c>
      <c r="D348" s="28" t="s">
        <v>383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-73.512100000000004</v>
      </c>
      <c r="N348" s="30">
        <v>0.29478536340852135</v>
      </c>
      <c r="O348" s="29">
        <v>1</v>
      </c>
      <c r="R348" s="27">
        <v>38</v>
      </c>
      <c r="S348" s="28" t="s">
        <v>864</v>
      </c>
      <c r="T348" s="28" t="s">
        <v>383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-73.506200000000007</v>
      </c>
      <c r="AD348" s="30">
        <v>0.29476170426065168</v>
      </c>
      <c r="AE348" s="29">
        <v>1</v>
      </c>
    </row>
    <row r="349" spans="2:31" x14ac:dyDescent="0.2">
      <c r="B349" s="27">
        <v>38</v>
      </c>
      <c r="C349" s="28" t="s">
        <v>865</v>
      </c>
      <c r="D349" s="28" t="s">
        <v>385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73.5364</v>
      </c>
      <c r="N349" s="30">
        <v>0.29488280701754382</v>
      </c>
      <c r="O349" s="29">
        <v>1</v>
      </c>
      <c r="R349" s="27">
        <v>38</v>
      </c>
      <c r="S349" s="28" t="s">
        <v>865</v>
      </c>
      <c r="T349" s="28" t="s">
        <v>385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69.135599999999997</v>
      </c>
      <c r="AD349" s="30">
        <v>0.27723548872180448</v>
      </c>
      <c r="AE349" s="29">
        <v>1</v>
      </c>
    </row>
    <row r="350" spans="2:31" x14ac:dyDescent="0.2">
      <c r="B350" s="27">
        <v>41</v>
      </c>
      <c r="C350" s="28" t="s">
        <v>867</v>
      </c>
      <c r="D350" s="28" t="s">
        <v>383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-51.650500000000001</v>
      </c>
      <c r="N350" s="30">
        <v>0.20711979949874687</v>
      </c>
      <c r="O350" s="29">
        <v>1</v>
      </c>
      <c r="R350" s="27">
        <v>41</v>
      </c>
      <c r="S350" s="28" t="s">
        <v>867</v>
      </c>
      <c r="T350" s="28" t="s">
        <v>383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-51.642200000000003</v>
      </c>
      <c r="AD350" s="30">
        <v>0.20708651629072683</v>
      </c>
      <c r="AE350" s="29">
        <v>1</v>
      </c>
    </row>
    <row r="351" spans="2:31" x14ac:dyDescent="0.2">
      <c r="B351" s="27">
        <v>41</v>
      </c>
      <c r="C351" s="28" t="s">
        <v>868</v>
      </c>
      <c r="D351" s="28" t="s">
        <v>385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73.5364</v>
      </c>
      <c r="N351" s="30">
        <v>0.29488280701754382</v>
      </c>
      <c r="O351" s="29">
        <v>1</v>
      </c>
      <c r="R351" s="27">
        <v>41</v>
      </c>
      <c r="S351" s="28" t="s">
        <v>868</v>
      </c>
      <c r="T351" s="28" t="s">
        <v>385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51.674999999999997</v>
      </c>
      <c r="AD351" s="30">
        <v>0.20721804511278197</v>
      </c>
      <c r="AE351" s="29">
        <v>1</v>
      </c>
    </row>
    <row r="352" spans="2:31" x14ac:dyDescent="0.2">
      <c r="B352" s="27">
        <v>53</v>
      </c>
      <c r="C352" s="28" t="s">
        <v>870</v>
      </c>
      <c r="D352" s="28" t="s">
        <v>383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-61.095700000000001</v>
      </c>
      <c r="N352" s="30">
        <v>0.24499528822055139</v>
      </c>
      <c r="O352" s="29">
        <v>1</v>
      </c>
      <c r="R352" s="27">
        <v>53</v>
      </c>
      <c r="S352" s="28" t="s">
        <v>870</v>
      </c>
      <c r="T352" s="28" t="s">
        <v>383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-61.118400000000001</v>
      </c>
      <c r="AD352" s="30">
        <v>0.24508631578947368</v>
      </c>
      <c r="AE352" s="29">
        <v>1</v>
      </c>
    </row>
    <row r="353" spans="2:31" x14ac:dyDescent="0.2">
      <c r="B353" s="27">
        <v>53</v>
      </c>
      <c r="C353" s="28" t="s">
        <v>871</v>
      </c>
      <c r="D353" s="28" t="s">
        <v>385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73.5364</v>
      </c>
      <c r="N353" s="30">
        <v>0.29488280701754382</v>
      </c>
      <c r="O353" s="29">
        <v>1</v>
      </c>
      <c r="R353" s="27">
        <v>53</v>
      </c>
      <c r="S353" s="28" t="s">
        <v>871</v>
      </c>
      <c r="T353" s="28" t="s">
        <v>385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51.674999999999997</v>
      </c>
      <c r="AD353" s="30">
        <v>0.20721804511278197</v>
      </c>
      <c r="AE353" s="29">
        <v>1</v>
      </c>
    </row>
    <row r="354" spans="2:31" x14ac:dyDescent="0.2">
      <c r="B354" s="27">
        <v>54</v>
      </c>
      <c r="C354" s="28" t="s">
        <v>873</v>
      </c>
      <c r="D354" s="28" t="s">
        <v>383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-58.117400000000004</v>
      </c>
      <c r="N354" s="30">
        <v>0.23305223057644112</v>
      </c>
      <c r="O354" s="29">
        <v>1</v>
      </c>
      <c r="R354" s="27">
        <v>54</v>
      </c>
      <c r="S354" s="28" t="s">
        <v>873</v>
      </c>
      <c r="T354" s="28" t="s">
        <v>383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-58.139000000000003</v>
      </c>
      <c r="AD354" s="30">
        <v>0.23313884711779448</v>
      </c>
      <c r="AE354" s="29">
        <v>1</v>
      </c>
    </row>
    <row r="355" spans="2:31" x14ac:dyDescent="0.2">
      <c r="B355" s="27">
        <v>54</v>
      </c>
      <c r="C355" s="28" t="s">
        <v>874</v>
      </c>
      <c r="D355" s="28" t="s">
        <v>385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73.5364</v>
      </c>
      <c r="N355" s="30">
        <v>0.29488280701754382</v>
      </c>
      <c r="O355" s="29">
        <v>1</v>
      </c>
      <c r="R355" s="27">
        <v>54</v>
      </c>
      <c r="S355" s="28" t="s">
        <v>874</v>
      </c>
      <c r="T355" s="28" t="s">
        <v>385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51.674999999999997</v>
      </c>
      <c r="AD355" s="30">
        <v>0.20721804511278197</v>
      </c>
      <c r="AE355" s="29">
        <v>1</v>
      </c>
    </row>
    <row r="356" spans="2:31" x14ac:dyDescent="0.2">
      <c r="B356" s="27">
        <v>55</v>
      </c>
      <c r="C356" s="28" t="s">
        <v>875</v>
      </c>
      <c r="D356" s="28" t="s">
        <v>383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-61.133099999999999</v>
      </c>
      <c r="N356" s="30">
        <v>0.24514526315789473</v>
      </c>
      <c r="O356" s="29">
        <v>1</v>
      </c>
      <c r="R356" s="27">
        <v>55</v>
      </c>
      <c r="S356" s="28" t="s">
        <v>875</v>
      </c>
      <c r="T356" s="28" t="s">
        <v>383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-61.154000000000003</v>
      </c>
      <c r="AD356" s="30">
        <v>0.24522907268170427</v>
      </c>
      <c r="AE356" s="29">
        <v>1</v>
      </c>
    </row>
    <row r="357" spans="2:31" x14ac:dyDescent="0.2">
      <c r="B357" s="27">
        <v>55</v>
      </c>
      <c r="C357" s="28" t="s">
        <v>876</v>
      </c>
      <c r="D357" s="28" t="s">
        <v>385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73.5364</v>
      </c>
      <c r="N357" s="30">
        <v>0.29488280701754382</v>
      </c>
      <c r="O357" s="29">
        <v>1</v>
      </c>
      <c r="R357" s="27">
        <v>55</v>
      </c>
      <c r="S357" s="28" t="s">
        <v>876</v>
      </c>
      <c r="T357" s="28" t="s">
        <v>385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51.674999999999997</v>
      </c>
      <c r="AD357" s="30">
        <v>0.20721804511278197</v>
      </c>
      <c r="AE357" s="29">
        <v>1</v>
      </c>
    </row>
    <row r="358" spans="2:31" x14ac:dyDescent="0.2">
      <c r="B358" s="27">
        <v>56</v>
      </c>
      <c r="C358" s="28" t="s">
        <v>877</v>
      </c>
      <c r="D358" s="28" t="s">
        <v>383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-61.41</v>
      </c>
      <c r="N358" s="30">
        <v>0.24625563909774437</v>
      </c>
      <c r="O358" s="29">
        <v>1</v>
      </c>
      <c r="R358" s="27">
        <v>56</v>
      </c>
      <c r="S358" s="28" t="s">
        <v>877</v>
      </c>
      <c r="T358" s="28" t="s">
        <v>383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-61.431199999999997</v>
      </c>
      <c r="AD358" s="30">
        <v>0.24634065162907268</v>
      </c>
      <c r="AE358" s="29">
        <v>1</v>
      </c>
    </row>
    <row r="359" spans="2:31" x14ac:dyDescent="0.2">
      <c r="B359" s="27">
        <v>56</v>
      </c>
      <c r="C359" s="28" t="s">
        <v>878</v>
      </c>
      <c r="D359" s="28" t="s">
        <v>385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73.5364</v>
      </c>
      <c r="N359" s="30">
        <v>0.29488280701754382</v>
      </c>
      <c r="O359" s="29">
        <v>1</v>
      </c>
      <c r="R359" s="27">
        <v>56</v>
      </c>
      <c r="S359" s="28" t="s">
        <v>878</v>
      </c>
      <c r="T359" s="28" t="s">
        <v>385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51.674999999999997</v>
      </c>
      <c r="AD359" s="30">
        <v>0.20721804511278197</v>
      </c>
      <c r="AE359" s="29">
        <v>1</v>
      </c>
    </row>
    <row r="360" spans="2:31" x14ac:dyDescent="0.2">
      <c r="B360" s="27">
        <v>57</v>
      </c>
      <c r="C360" s="28" t="s">
        <v>880</v>
      </c>
      <c r="D360" s="28" t="s">
        <v>383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-60.688899999999997</v>
      </c>
      <c r="N360" s="30">
        <v>0.24336401002506264</v>
      </c>
      <c r="O360" s="29">
        <v>1</v>
      </c>
      <c r="R360" s="27">
        <v>57</v>
      </c>
      <c r="S360" s="28" t="s">
        <v>880</v>
      </c>
      <c r="T360" s="28" t="s">
        <v>383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-60.712000000000003</v>
      </c>
      <c r="AD360" s="30">
        <v>0.24345664160401004</v>
      </c>
      <c r="AE360" s="29">
        <v>1</v>
      </c>
    </row>
    <row r="361" spans="2:31" x14ac:dyDescent="0.2">
      <c r="B361" s="27">
        <v>57</v>
      </c>
      <c r="C361" s="28" t="s">
        <v>881</v>
      </c>
      <c r="D361" s="28" t="s">
        <v>385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73.5364</v>
      </c>
      <c r="N361" s="30">
        <v>0.29488280701754382</v>
      </c>
      <c r="O361" s="29">
        <v>1</v>
      </c>
      <c r="R361" s="27">
        <v>57</v>
      </c>
      <c r="S361" s="28" t="s">
        <v>881</v>
      </c>
      <c r="T361" s="28" t="s">
        <v>385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51.674999999999997</v>
      </c>
      <c r="AD361" s="30">
        <v>0.20721804511278197</v>
      </c>
      <c r="AE361" s="29">
        <v>1</v>
      </c>
    </row>
    <row r="362" spans="2:31" x14ac:dyDescent="0.2">
      <c r="B362" s="27">
        <v>27</v>
      </c>
      <c r="C362" s="28" t="s">
        <v>883</v>
      </c>
      <c r="D362" s="28" t="s">
        <v>383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-58.318399999999997</v>
      </c>
      <c r="N362" s="30">
        <v>0.23385824561403507</v>
      </c>
      <c r="O362" s="29">
        <v>1</v>
      </c>
      <c r="R362" s="27">
        <v>27</v>
      </c>
      <c r="S362" s="28" t="s">
        <v>883</v>
      </c>
      <c r="T362" s="28" t="s">
        <v>383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-58.317799999999998</v>
      </c>
      <c r="AD362" s="30">
        <v>0.23385583959899747</v>
      </c>
      <c r="AE362" s="29">
        <v>1</v>
      </c>
    </row>
    <row r="363" spans="2:31" x14ac:dyDescent="0.2">
      <c r="B363" s="27">
        <v>27</v>
      </c>
      <c r="C363" s="28" t="s">
        <v>884</v>
      </c>
      <c r="D363" s="28" t="s">
        <v>385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73.5364</v>
      </c>
      <c r="N363" s="30">
        <v>0.29488280701754382</v>
      </c>
      <c r="O363" s="29">
        <v>1</v>
      </c>
      <c r="R363" s="27">
        <v>27</v>
      </c>
      <c r="S363" s="28" t="s">
        <v>884</v>
      </c>
      <c r="T363" s="28" t="s">
        <v>385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51.674999999999997</v>
      </c>
      <c r="AD363" s="30">
        <v>0.20721804511278197</v>
      </c>
      <c r="AE363" s="29">
        <v>1</v>
      </c>
    </row>
    <row r="364" spans="2:31" x14ac:dyDescent="0.2">
      <c r="B364" s="27">
        <v>30</v>
      </c>
      <c r="C364" s="28" t="s">
        <v>886</v>
      </c>
      <c r="D364" s="28" t="s">
        <v>383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-74.406999999999996</v>
      </c>
      <c r="N364" s="30">
        <v>0.29837393483709274</v>
      </c>
      <c r="O364" s="29">
        <v>1</v>
      </c>
      <c r="R364" s="27">
        <v>30</v>
      </c>
      <c r="S364" s="28" t="s">
        <v>886</v>
      </c>
      <c r="T364" s="28" t="s">
        <v>383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-74.401700000000005</v>
      </c>
      <c r="AD364" s="30">
        <v>0.29835268170426071</v>
      </c>
      <c r="AE364" s="29">
        <v>1</v>
      </c>
    </row>
    <row r="365" spans="2:31" x14ac:dyDescent="0.2">
      <c r="B365" s="27">
        <v>30</v>
      </c>
      <c r="C365" s="28" t="s">
        <v>887</v>
      </c>
      <c r="D365" s="28" t="s">
        <v>385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73.5364</v>
      </c>
      <c r="N365" s="30">
        <v>0.29488280701754382</v>
      </c>
      <c r="O365" s="29">
        <v>1</v>
      </c>
      <c r="R365" s="27">
        <v>30</v>
      </c>
      <c r="S365" s="28" t="s">
        <v>887</v>
      </c>
      <c r="T365" s="28" t="s">
        <v>385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51.674999999999997</v>
      </c>
      <c r="AD365" s="30">
        <v>0.20721804511278197</v>
      </c>
      <c r="AE365" s="29">
        <v>1</v>
      </c>
    </row>
    <row r="366" spans="2:31" x14ac:dyDescent="0.2">
      <c r="B366" s="27">
        <v>33</v>
      </c>
      <c r="C366" s="28" t="s">
        <v>889</v>
      </c>
      <c r="D366" s="28" t="s">
        <v>383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-69.398399999999995</v>
      </c>
      <c r="N366" s="30">
        <v>0.27828932330827066</v>
      </c>
      <c r="O366" s="29">
        <v>1</v>
      </c>
      <c r="R366" s="27">
        <v>33</v>
      </c>
      <c r="S366" s="28" t="s">
        <v>889</v>
      </c>
      <c r="T366" s="28" t="s">
        <v>383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-69.391900000000007</v>
      </c>
      <c r="AD366" s="30">
        <v>0.27826325814536346</v>
      </c>
      <c r="AE366" s="29">
        <v>1</v>
      </c>
    </row>
    <row r="367" spans="2:31" x14ac:dyDescent="0.2">
      <c r="B367" s="27">
        <v>33</v>
      </c>
      <c r="C367" s="28" t="s">
        <v>890</v>
      </c>
      <c r="D367" s="28" t="s">
        <v>385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73.5364</v>
      </c>
      <c r="N367" s="30">
        <v>0.29488280701754382</v>
      </c>
      <c r="O367" s="29">
        <v>1</v>
      </c>
      <c r="R367" s="27">
        <v>33</v>
      </c>
      <c r="S367" s="28" t="s">
        <v>890</v>
      </c>
      <c r="T367" s="28" t="s">
        <v>385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51.674999999999997</v>
      </c>
      <c r="AD367" s="30">
        <v>0.20721804511278197</v>
      </c>
      <c r="AE367" s="29">
        <v>1</v>
      </c>
    </row>
    <row r="368" spans="2:31" x14ac:dyDescent="0.2">
      <c r="B368" s="27">
        <v>36</v>
      </c>
      <c r="C368" s="28" t="s">
        <v>892</v>
      </c>
      <c r="D368" s="28" t="s">
        <v>383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-69.757599999999996</v>
      </c>
      <c r="N368" s="30">
        <v>0.27972972431077692</v>
      </c>
      <c r="O368" s="29">
        <v>1</v>
      </c>
      <c r="R368" s="27">
        <v>36</v>
      </c>
      <c r="S368" s="28" t="s">
        <v>892</v>
      </c>
      <c r="T368" s="28" t="s">
        <v>383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-69.751599999999996</v>
      </c>
      <c r="AD368" s="30">
        <v>0.27970566416040099</v>
      </c>
      <c r="AE368" s="29">
        <v>1</v>
      </c>
    </row>
    <row r="369" spans="2:31" x14ac:dyDescent="0.2">
      <c r="B369" s="27">
        <v>36</v>
      </c>
      <c r="C369" s="28" t="s">
        <v>893</v>
      </c>
      <c r="D369" s="28" t="s">
        <v>385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73.5364</v>
      </c>
      <c r="N369" s="30">
        <v>0.29488280701754382</v>
      </c>
      <c r="O369" s="29">
        <v>1</v>
      </c>
      <c r="R369" s="27">
        <v>36</v>
      </c>
      <c r="S369" s="28" t="s">
        <v>893</v>
      </c>
      <c r="T369" s="28" t="s">
        <v>385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51.674999999999997</v>
      </c>
      <c r="AD369" s="30">
        <v>0.20721804511278197</v>
      </c>
      <c r="AE369" s="29">
        <v>1</v>
      </c>
    </row>
    <row r="370" spans="2:31" x14ac:dyDescent="0.2">
      <c r="B370" s="27">
        <v>39</v>
      </c>
      <c r="C370" s="28" t="s">
        <v>895</v>
      </c>
      <c r="D370" s="28" t="s">
        <v>383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-73.563199999999995</v>
      </c>
      <c r="N370" s="30">
        <v>0.29499027568922304</v>
      </c>
      <c r="O370" s="29">
        <v>1</v>
      </c>
      <c r="R370" s="27">
        <v>39</v>
      </c>
      <c r="S370" s="28" t="s">
        <v>895</v>
      </c>
      <c r="T370" s="28" t="s">
        <v>383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-73.557299999999998</v>
      </c>
      <c r="AD370" s="30">
        <v>0.29496661654135342</v>
      </c>
      <c r="AE370" s="29">
        <v>1</v>
      </c>
    </row>
    <row r="371" spans="2:31" x14ac:dyDescent="0.2">
      <c r="B371" s="27">
        <v>39</v>
      </c>
      <c r="C371" s="28" t="s">
        <v>896</v>
      </c>
      <c r="D371" s="28" t="s">
        <v>385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73.5364</v>
      </c>
      <c r="N371" s="30">
        <v>0.29488280701754382</v>
      </c>
      <c r="O371" s="29">
        <v>1</v>
      </c>
      <c r="R371" s="27">
        <v>39</v>
      </c>
      <c r="S371" s="28" t="s">
        <v>896</v>
      </c>
      <c r="T371" s="28" t="s">
        <v>385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51.674999999999997</v>
      </c>
      <c r="AD371" s="30">
        <v>0.20721804511278197</v>
      </c>
      <c r="AE371" s="29">
        <v>1</v>
      </c>
    </row>
    <row r="372" spans="2:31" x14ac:dyDescent="0.2">
      <c r="B372" s="27">
        <v>42</v>
      </c>
      <c r="C372" s="28" t="s">
        <v>898</v>
      </c>
      <c r="D372" s="28" t="s">
        <v>383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-52.334499999999998</v>
      </c>
      <c r="N372" s="30">
        <v>0.209862656641604</v>
      </c>
      <c r="O372" s="29">
        <v>1</v>
      </c>
      <c r="R372" s="27">
        <v>42</v>
      </c>
      <c r="S372" s="28" t="s">
        <v>898</v>
      </c>
      <c r="T372" s="28" t="s">
        <v>383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-52.326599999999999</v>
      </c>
      <c r="AD372" s="30">
        <v>0.20983097744360901</v>
      </c>
      <c r="AE372" s="29">
        <v>1</v>
      </c>
    </row>
    <row r="373" spans="2:31" x14ac:dyDescent="0.2">
      <c r="B373" s="27">
        <v>42</v>
      </c>
      <c r="C373" s="28" t="s">
        <v>899</v>
      </c>
      <c r="D373" s="28" t="s">
        <v>385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73.5364</v>
      </c>
      <c r="N373" s="30">
        <v>0.29488280701754382</v>
      </c>
      <c r="O373" s="29">
        <v>1</v>
      </c>
      <c r="R373" s="27">
        <v>42</v>
      </c>
      <c r="S373" s="28" t="s">
        <v>899</v>
      </c>
      <c r="T373" s="28" t="s">
        <v>385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51.674999999999997</v>
      </c>
      <c r="AD373" s="30">
        <v>0.20721804511278197</v>
      </c>
      <c r="AE373" s="29">
        <v>1</v>
      </c>
    </row>
    <row r="374" spans="2:31" x14ac:dyDescent="0.2">
      <c r="B374" s="27">
        <v>58</v>
      </c>
      <c r="C374" s="28" t="s">
        <v>901</v>
      </c>
      <c r="D374" s="28" t="s">
        <v>383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-47.6907</v>
      </c>
      <c r="N374" s="30">
        <v>0.19124090225563908</v>
      </c>
      <c r="O374" s="29">
        <v>1</v>
      </c>
      <c r="R374" s="27">
        <v>58</v>
      </c>
      <c r="S374" s="28" t="s">
        <v>901</v>
      </c>
      <c r="T374" s="28" t="s">
        <v>383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-47.708199999999998</v>
      </c>
      <c r="AD374" s="30">
        <v>0.19131107769423558</v>
      </c>
      <c r="AE374" s="29">
        <v>1</v>
      </c>
    </row>
    <row r="375" spans="2:31" x14ac:dyDescent="0.2">
      <c r="B375" s="27">
        <v>58</v>
      </c>
      <c r="C375" s="28" t="s">
        <v>902</v>
      </c>
      <c r="D375" s="28" t="s">
        <v>385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73.5364</v>
      </c>
      <c r="N375" s="30">
        <v>0.29488280701754382</v>
      </c>
      <c r="O375" s="29">
        <v>1</v>
      </c>
      <c r="R375" s="27">
        <v>58</v>
      </c>
      <c r="S375" s="28" t="s">
        <v>902</v>
      </c>
      <c r="T375" s="28" t="s">
        <v>385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51.674999999999997</v>
      </c>
      <c r="AD375" s="30">
        <v>0.20721804511278197</v>
      </c>
      <c r="AE375" s="29">
        <v>1</v>
      </c>
    </row>
    <row r="376" spans="2:31" x14ac:dyDescent="0.2">
      <c r="B376" s="27">
        <v>59</v>
      </c>
      <c r="C376" s="28" t="s">
        <v>904</v>
      </c>
      <c r="D376" s="28" t="s">
        <v>383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-52.315800000000003</v>
      </c>
      <c r="N376" s="30">
        <v>0.20978766917293235</v>
      </c>
      <c r="O376" s="29">
        <v>1</v>
      </c>
      <c r="R376" s="27">
        <v>59</v>
      </c>
      <c r="S376" s="28" t="s">
        <v>904</v>
      </c>
      <c r="T376" s="28" t="s">
        <v>383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-52.335799999999999</v>
      </c>
      <c r="AD376" s="30">
        <v>0.20986786967418544</v>
      </c>
      <c r="AE376" s="29">
        <v>1</v>
      </c>
    </row>
    <row r="377" spans="2:31" x14ac:dyDescent="0.2">
      <c r="B377" s="27">
        <v>59</v>
      </c>
      <c r="C377" s="28" t="s">
        <v>905</v>
      </c>
      <c r="D377" s="28" t="s">
        <v>385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73.5364</v>
      </c>
      <c r="N377" s="30">
        <v>0.29488280701754382</v>
      </c>
      <c r="O377" s="29">
        <v>1</v>
      </c>
      <c r="R377" s="27">
        <v>59</v>
      </c>
      <c r="S377" s="28" t="s">
        <v>905</v>
      </c>
      <c r="T377" s="28" t="s">
        <v>385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51.674999999999997</v>
      </c>
      <c r="AD377" s="30">
        <v>0.20721804511278197</v>
      </c>
      <c r="AE377" s="29">
        <v>1</v>
      </c>
    </row>
    <row r="378" spans="2:31" x14ac:dyDescent="0.2">
      <c r="B378" s="27">
        <v>60</v>
      </c>
      <c r="C378" s="28" t="s">
        <v>906</v>
      </c>
      <c r="D378" s="28" t="s">
        <v>383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-49.730499999999999</v>
      </c>
      <c r="N378" s="30">
        <v>0.19942055137844611</v>
      </c>
      <c r="O378" s="29">
        <v>1</v>
      </c>
      <c r="R378" s="27">
        <v>60</v>
      </c>
      <c r="S378" s="28" t="s">
        <v>906</v>
      </c>
      <c r="T378" s="28" t="s">
        <v>383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-49.751899999999999</v>
      </c>
      <c r="AD378" s="30">
        <v>0.19950636591478696</v>
      </c>
      <c r="AE378" s="29">
        <v>1</v>
      </c>
    </row>
    <row r="379" spans="2:31" x14ac:dyDescent="0.2">
      <c r="B379" s="27">
        <v>60</v>
      </c>
      <c r="C379" s="28" t="s">
        <v>907</v>
      </c>
      <c r="D379" s="28" t="s">
        <v>385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73.5364</v>
      </c>
      <c r="N379" s="30">
        <v>0.29488280701754382</v>
      </c>
      <c r="O379" s="29">
        <v>1</v>
      </c>
      <c r="R379" s="27">
        <v>60</v>
      </c>
      <c r="S379" s="28" t="s">
        <v>907</v>
      </c>
      <c r="T379" s="28" t="s">
        <v>385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51.674999999999997</v>
      </c>
      <c r="AD379" s="30">
        <v>0.20721804511278197</v>
      </c>
      <c r="AE379" s="29">
        <v>1</v>
      </c>
    </row>
    <row r="380" spans="2:31" x14ac:dyDescent="0.2">
      <c r="B380" s="27">
        <v>61</v>
      </c>
      <c r="C380" s="28" t="s">
        <v>908</v>
      </c>
      <c r="D380" s="28" t="s">
        <v>383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-49.107700000000001</v>
      </c>
      <c r="N380" s="30">
        <v>0.19692310776942357</v>
      </c>
      <c r="O380" s="29">
        <v>1</v>
      </c>
      <c r="R380" s="27">
        <v>61</v>
      </c>
      <c r="S380" s="28" t="s">
        <v>908</v>
      </c>
      <c r="T380" s="28" t="s">
        <v>383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-49.128100000000003</v>
      </c>
      <c r="AD380" s="30">
        <v>0.19700491228070177</v>
      </c>
      <c r="AE380" s="29">
        <v>1</v>
      </c>
    </row>
    <row r="381" spans="2:31" x14ac:dyDescent="0.2">
      <c r="B381" s="27">
        <v>61</v>
      </c>
      <c r="C381" s="28" t="s">
        <v>909</v>
      </c>
      <c r="D381" s="28" t="s">
        <v>385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73.5364</v>
      </c>
      <c r="N381" s="30">
        <v>0.29488280701754382</v>
      </c>
      <c r="O381" s="29">
        <v>1</v>
      </c>
      <c r="R381" s="27">
        <v>61</v>
      </c>
      <c r="S381" s="28" t="s">
        <v>909</v>
      </c>
      <c r="T381" s="28" t="s">
        <v>385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51.674999999999997</v>
      </c>
      <c r="AD381" s="30">
        <v>0.20721804511278197</v>
      </c>
      <c r="AE381" s="29">
        <v>1</v>
      </c>
    </row>
    <row r="382" spans="2:31" x14ac:dyDescent="0.2">
      <c r="B382" s="27">
        <v>62</v>
      </c>
      <c r="C382" s="28" t="s">
        <v>911</v>
      </c>
      <c r="D382" s="28" t="s">
        <v>383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-51.554699999999997</v>
      </c>
      <c r="N382" s="30">
        <v>0.20673563909774434</v>
      </c>
      <c r="O382" s="29">
        <v>1</v>
      </c>
      <c r="R382" s="27">
        <v>62</v>
      </c>
      <c r="S382" s="28" t="s">
        <v>911</v>
      </c>
      <c r="T382" s="28" t="s">
        <v>383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-51.573099999999997</v>
      </c>
      <c r="AD382" s="30">
        <v>0.20680942355889723</v>
      </c>
      <c r="AE382" s="29">
        <v>1</v>
      </c>
    </row>
    <row r="383" spans="2:31" x14ac:dyDescent="0.2">
      <c r="B383" s="27">
        <v>62</v>
      </c>
      <c r="C383" s="28" t="s">
        <v>912</v>
      </c>
      <c r="D383" s="28" t="s">
        <v>385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73.5364</v>
      </c>
      <c r="N383" s="30">
        <v>0.29488280701754382</v>
      </c>
      <c r="O383" s="29">
        <v>1</v>
      </c>
      <c r="R383" s="27">
        <v>62</v>
      </c>
      <c r="S383" s="28" t="s">
        <v>912</v>
      </c>
      <c r="T383" s="28" t="s">
        <v>385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51.674999999999997</v>
      </c>
      <c r="AD383" s="30">
        <v>0.20721804511278197</v>
      </c>
      <c r="AE383" s="29">
        <v>1</v>
      </c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103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5" customHeight="1" x14ac:dyDescent="0.2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2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  <row r="4" spans="2:31" x14ac:dyDescent="0.2">
      <c r="B4" s="27">
        <v>229</v>
      </c>
      <c r="C4" s="28" t="s">
        <v>382</v>
      </c>
      <c r="D4" s="28" t="s">
        <v>383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-23.329799999999999</v>
      </c>
      <c r="N4" s="30">
        <v>9.3553082706766919E-2</v>
      </c>
      <c r="O4" s="29">
        <v>1</v>
      </c>
      <c r="R4" s="27">
        <v>229</v>
      </c>
      <c r="S4" s="28" t="s">
        <v>382</v>
      </c>
      <c r="T4" s="28" t="s">
        <v>383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-23.344100000000001</v>
      </c>
      <c r="AD4" s="30">
        <v>9.3610426065162913E-2</v>
      </c>
      <c r="AE4" s="29">
        <v>1</v>
      </c>
    </row>
    <row r="5" spans="2:31" x14ac:dyDescent="0.2">
      <c r="B5" s="27">
        <v>229</v>
      </c>
      <c r="C5" s="28" t="s">
        <v>384</v>
      </c>
      <c r="D5" s="28" t="s">
        <v>385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29.009</v>
      </c>
      <c r="N5" s="30">
        <v>0.11632681704260651</v>
      </c>
      <c r="O5" s="29">
        <v>1</v>
      </c>
      <c r="R5" s="27">
        <v>229</v>
      </c>
      <c r="S5" s="28" t="s">
        <v>384</v>
      </c>
      <c r="T5" s="28" t="s">
        <v>385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28.994299999999999</v>
      </c>
      <c r="AD5" s="30">
        <v>0.11626786967418547</v>
      </c>
      <c r="AE5" s="29">
        <v>1</v>
      </c>
    </row>
    <row r="6" spans="2:31" x14ac:dyDescent="0.2">
      <c r="B6" s="27">
        <v>230</v>
      </c>
      <c r="C6" s="28" t="s">
        <v>387</v>
      </c>
      <c r="D6" s="28" t="s">
        <v>383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-26.4285</v>
      </c>
      <c r="N6" s="30">
        <v>0.10597894736842105</v>
      </c>
      <c r="O6" s="29">
        <v>1</v>
      </c>
      <c r="R6" s="27">
        <v>230</v>
      </c>
      <c r="S6" s="28" t="s">
        <v>387</v>
      </c>
      <c r="T6" s="28" t="s">
        <v>383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-26.444700000000001</v>
      </c>
      <c r="AD6" s="30">
        <v>0.10604390977443609</v>
      </c>
      <c r="AE6" s="29">
        <v>1</v>
      </c>
    </row>
    <row r="7" spans="2:31" x14ac:dyDescent="0.2">
      <c r="B7" s="27">
        <v>230</v>
      </c>
      <c r="C7" s="28" t="s">
        <v>388</v>
      </c>
      <c r="D7" s="28" t="s">
        <v>385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24.639500000000002</v>
      </c>
      <c r="N7" s="30">
        <v>9.8805012531328326E-2</v>
      </c>
      <c r="O7" s="29">
        <v>1</v>
      </c>
      <c r="R7" s="27">
        <v>230</v>
      </c>
      <c r="S7" s="28" t="s">
        <v>388</v>
      </c>
      <c r="T7" s="28" t="s">
        <v>385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24.622199999999999</v>
      </c>
      <c r="AD7" s="30">
        <v>9.8735639097744368E-2</v>
      </c>
      <c r="AE7" s="29">
        <v>1</v>
      </c>
    </row>
    <row r="8" spans="2:31" x14ac:dyDescent="0.2">
      <c r="B8" s="27">
        <v>231</v>
      </c>
      <c r="C8" s="28" t="s">
        <v>389</v>
      </c>
      <c r="D8" s="28" t="s">
        <v>383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-24.9666</v>
      </c>
      <c r="N8" s="30">
        <v>0.1001166917293233</v>
      </c>
      <c r="O8" s="29">
        <v>1</v>
      </c>
      <c r="R8" s="27">
        <v>231</v>
      </c>
      <c r="S8" s="28" t="s">
        <v>389</v>
      </c>
      <c r="T8" s="28" t="s">
        <v>383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-24.982199999999999</v>
      </c>
      <c r="AD8" s="30">
        <v>0.10017924812030074</v>
      </c>
      <c r="AE8" s="29">
        <v>1</v>
      </c>
    </row>
    <row r="9" spans="2:31" x14ac:dyDescent="0.2">
      <c r="B9" s="27">
        <v>231</v>
      </c>
      <c r="C9" s="28" t="s">
        <v>390</v>
      </c>
      <c r="D9" s="28" t="s">
        <v>385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24.973299999999998</v>
      </c>
      <c r="N9" s="30">
        <v>0.10014355889724311</v>
      </c>
      <c r="O9" s="29">
        <v>1</v>
      </c>
      <c r="R9" s="27">
        <v>231</v>
      </c>
      <c r="S9" s="28" t="s">
        <v>390</v>
      </c>
      <c r="T9" s="28" t="s">
        <v>385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24.9557</v>
      </c>
      <c r="AD9" s="30">
        <v>0.10007298245614035</v>
      </c>
      <c r="AE9" s="29">
        <v>1</v>
      </c>
    </row>
    <row r="10" spans="2:31" x14ac:dyDescent="0.2">
      <c r="B10" s="27">
        <v>232</v>
      </c>
      <c r="C10" s="28" t="s">
        <v>391</v>
      </c>
      <c r="D10" s="28" t="s">
        <v>383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-24.750299999999999</v>
      </c>
      <c r="N10" s="30">
        <v>9.9249323308270673E-2</v>
      </c>
      <c r="O10" s="29">
        <v>1</v>
      </c>
      <c r="R10" s="27">
        <v>232</v>
      </c>
      <c r="S10" s="28" t="s">
        <v>391</v>
      </c>
      <c r="T10" s="28" t="s">
        <v>383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-24.765499999999999</v>
      </c>
      <c r="AD10" s="30">
        <v>9.9310275689223057E-2</v>
      </c>
      <c r="AE10" s="29">
        <v>1</v>
      </c>
    </row>
    <row r="11" spans="2:31" x14ac:dyDescent="0.2">
      <c r="B11" s="27">
        <v>232</v>
      </c>
      <c r="C11" s="28" t="s">
        <v>392</v>
      </c>
      <c r="D11" s="28" t="s">
        <v>385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26.273199999999999</v>
      </c>
      <c r="N11" s="30">
        <v>0.10535619047619048</v>
      </c>
      <c r="O11" s="29">
        <v>1</v>
      </c>
      <c r="R11" s="27">
        <v>232</v>
      </c>
      <c r="S11" s="28" t="s">
        <v>392</v>
      </c>
      <c r="T11" s="28" t="s">
        <v>385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26.255099999999999</v>
      </c>
      <c r="AD11" s="30">
        <v>0.10528360902255639</v>
      </c>
      <c r="AE11" s="29">
        <v>1</v>
      </c>
    </row>
    <row r="12" spans="2:31" x14ac:dyDescent="0.2">
      <c r="B12" s="27">
        <v>233</v>
      </c>
      <c r="C12" s="28" t="s">
        <v>394</v>
      </c>
      <c r="D12" s="28" t="s">
        <v>383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-27.1096</v>
      </c>
      <c r="N12" s="30">
        <v>0.10871017543859648</v>
      </c>
      <c r="O12" s="29">
        <v>1</v>
      </c>
      <c r="R12" s="27">
        <v>233</v>
      </c>
      <c r="S12" s="28" t="s">
        <v>394</v>
      </c>
      <c r="T12" s="28" t="s">
        <v>383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-27.1221</v>
      </c>
      <c r="AD12" s="30">
        <v>0.10876030075187969</v>
      </c>
      <c r="AE12" s="29">
        <v>1</v>
      </c>
    </row>
    <row r="13" spans="2:31" x14ac:dyDescent="0.2">
      <c r="B13" s="27">
        <v>233</v>
      </c>
      <c r="C13" s="28" t="s">
        <v>395</v>
      </c>
      <c r="D13" s="28" t="s">
        <v>385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21.7271</v>
      </c>
      <c r="N13" s="30">
        <v>8.7126215538847113E-2</v>
      </c>
      <c r="O13" s="29">
        <v>1</v>
      </c>
      <c r="R13" s="27">
        <v>233</v>
      </c>
      <c r="S13" s="28" t="s">
        <v>395</v>
      </c>
      <c r="T13" s="28" t="s">
        <v>385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21.711200000000002</v>
      </c>
      <c r="AD13" s="30">
        <v>8.706245614035088E-2</v>
      </c>
      <c r="AE13" s="29">
        <v>1</v>
      </c>
    </row>
    <row r="14" spans="2:31" x14ac:dyDescent="0.2">
      <c r="B14" s="27">
        <v>211</v>
      </c>
      <c r="C14" s="28" t="s">
        <v>397</v>
      </c>
      <c r="D14" s="28" t="s">
        <v>383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-43.120399999999997</v>
      </c>
      <c r="N14" s="30">
        <v>0.17291388471177943</v>
      </c>
      <c r="O14" s="29">
        <v>1</v>
      </c>
      <c r="R14" s="27">
        <v>211</v>
      </c>
      <c r="S14" s="28" t="s">
        <v>397</v>
      </c>
      <c r="T14" s="28" t="s">
        <v>383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-43.122300000000003</v>
      </c>
      <c r="AD14" s="30">
        <v>0.17292150375939852</v>
      </c>
      <c r="AE14" s="29">
        <v>1</v>
      </c>
    </row>
    <row r="15" spans="2:31" x14ac:dyDescent="0.2">
      <c r="B15" s="27">
        <v>211</v>
      </c>
      <c r="C15" s="28" t="s">
        <v>398</v>
      </c>
      <c r="D15" s="28" t="s">
        <v>385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33.3033</v>
      </c>
      <c r="N15" s="30">
        <v>0.13354706766917293</v>
      </c>
      <c r="O15" s="29">
        <v>1</v>
      </c>
      <c r="R15" s="27">
        <v>211</v>
      </c>
      <c r="S15" s="28" t="s">
        <v>398</v>
      </c>
      <c r="T15" s="28" t="s">
        <v>385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33.3095</v>
      </c>
      <c r="AD15" s="30">
        <v>0.1335719298245614</v>
      </c>
      <c r="AE15" s="29">
        <v>1</v>
      </c>
    </row>
    <row r="16" spans="2:31" x14ac:dyDescent="0.2">
      <c r="B16" s="27">
        <v>214</v>
      </c>
      <c r="C16" s="28" t="s">
        <v>400</v>
      </c>
      <c r="D16" s="28" t="s">
        <v>383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-63.395200000000003</v>
      </c>
      <c r="N16" s="30">
        <v>0.25421634085213035</v>
      </c>
      <c r="O16" s="29">
        <v>1</v>
      </c>
      <c r="R16" s="27">
        <v>214</v>
      </c>
      <c r="S16" s="28" t="s">
        <v>400</v>
      </c>
      <c r="T16" s="28" t="s">
        <v>383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-63.3919</v>
      </c>
      <c r="AD16" s="30">
        <v>0.25420310776942356</v>
      </c>
      <c r="AE16" s="29">
        <v>1</v>
      </c>
    </row>
    <row r="17" spans="2:31" x14ac:dyDescent="0.2">
      <c r="B17" s="27">
        <v>214</v>
      </c>
      <c r="C17" s="28" t="s">
        <v>401</v>
      </c>
      <c r="D17" s="28" t="s">
        <v>385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50.373399999999997</v>
      </c>
      <c r="N17" s="30">
        <v>0.20199859649122803</v>
      </c>
      <c r="O17" s="29">
        <v>1</v>
      </c>
      <c r="R17" s="27">
        <v>214</v>
      </c>
      <c r="S17" s="28" t="s">
        <v>401</v>
      </c>
      <c r="T17" s="28" t="s">
        <v>385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50.378700000000002</v>
      </c>
      <c r="AD17" s="30">
        <v>0.20201984962406017</v>
      </c>
      <c r="AE17" s="29">
        <v>1</v>
      </c>
    </row>
    <row r="18" spans="2:31" x14ac:dyDescent="0.2">
      <c r="B18" s="27">
        <v>217</v>
      </c>
      <c r="C18" s="28" t="s">
        <v>403</v>
      </c>
      <c r="D18" s="28" t="s">
        <v>383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-64.891400000000004</v>
      </c>
      <c r="N18" s="30">
        <v>0.2602161403508772</v>
      </c>
      <c r="O18" s="29">
        <v>1</v>
      </c>
      <c r="R18" s="27">
        <v>217</v>
      </c>
      <c r="S18" s="28" t="s">
        <v>403</v>
      </c>
      <c r="T18" s="28" t="s">
        <v>383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-64.882099999999994</v>
      </c>
      <c r="AD18" s="30">
        <v>0.26017884711779443</v>
      </c>
      <c r="AE18" s="29">
        <v>1</v>
      </c>
    </row>
    <row r="19" spans="2:31" x14ac:dyDescent="0.2">
      <c r="B19" s="27">
        <v>217</v>
      </c>
      <c r="C19" s="28" t="s">
        <v>404</v>
      </c>
      <c r="D19" s="28" t="s">
        <v>385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50.567</v>
      </c>
      <c r="N19" s="30">
        <v>0.20277493734335839</v>
      </c>
      <c r="O19" s="29">
        <v>1</v>
      </c>
      <c r="R19" s="27">
        <v>217</v>
      </c>
      <c r="S19" s="28" t="s">
        <v>404</v>
      </c>
      <c r="T19" s="28" t="s">
        <v>385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50.5764</v>
      </c>
      <c r="AD19" s="30">
        <v>0.20281263157894738</v>
      </c>
      <c r="AE19" s="29">
        <v>1</v>
      </c>
    </row>
    <row r="20" spans="2:31" x14ac:dyDescent="0.2">
      <c r="B20" s="27">
        <v>220</v>
      </c>
      <c r="C20" s="28" t="s">
        <v>406</v>
      </c>
      <c r="D20" s="28" t="s">
        <v>383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-64.553700000000006</v>
      </c>
      <c r="N20" s="30">
        <v>0.25886195488721808</v>
      </c>
      <c r="O20" s="29">
        <v>1</v>
      </c>
      <c r="R20" s="27">
        <v>220</v>
      </c>
      <c r="S20" s="28" t="s">
        <v>406</v>
      </c>
      <c r="T20" s="28" t="s">
        <v>383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-64.537700000000001</v>
      </c>
      <c r="AD20" s="30">
        <v>0.25879779448621554</v>
      </c>
      <c r="AE20" s="29">
        <v>1</v>
      </c>
    </row>
    <row r="21" spans="2:31" x14ac:dyDescent="0.2">
      <c r="B21" s="27">
        <v>220</v>
      </c>
      <c r="C21" s="28" t="s">
        <v>407</v>
      </c>
      <c r="D21" s="28" t="s">
        <v>385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50.235500000000002</v>
      </c>
      <c r="N21" s="30">
        <v>0.20144561403508771</v>
      </c>
      <c r="O21" s="29">
        <v>1</v>
      </c>
      <c r="R21" s="27">
        <v>220</v>
      </c>
      <c r="S21" s="28" t="s">
        <v>407</v>
      </c>
      <c r="T21" s="28" t="s">
        <v>385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50.252000000000002</v>
      </c>
      <c r="AD21" s="30">
        <v>0.20151177944862156</v>
      </c>
      <c r="AE21" s="29">
        <v>1</v>
      </c>
    </row>
    <row r="22" spans="2:31" x14ac:dyDescent="0.2">
      <c r="B22" s="27">
        <v>223</v>
      </c>
      <c r="C22" s="28" t="s">
        <v>409</v>
      </c>
      <c r="D22" s="28" t="s">
        <v>383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-61.216200000000001</v>
      </c>
      <c r="N22" s="30">
        <v>0.2454784962406015</v>
      </c>
      <c r="O22" s="29">
        <v>1</v>
      </c>
      <c r="R22" s="27">
        <v>223</v>
      </c>
      <c r="S22" s="28" t="s">
        <v>409</v>
      </c>
      <c r="T22" s="28" t="s">
        <v>383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-61.193399999999997</v>
      </c>
      <c r="AD22" s="30">
        <v>0.2453870676691729</v>
      </c>
      <c r="AE22" s="29">
        <v>1</v>
      </c>
    </row>
    <row r="23" spans="2:31" x14ac:dyDescent="0.2">
      <c r="B23" s="27">
        <v>223</v>
      </c>
      <c r="C23" s="28" t="s">
        <v>410</v>
      </c>
      <c r="D23" s="28" t="s">
        <v>385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48.263599999999997</v>
      </c>
      <c r="N23" s="30">
        <v>0.19353824561403507</v>
      </c>
      <c r="O23" s="29">
        <v>1</v>
      </c>
      <c r="R23" s="27">
        <v>223</v>
      </c>
      <c r="S23" s="28" t="s">
        <v>410</v>
      </c>
      <c r="T23" s="28" t="s">
        <v>385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48.2836</v>
      </c>
      <c r="AD23" s="30">
        <v>0.19361844611528822</v>
      </c>
      <c r="AE23" s="29">
        <v>1</v>
      </c>
    </row>
    <row r="24" spans="2:31" x14ac:dyDescent="0.2">
      <c r="B24" s="27">
        <v>226</v>
      </c>
      <c r="C24" s="28" t="s">
        <v>412</v>
      </c>
      <c r="D24" s="28" t="s">
        <v>383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-40.900799999999997</v>
      </c>
      <c r="N24" s="30">
        <v>0.16401323308270674</v>
      </c>
      <c r="O24" s="29">
        <v>1</v>
      </c>
      <c r="R24" s="27">
        <v>226</v>
      </c>
      <c r="S24" s="28" t="s">
        <v>412</v>
      </c>
      <c r="T24" s="28" t="s">
        <v>383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-40.880699999999997</v>
      </c>
      <c r="AD24" s="30">
        <v>0.16393263157894736</v>
      </c>
      <c r="AE24" s="29">
        <v>1</v>
      </c>
    </row>
    <row r="25" spans="2:31" x14ac:dyDescent="0.2">
      <c r="B25" s="27">
        <v>226</v>
      </c>
      <c r="C25" s="28" t="s">
        <v>413</v>
      </c>
      <c r="D25" s="28" t="s">
        <v>385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30.908300000000001</v>
      </c>
      <c r="N25" s="30">
        <v>0.12394305764411027</v>
      </c>
      <c r="O25" s="29">
        <v>1</v>
      </c>
      <c r="R25" s="27">
        <v>226</v>
      </c>
      <c r="S25" s="28" t="s">
        <v>413</v>
      </c>
      <c r="T25" s="28" t="s">
        <v>385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30.9208</v>
      </c>
      <c r="AD25" s="30">
        <v>0.12399318295739348</v>
      </c>
      <c r="AE25" s="29">
        <v>1</v>
      </c>
    </row>
    <row r="26" spans="2:31" x14ac:dyDescent="0.2">
      <c r="B26" s="27">
        <v>234</v>
      </c>
      <c r="C26" s="28" t="s">
        <v>415</v>
      </c>
      <c r="D26" s="28" t="s">
        <v>383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-36.400500000000001</v>
      </c>
      <c r="N26" s="30">
        <v>0.14596691729323308</v>
      </c>
      <c r="O26" s="29">
        <v>1</v>
      </c>
      <c r="R26" s="27">
        <v>234</v>
      </c>
      <c r="S26" s="28" t="s">
        <v>415</v>
      </c>
      <c r="T26" s="28" t="s">
        <v>383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-36.429600000000001</v>
      </c>
      <c r="AD26" s="30">
        <v>0.14608360902255638</v>
      </c>
      <c r="AE26" s="29">
        <v>1</v>
      </c>
    </row>
    <row r="27" spans="2:31" x14ac:dyDescent="0.2">
      <c r="B27" s="27">
        <v>234</v>
      </c>
      <c r="C27" s="28" t="s">
        <v>416</v>
      </c>
      <c r="D27" s="28" t="s">
        <v>385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30.908300000000001</v>
      </c>
      <c r="N27" s="30">
        <v>0.12394305764411027</v>
      </c>
      <c r="O27" s="29">
        <v>1</v>
      </c>
      <c r="R27" s="27">
        <v>234</v>
      </c>
      <c r="S27" s="28" t="s">
        <v>416</v>
      </c>
      <c r="T27" s="28" t="s">
        <v>385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30.9208</v>
      </c>
      <c r="AD27" s="30">
        <v>0.12399318295739348</v>
      </c>
      <c r="AE27" s="29">
        <v>1</v>
      </c>
    </row>
    <row r="28" spans="2:31" x14ac:dyDescent="0.2">
      <c r="B28" s="27">
        <v>235</v>
      </c>
      <c r="C28" s="28" t="s">
        <v>418</v>
      </c>
      <c r="D28" s="28" t="s">
        <v>383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-37.766599999999997</v>
      </c>
      <c r="N28" s="30">
        <v>0.1514450125313283</v>
      </c>
      <c r="O28" s="29">
        <v>1</v>
      </c>
      <c r="R28" s="27">
        <v>235</v>
      </c>
      <c r="S28" s="28" t="s">
        <v>418</v>
      </c>
      <c r="T28" s="28" t="s">
        <v>383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-37.796399999999998</v>
      </c>
      <c r="AD28" s="30">
        <v>0.15156451127819551</v>
      </c>
      <c r="AE28" s="29">
        <v>1</v>
      </c>
    </row>
    <row r="29" spans="2:31" x14ac:dyDescent="0.2">
      <c r="B29" s="27">
        <v>235</v>
      </c>
      <c r="C29" s="28" t="s">
        <v>419</v>
      </c>
      <c r="D29" s="28" t="s">
        <v>385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30.908300000000001</v>
      </c>
      <c r="N29" s="30">
        <v>0.12394305764411027</v>
      </c>
      <c r="O29" s="29">
        <v>1</v>
      </c>
      <c r="R29" s="27">
        <v>235</v>
      </c>
      <c r="S29" s="28" t="s">
        <v>419</v>
      </c>
      <c r="T29" s="28" t="s">
        <v>385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30.9208</v>
      </c>
      <c r="AD29" s="30">
        <v>0.12399318295739348</v>
      </c>
      <c r="AE29" s="29">
        <v>1</v>
      </c>
    </row>
    <row r="30" spans="2:31" x14ac:dyDescent="0.2">
      <c r="B30" s="27">
        <v>236</v>
      </c>
      <c r="C30" s="28" t="s">
        <v>420</v>
      </c>
      <c r="D30" s="28" t="s">
        <v>383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-39.837600000000002</v>
      </c>
      <c r="N30" s="30">
        <v>0.15974977443609023</v>
      </c>
      <c r="O30" s="29">
        <v>1</v>
      </c>
      <c r="R30" s="27">
        <v>236</v>
      </c>
      <c r="S30" s="28" t="s">
        <v>420</v>
      </c>
      <c r="T30" s="28" t="s">
        <v>383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-39.863300000000002</v>
      </c>
      <c r="AD30" s="30">
        <v>0.15985283208020051</v>
      </c>
      <c r="AE30" s="29">
        <v>1</v>
      </c>
    </row>
    <row r="31" spans="2:31" x14ac:dyDescent="0.2">
      <c r="B31" s="27">
        <v>236</v>
      </c>
      <c r="C31" s="28" t="s">
        <v>421</v>
      </c>
      <c r="D31" s="28" t="s">
        <v>385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30.908300000000001</v>
      </c>
      <c r="N31" s="30">
        <v>0.12394305764411027</v>
      </c>
      <c r="O31" s="29">
        <v>1</v>
      </c>
      <c r="R31" s="27">
        <v>236</v>
      </c>
      <c r="S31" s="28" t="s">
        <v>421</v>
      </c>
      <c r="T31" s="28" t="s">
        <v>385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30.9208</v>
      </c>
      <c r="AD31" s="30">
        <v>0.12399318295739348</v>
      </c>
      <c r="AE31" s="29">
        <v>1</v>
      </c>
    </row>
    <row r="32" spans="2:31" x14ac:dyDescent="0.2">
      <c r="B32" s="27">
        <v>237</v>
      </c>
      <c r="C32" s="28" t="s">
        <v>422</v>
      </c>
      <c r="D32" s="28" t="s">
        <v>383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-40.035400000000003</v>
      </c>
      <c r="N32" s="30">
        <v>0.1605429573934837</v>
      </c>
      <c r="O32" s="29">
        <v>1</v>
      </c>
      <c r="R32" s="27">
        <v>237</v>
      </c>
      <c r="S32" s="28" t="s">
        <v>422</v>
      </c>
      <c r="T32" s="28" t="s">
        <v>383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-40.065600000000003</v>
      </c>
      <c r="AD32" s="30">
        <v>0.16066406015037596</v>
      </c>
      <c r="AE32" s="29">
        <v>1</v>
      </c>
    </row>
    <row r="33" spans="2:31" x14ac:dyDescent="0.2">
      <c r="B33" s="27">
        <v>237</v>
      </c>
      <c r="C33" s="28" t="s">
        <v>423</v>
      </c>
      <c r="D33" s="28" t="s">
        <v>385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30.908300000000001</v>
      </c>
      <c r="N33" s="30">
        <v>0.12394305764411027</v>
      </c>
      <c r="O33" s="29">
        <v>1</v>
      </c>
      <c r="R33" s="27">
        <v>237</v>
      </c>
      <c r="S33" s="28" t="s">
        <v>423</v>
      </c>
      <c r="T33" s="28" t="s">
        <v>385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30.9208</v>
      </c>
      <c r="AD33" s="30">
        <v>0.12399318295739348</v>
      </c>
      <c r="AE33" s="29">
        <v>1</v>
      </c>
    </row>
    <row r="34" spans="2:31" x14ac:dyDescent="0.2">
      <c r="B34" s="27">
        <v>238</v>
      </c>
      <c r="C34" s="28" t="s">
        <v>425</v>
      </c>
      <c r="D34" s="28" t="s">
        <v>383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-37.035899999999998</v>
      </c>
      <c r="N34" s="30">
        <v>0.14851488721804512</v>
      </c>
      <c r="O34" s="29">
        <v>1</v>
      </c>
      <c r="R34" s="27">
        <v>238</v>
      </c>
      <c r="S34" s="28" t="s">
        <v>425</v>
      </c>
      <c r="T34" s="28" t="s">
        <v>383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-37.066099999999999</v>
      </c>
      <c r="AD34" s="30">
        <v>0.14863598997493735</v>
      </c>
      <c r="AE34" s="29">
        <v>1</v>
      </c>
    </row>
    <row r="35" spans="2:31" x14ac:dyDescent="0.2">
      <c r="B35" s="27">
        <v>238</v>
      </c>
      <c r="C35" s="28" t="s">
        <v>426</v>
      </c>
      <c r="D35" s="28" t="s">
        <v>385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30.908300000000001</v>
      </c>
      <c r="N35" s="30">
        <v>0.12394305764411027</v>
      </c>
      <c r="O35" s="29">
        <v>1</v>
      </c>
      <c r="R35" s="27">
        <v>238</v>
      </c>
      <c r="S35" s="28" t="s">
        <v>426</v>
      </c>
      <c r="T35" s="28" t="s">
        <v>385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30.9208</v>
      </c>
      <c r="AD35" s="30">
        <v>0.12399318295739348</v>
      </c>
      <c r="AE35" s="29">
        <v>1</v>
      </c>
    </row>
    <row r="36" spans="2:31" x14ac:dyDescent="0.2">
      <c r="B36" s="27">
        <v>212</v>
      </c>
      <c r="C36" s="28" t="s">
        <v>428</v>
      </c>
      <c r="D36" s="28" t="s">
        <v>383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-45.773400000000002</v>
      </c>
      <c r="N36" s="30">
        <v>0.18355248120300752</v>
      </c>
      <c r="O36" s="29">
        <v>1</v>
      </c>
      <c r="R36" s="27">
        <v>212</v>
      </c>
      <c r="S36" s="28" t="s">
        <v>428</v>
      </c>
      <c r="T36" s="28" t="s">
        <v>383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-45.7774</v>
      </c>
      <c r="AD36" s="30">
        <v>0.18356852130325815</v>
      </c>
      <c r="AE36" s="29">
        <v>1</v>
      </c>
    </row>
    <row r="37" spans="2:31" x14ac:dyDescent="0.2">
      <c r="B37" s="27">
        <v>212</v>
      </c>
      <c r="C37" s="28" t="s">
        <v>429</v>
      </c>
      <c r="D37" s="28" t="s">
        <v>385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30.908300000000001</v>
      </c>
      <c r="N37" s="30">
        <v>0.12394305764411027</v>
      </c>
      <c r="O37" s="29">
        <v>1</v>
      </c>
      <c r="R37" s="27">
        <v>212</v>
      </c>
      <c r="S37" s="28" t="s">
        <v>429</v>
      </c>
      <c r="T37" s="28" t="s">
        <v>385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31.364599999999999</v>
      </c>
      <c r="AD37" s="30">
        <v>0.12577283208020049</v>
      </c>
      <c r="AE37" s="29">
        <v>1</v>
      </c>
    </row>
    <row r="38" spans="2:31" x14ac:dyDescent="0.2">
      <c r="B38" s="27">
        <v>215</v>
      </c>
      <c r="C38" s="28" t="s">
        <v>431</v>
      </c>
      <c r="D38" s="28" t="s">
        <v>383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-66.260300000000001</v>
      </c>
      <c r="N38" s="30">
        <v>0.26570546365914788</v>
      </c>
      <c r="O38" s="29">
        <v>1</v>
      </c>
      <c r="R38" s="27">
        <v>215</v>
      </c>
      <c r="S38" s="28" t="s">
        <v>431</v>
      </c>
      <c r="T38" s="28" t="s">
        <v>383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-66.256600000000006</v>
      </c>
      <c r="AD38" s="30">
        <v>0.26569062656641607</v>
      </c>
      <c r="AE38" s="29">
        <v>1</v>
      </c>
    </row>
    <row r="39" spans="2:31" x14ac:dyDescent="0.2">
      <c r="B39" s="27">
        <v>215</v>
      </c>
      <c r="C39" s="28" t="s">
        <v>432</v>
      </c>
      <c r="D39" s="28" t="s">
        <v>385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49.978400000000001</v>
      </c>
      <c r="N39" s="30">
        <v>0.20041463659147871</v>
      </c>
      <c r="O39" s="29">
        <v>1</v>
      </c>
      <c r="R39" s="27">
        <v>215</v>
      </c>
      <c r="S39" s="28" t="s">
        <v>432</v>
      </c>
      <c r="T39" s="28" t="s">
        <v>385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31.364599999999999</v>
      </c>
      <c r="AD39" s="30">
        <v>0.12577283208020049</v>
      </c>
      <c r="AE39" s="29">
        <v>1</v>
      </c>
    </row>
    <row r="40" spans="2:31" x14ac:dyDescent="0.2">
      <c r="B40" s="27">
        <v>218</v>
      </c>
      <c r="C40" s="28" t="s">
        <v>434</v>
      </c>
      <c r="D40" s="28" t="s">
        <v>383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-66.795500000000004</v>
      </c>
      <c r="N40" s="30">
        <v>0.26785162907268173</v>
      </c>
      <c r="O40" s="29">
        <v>1</v>
      </c>
      <c r="R40" s="27">
        <v>218</v>
      </c>
      <c r="S40" s="28" t="s">
        <v>434</v>
      </c>
      <c r="T40" s="28" t="s">
        <v>383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-66.783900000000003</v>
      </c>
      <c r="AD40" s="30">
        <v>0.2678051127819549</v>
      </c>
      <c r="AE40" s="29">
        <v>1</v>
      </c>
    </row>
    <row r="41" spans="2:31" x14ac:dyDescent="0.2">
      <c r="B41" s="27">
        <v>218</v>
      </c>
      <c r="C41" s="28" t="s">
        <v>435</v>
      </c>
      <c r="D41" s="28" t="s">
        <v>385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49.978400000000001</v>
      </c>
      <c r="N41" s="30">
        <v>0.20041463659147871</v>
      </c>
      <c r="O41" s="29">
        <v>1</v>
      </c>
      <c r="R41" s="27">
        <v>218</v>
      </c>
      <c r="S41" s="28" t="s">
        <v>435</v>
      </c>
      <c r="T41" s="28" t="s">
        <v>385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48.779800000000002</v>
      </c>
      <c r="AD41" s="30">
        <v>0.19560822055137847</v>
      </c>
      <c r="AE41" s="29">
        <v>1</v>
      </c>
    </row>
    <row r="42" spans="2:31" x14ac:dyDescent="0.2">
      <c r="B42" s="27">
        <v>221</v>
      </c>
      <c r="C42" s="28" t="s">
        <v>437</v>
      </c>
      <c r="D42" s="28" t="s">
        <v>383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-66.776600000000002</v>
      </c>
      <c r="N42" s="30">
        <v>0.26777583959899753</v>
      </c>
      <c r="O42" s="29">
        <v>1</v>
      </c>
      <c r="R42" s="27">
        <v>221</v>
      </c>
      <c r="S42" s="28" t="s">
        <v>437</v>
      </c>
      <c r="T42" s="28" t="s">
        <v>383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-66.759500000000003</v>
      </c>
      <c r="AD42" s="30">
        <v>0.26770726817042606</v>
      </c>
      <c r="AE42" s="29">
        <v>1</v>
      </c>
    </row>
    <row r="43" spans="2:31" x14ac:dyDescent="0.2">
      <c r="B43" s="27">
        <v>221</v>
      </c>
      <c r="C43" s="28" t="s">
        <v>438</v>
      </c>
      <c r="D43" s="28" t="s">
        <v>385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49.978400000000001</v>
      </c>
      <c r="N43" s="30">
        <v>0.20041463659147871</v>
      </c>
      <c r="O43" s="29">
        <v>1</v>
      </c>
      <c r="R43" s="27">
        <v>221</v>
      </c>
      <c r="S43" s="28" t="s">
        <v>438</v>
      </c>
      <c r="T43" s="28" t="s">
        <v>385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48.814999999999998</v>
      </c>
      <c r="AD43" s="30">
        <v>0.19574937343358395</v>
      </c>
      <c r="AE43" s="29">
        <v>1</v>
      </c>
    </row>
    <row r="44" spans="2:31" x14ac:dyDescent="0.2">
      <c r="B44" s="27">
        <v>224</v>
      </c>
      <c r="C44" s="28" t="s">
        <v>440</v>
      </c>
      <c r="D44" s="28" t="s">
        <v>383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-66.092299999999994</v>
      </c>
      <c r="N44" s="30">
        <v>0.2650317794486215</v>
      </c>
      <c r="O44" s="29">
        <v>1</v>
      </c>
      <c r="R44" s="27">
        <v>224</v>
      </c>
      <c r="S44" s="28" t="s">
        <v>440</v>
      </c>
      <c r="T44" s="28" t="s">
        <v>383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-66.070499999999996</v>
      </c>
      <c r="AD44" s="30">
        <v>0.26494436090225565</v>
      </c>
      <c r="AE44" s="29">
        <v>1</v>
      </c>
    </row>
    <row r="45" spans="2:31" x14ac:dyDescent="0.2">
      <c r="B45" s="27">
        <v>224</v>
      </c>
      <c r="C45" s="28" t="s">
        <v>441</v>
      </c>
      <c r="D45" s="28" t="s">
        <v>385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50.089799999999997</v>
      </c>
      <c r="N45" s="30">
        <v>0.20086135338345862</v>
      </c>
      <c r="O45" s="29">
        <v>1</v>
      </c>
      <c r="R45" s="27">
        <v>224</v>
      </c>
      <c r="S45" s="28" t="s">
        <v>441</v>
      </c>
      <c r="T45" s="28" t="s">
        <v>385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48.814999999999998</v>
      </c>
      <c r="AD45" s="30">
        <v>0.19574937343358395</v>
      </c>
      <c r="AE45" s="29">
        <v>1</v>
      </c>
    </row>
    <row r="46" spans="2:31" x14ac:dyDescent="0.2">
      <c r="B46" s="27">
        <v>227</v>
      </c>
      <c r="C46" s="28" t="s">
        <v>443</v>
      </c>
      <c r="D46" s="28" t="s">
        <v>383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-45.683700000000002</v>
      </c>
      <c r="N46" s="30">
        <v>0.18319278195488722</v>
      </c>
      <c r="O46" s="29">
        <v>1</v>
      </c>
      <c r="R46" s="27">
        <v>227</v>
      </c>
      <c r="S46" s="28" t="s">
        <v>443</v>
      </c>
      <c r="T46" s="28" t="s">
        <v>383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-45.656100000000002</v>
      </c>
      <c r="AD46" s="30">
        <v>0.18308210526315788</v>
      </c>
      <c r="AE46" s="29">
        <v>1</v>
      </c>
    </row>
    <row r="47" spans="2:31" x14ac:dyDescent="0.2">
      <c r="B47" s="27">
        <v>227</v>
      </c>
      <c r="C47" s="28" t="s">
        <v>444</v>
      </c>
      <c r="D47" s="28" t="s">
        <v>385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50.089799999999997</v>
      </c>
      <c r="N47" s="30">
        <v>0.20086135338345862</v>
      </c>
      <c r="O47" s="29">
        <v>1</v>
      </c>
      <c r="R47" s="27">
        <v>227</v>
      </c>
      <c r="S47" s="28" t="s">
        <v>444</v>
      </c>
      <c r="T47" s="28" t="s">
        <v>385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31.456</v>
      </c>
      <c r="AD47" s="30">
        <v>0.12613934837092733</v>
      </c>
      <c r="AE47" s="29">
        <v>1</v>
      </c>
    </row>
    <row r="48" spans="2:31" x14ac:dyDescent="0.2">
      <c r="B48" s="27">
        <v>239</v>
      </c>
      <c r="C48" s="28" t="s">
        <v>446</v>
      </c>
      <c r="D48" s="28" t="s">
        <v>383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-36.168100000000003</v>
      </c>
      <c r="N48" s="30">
        <v>0.14503498746867169</v>
      </c>
      <c r="O48" s="29">
        <v>1</v>
      </c>
      <c r="R48" s="27">
        <v>239</v>
      </c>
      <c r="S48" s="28" t="s">
        <v>446</v>
      </c>
      <c r="T48" s="28" t="s">
        <v>383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-36.209299999999999</v>
      </c>
      <c r="AD48" s="30">
        <v>0.14520020050125312</v>
      </c>
      <c r="AE48" s="29">
        <v>1</v>
      </c>
    </row>
    <row r="49" spans="2:31" x14ac:dyDescent="0.2">
      <c r="B49" s="27">
        <v>239</v>
      </c>
      <c r="C49" s="28" t="s">
        <v>447</v>
      </c>
      <c r="D49" s="28" t="s">
        <v>385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50.089799999999997</v>
      </c>
      <c r="N49" s="30">
        <v>0.20086135338345862</v>
      </c>
      <c r="O49" s="29">
        <v>1</v>
      </c>
      <c r="R49" s="27">
        <v>239</v>
      </c>
      <c r="S49" s="28" t="s">
        <v>447</v>
      </c>
      <c r="T49" s="28" t="s">
        <v>385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31.456</v>
      </c>
      <c r="AD49" s="30">
        <v>0.12613934837092733</v>
      </c>
      <c r="AE49" s="29">
        <v>1</v>
      </c>
    </row>
    <row r="50" spans="2:31" x14ac:dyDescent="0.2">
      <c r="B50" s="27">
        <v>240</v>
      </c>
      <c r="C50" s="28" t="s">
        <v>449</v>
      </c>
      <c r="D50" s="28" t="s">
        <v>383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-37.8215</v>
      </c>
      <c r="N50" s="30">
        <v>0.15166516290726817</v>
      </c>
      <c r="O50" s="29">
        <v>1</v>
      </c>
      <c r="R50" s="27">
        <v>240</v>
      </c>
      <c r="S50" s="28" t="s">
        <v>449</v>
      </c>
      <c r="T50" s="28" t="s">
        <v>383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-37.863100000000003</v>
      </c>
      <c r="AD50" s="30">
        <v>0.15183197994987471</v>
      </c>
      <c r="AE50" s="29">
        <v>1</v>
      </c>
    </row>
    <row r="51" spans="2:31" x14ac:dyDescent="0.2">
      <c r="B51" s="27">
        <v>240</v>
      </c>
      <c r="C51" s="28" t="s">
        <v>450</v>
      </c>
      <c r="D51" s="28" t="s">
        <v>385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50.089799999999997</v>
      </c>
      <c r="N51" s="30">
        <v>0.20086135338345862</v>
      </c>
      <c r="O51" s="29">
        <v>1</v>
      </c>
      <c r="R51" s="27">
        <v>240</v>
      </c>
      <c r="S51" s="28" t="s">
        <v>450</v>
      </c>
      <c r="T51" s="28" t="s">
        <v>385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31.456</v>
      </c>
      <c r="AD51" s="30">
        <v>0.12613934837092733</v>
      </c>
      <c r="AE51" s="29">
        <v>1</v>
      </c>
    </row>
    <row r="52" spans="2:31" x14ac:dyDescent="0.2">
      <c r="B52" s="27">
        <v>241</v>
      </c>
      <c r="C52" s="28" t="s">
        <v>451</v>
      </c>
      <c r="D52" s="28" t="s">
        <v>383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-39.679900000000004</v>
      </c>
      <c r="N52" s="30">
        <v>0.15911739348370929</v>
      </c>
      <c r="O52" s="29">
        <v>1</v>
      </c>
      <c r="R52" s="27">
        <v>241</v>
      </c>
      <c r="S52" s="28" t="s">
        <v>451</v>
      </c>
      <c r="T52" s="28" t="s">
        <v>383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-39.717100000000002</v>
      </c>
      <c r="AD52" s="30">
        <v>0.15926656641604009</v>
      </c>
      <c r="AE52" s="29">
        <v>1</v>
      </c>
    </row>
    <row r="53" spans="2:31" x14ac:dyDescent="0.2">
      <c r="B53" s="27">
        <v>241</v>
      </c>
      <c r="C53" s="28" t="s">
        <v>452</v>
      </c>
      <c r="D53" s="28" t="s">
        <v>385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50.089799999999997</v>
      </c>
      <c r="N53" s="30">
        <v>0.20086135338345862</v>
      </c>
      <c r="O53" s="29">
        <v>1</v>
      </c>
      <c r="R53" s="27">
        <v>241</v>
      </c>
      <c r="S53" s="28" t="s">
        <v>452</v>
      </c>
      <c r="T53" s="28" t="s">
        <v>385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31.456</v>
      </c>
      <c r="AD53" s="30">
        <v>0.12613934837092733</v>
      </c>
      <c r="AE53" s="29">
        <v>1</v>
      </c>
    </row>
    <row r="54" spans="2:31" x14ac:dyDescent="0.2">
      <c r="B54" s="27">
        <v>242</v>
      </c>
      <c r="C54" s="28" t="s">
        <v>453</v>
      </c>
      <c r="D54" s="28" t="s">
        <v>383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-39.713200000000001</v>
      </c>
      <c r="N54" s="30">
        <v>0.15925092731829574</v>
      </c>
      <c r="O54" s="29">
        <v>1</v>
      </c>
      <c r="R54" s="27">
        <v>242</v>
      </c>
      <c r="S54" s="28" t="s">
        <v>453</v>
      </c>
      <c r="T54" s="28" t="s">
        <v>383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-39.755800000000001</v>
      </c>
      <c r="AD54" s="30">
        <v>0.15942175438596493</v>
      </c>
      <c r="AE54" s="29">
        <v>1</v>
      </c>
    </row>
    <row r="55" spans="2:31" x14ac:dyDescent="0.2">
      <c r="B55" s="27">
        <v>242</v>
      </c>
      <c r="C55" s="28" t="s">
        <v>454</v>
      </c>
      <c r="D55" s="28" t="s">
        <v>385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50.089799999999997</v>
      </c>
      <c r="N55" s="30">
        <v>0.20086135338345862</v>
      </c>
      <c r="O55" s="29">
        <v>1</v>
      </c>
      <c r="R55" s="27">
        <v>242</v>
      </c>
      <c r="S55" s="28" t="s">
        <v>454</v>
      </c>
      <c r="T55" s="28" t="s">
        <v>385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31.456</v>
      </c>
      <c r="AD55" s="30">
        <v>0.12613934837092733</v>
      </c>
      <c r="AE55" s="29">
        <v>1</v>
      </c>
    </row>
    <row r="56" spans="2:31" x14ac:dyDescent="0.2">
      <c r="B56" s="27">
        <v>243</v>
      </c>
      <c r="C56" s="28" t="s">
        <v>456</v>
      </c>
      <c r="D56" s="28" t="s">
        <v>383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-38.4651</v>
      </c>
      <c r="N56" s="30">
        <v>0.15424601503759397</v>
      </c>
      <c r="O56" s="29">
        <v>1</v>
      </c>
      <c r="R56" s="27">
        <v>243</v>
      </c>
      <c r="S56" s="28" t="s">
        <v>456</v>
      </c>
      <c r="T56" s="28" t="s">
        <v>383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-38.505099999999999</v>
      </c>
      <c r="AD56" s="30">
        <v>0.15440641604010025</v>
      </c>
      <c r="AE56" s="29">
        <v>1</v>
      </c>
    </row>
    <row r="57" spans="2:31" x14ac:dyDescent="0.2">
      <c r="B57" s="27">
        <v>243</v>
      </c>
      <c r="C57" s="28" t="s">
        <v>457</v>
      </c>
      <c r="D57" s="28" t="s">
        <v>385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50.089799999999997</v>
      </c>
      <c r="N57" s="30">
        <v>0.20086135338345862</v>
      </c>
      <c r="O57" s="29">
        <v>1</v>
      </c>
      <c r="R57" s="27">
        <v>243</v>
      </c>
      <c r="S57" s="28" t="s">
        <v>457</v>
      </c>
      <c r="T57" s="28" t="s">
        <v>385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31.456</v>
      </c>
      <c r="AD57" s="30">
        <v>0.12613934837092733</v>
      </c>
      <c r="AE57" s="29">
        <v>1</v>
      </c>
    </row>
    <row r="58" spans="2:31" x14ac:dyDescent="0.2">
      <c r="B58" s="27">
        <v>213</v>
      </c>
      <c r="C58" s="28" t="s">
        <v>459</v>
      </c>
      <c r="D58" s="28" t="s">
        <v>383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-45.929900000000004</v>
      </c>
      <c r="N58" s="30">
        <v>0.1841800501253133</v>
      </c>
      <c r="O58" s="29">
        <v>1</v>
      </c>
      <c r="R58" s="27">
        <v>213</v>
      </c>
      <c r="S58" s="28" t="s">
        <v>459</v>
      </c>
      <c r="T58" s="28" t="s">
        <v>383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-45.936900000000001</v>
      </c>
      <c r="AD58" s="30">
        <v>0.1842081203007519</v>
      </c>
      <c r="AE58" s="29">
        <v>1</v>
      </c>
    </row>
    <row r="59" spans="2:31" x14ac:dyDescent="0.2">
      <c r="B59" s="27">
        <v>213</v>
      </c>
      <c r="C59" s="28" t="s">
        <v>460</v>
      </c>
      <c r="D59" s="28" t="s">
        <v>385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50.089799999999997</v>
      </c>
      <c r="N59" s="30">
        <v>0.20086135338345862</v>
      </c>
      <c r="O59" s="29">
        <v>1</v>
      </c>
      <c r="R59" s="27">
        <v>213</v>
      </c>
      <c r="S59" s="28" t="s">
        <v>460</v>
      </c>
      <c r="T59" s="28" t="s">
        <v>385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31.456</v>
      </c>
      <c r="AD59" s="30">
        <v>0.12613934837092733</v>
      </c>
      <c r="AE59" s="29">
        <v>1</v>
      </c>
    </row>
    <row r="60" spans="2:31" x14ac:dyDescent="0.2">
      <c r="B60" s="27">
        <v>216</v>
      </c>
      <c r="C60" s="28" t="s">
        <v>462</v>
      </c>
      <c r="D60" s="28" t="s">
        <v>383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-66.433000000000007</v>
      </c>
      <c r="N60" s="30">
        <v>0.26639799498746869</v>
      </c>
      <c r="O60" s="29">
        <v>1</v>
      </c>
      <c r="R60" s="27">
        <v>216</v>
      </c>
      <c r="S60" s="28" t="s">
        <v>462</v>
      </c>
      <c r="T60" s="28" t="s">
        <v>383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-66.429299999999998</v>
      </c>
      <c r="AD60" s="30">
        <v>0.26638315789473688</v>
      </c>
      <c r="AE60" s="29">
        <v>1</v>
      </c>
    </row>
    <row r="61" spans="2:31" x14ac:dyDescent="0.2">
      <c r="B61" s="27">
        <v>216</v>
      </c>
      <c r="C61" s="28" t="s">
        <v>463</v>
      </c>
      <c r="D61" s="28" t="s">
        <v>385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50.089799999999997</v>
      </c>
      <c r="N61" s="30">
        <v>0.20086135338345862</v>
      </c>
      <c r="O61" s="29">
        <v>1</v>
      </c>
      <c r="R61" s="27">
        <v>216</v>
      </c>
      <c r="S61" s="28" t="s">
        <v>463</v>
      </c>
      <c r="T61" s="28" t="s">
        <v>385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31.456</v>
      </c>
      <c r="AD61" s="30">
        <v>0.12613934837092733</v>
      </c>
      <c r="AE61" s="29">
        <v>1</v>
      </c>
    </row>
    <row r="62" spans="2:31" x14ac:dyDescent="0.2">
      <c r="B62" s="27">
        <v>219</v>
      </c>
      <c r="C62" s="28" t="s">
        <v>465</v>
      </c>
      <c r="D62" s="28" t="s">
        <v>383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-67.134799999999998</v>
      </c>
      <c r="N62" s="30">
        <v>0.26921223057644111</v>
      </c>
      <c r="O62" s="29">
        <v>1</v>
      </c>
      <c r="R62" s="27">
        <v>219</v>
      </c>
      <c r="S62" s="28" t="s">
        <v>465</v>
      </c>
      <c r="T62" s="28" t="s">
        <v>383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-67.123599999999996</v>
      </c>
      <c r="AD62" s="30">
        <v>0.26916731829573931</v>
      </c>
      <c r="AE62" s="29">
        <v>1</v>
      </c>
    </row>
    <row r="63" spans="2:31" x14ac:dyDescent="0.2">
      <c r="B63" s="27">
        <v>219</v>
      </c>
      <c r="C63" s="28" t="s">
        <v>466</v>
      </c>
      <c r="D63" s="28" t="s">
        <v>385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50.089799999999997</v>
      </c>
      <c r="N63" s="30">
        <v>0.20086135338345862</v>
      </c>
      <c r="O63" s="29">
        <v>1</v>
      </c>
      <c r="R63" s="27">
        <v>219</v>
      </c>
      <c r="S63" s="28" t="s">
        <v>466</v>
      </c>
      <c r="T63" s="28" t="s">
        <v>385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31.456</v>
      </c>
      <c r="AD63" s="30">
        <v>0.12613934837092733</v>
      </c>
      <c r="AE63" s="29">
        <v>1</v>
      </c>
    </row>
    <row r="64" spans="2:31" x14ac:dyDescent="0.2">
      <c r="B64" s="27">
        <v>222</v>
      </c>
      <c r="C64" s="28" t="s">
        <v>468</v>
      </c>
      <c r="D64" s="28" t="s">
        <v>383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-67.127399999999994</v>
      </c>
      <c r="N64" s="30">
        <v>0.26918255639097743</v>
      </c>
      <c r="O64" s="29">
        <v>1</v>
      </c>
      <c r="R64" s="27">
        <v>222</v>
      </c>
      <c r="S64" s="28" t="s">
        <v>468</v>
      </c>
      <c r="T64" s="28" t="s">
        <v>383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-67.111900000000006</v>
      </c>
      <c r="AD64" s="30">
        <v>0.26912040100250628</v>
      </c>
      <c r="AE64" s="29">
        <v>1</v>
      </c>
    </row>
    <row r="65" spans="2:31" x14ac:dyDescent="0.2">
      <c r="B65" s="27">
        <v>222</v>
      </c>
      <c r="C65" s="28" t="s">
        <v>469</v>
      </c>
      <c r="D65" s="28" t="s">
        <v>385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50.089799999999997</v>
      </c>
      <c r="N65" s="30">
        <v>0.20086135338345862</v>
      </c>
      <c r="O65" s="29">
        <v>1</v>
      </c>
      <c r="R65" s="27">
        <v>222</v>
      </c>
      <c r="S65" s="28" t="s">
        <v>469</v>
      </c>
      <c r="T65" s="28" t="s">
        <v>385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31.456</v>
      </c>
      <c r="AD65" s="30">
        <v>0.12613934837092733</v>
      </c>
      <c r="AE65" s="29">
        <v>1</v>
      </c>
    </row>
    <row r="66" spans="2:31" x14ac:dyDescent="0.2">
      <c r="B66" s="27">
        <v>225</v>
      </c>
      <c r="C66" s="28" t="s">
        <v>471</v>
      </c>
      <c r="D66" s="28" t="s">
        <v>383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-66.407600000000002</v>
      </c>
      <c r="N66" s="30">
        <v>0.26629614035087723</v>
      </c>
      <c r="O66" s="29">
        <v>1</v>
      </c>
      <c r="R66" s="27">
        <v>225</v>
      </c>
      <c r="S66" s="28" t="s">
        <v>471</v>
      </c>
      <c r="T66" s="28" t="s">
        <v>383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-66.385800000000003</v>
      </c>
      <c r="AD66" s="30">
        <v>0.26620872180451127</v>
      </c>
      <c r="AE66" s="29">
        <v>1</v>
      </c>
    </row>
    <row r="67" spans="2:31" x14ac:dyDescent="0.2">
      <c r="B67" s="27">
        <v>225</v>
      </c>
      <c r="C67" s="28" t="s">
        <v>472</v>
      </c>
      <c r="D67" s="28" t="s">
        <v>385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50.089799999999997</v>
      </c>
      <c r="N67" s="30">
        <v>0.20086135338345862</v>
      </c>
      <c r="O67" s="29">
        <v>1</v>
      </c>
      <c r="R67" s="27">
        <v>225</v>
      </c>
      <c r="S67" s="28" t="s">
        <v>472</v>
      </c>
      <c r="T67" s="28" t="s">
        <v>385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31.456</v>
      </c>
      <c r="AD67" s="30">
        <v>0.12613934837092733</v>
      </c>
      <c r="AE67" s="29">
        <v>1</v>
      </c>
    </row>
    <row r="68" spans="2:31" x14ac:dyDescent="0.2">
      <c r="B68" s="27">
        <v>228</v>
      </c>
      <c r="C68" s="28" t="s">
        <v>474</v>
      </c>
      <c r="D68" s="28" t="s">
        <v>383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-45.898800000000001</v>
      </c>
      <c r="N68" s="30">
        <v>0.18405533834586468</v>
      </c>
      <c r="O68" s="29">
        <v>1</v>
      </c>
      <c r="R68" s="27">
        <v>228</v>
      </c>
      <c r="S68" s="28" t="s">
        <v>474</v>
      </c>
      <c r="T68" s="28" t="s">
        <v>383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-45.872</v>
      </c>
      <c r="AD68" s="30">
        <v>0.18394786967418547</v>
      </c>
      <c r="AE68" s="29">
        <v>1</v>
      </c>
    </row>
    <row r="69" spans="2:31" x14ac:dyDescent="0.2">
      <c r="B69" s="27">
        <v>228</v>
      </c>
      <c r="C69" s="28" t="s">
        <v>475</v>
      </c>
      <c r="D69" s="28" t="s">
        <v>385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50.089799999999997</v>
      </c>
      <c r="N69" s="30">
        <v>0.20086135338345862</v>
      </c>
      <c r="O69" s="29">
        <v>1</v>
      </c>
      <c r="R69" s="27">
        <v>228</v>
      </c>
      <c r="S69" s="28" t="s">
        <v>475</v>
      </c>
      <c r="T69" s="28" t="s">
        <v>385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31.456</v>
      </c>
      <c r="AD69" s="30">
        <v>0.12613934837092733</v>
      </c>
      <c r="AE69" s="29">
        <v>1</v>
      </c>
    </row>
    <row r="70" spans="2:31" x14ac:dyDescent="0.2">
      <c r="B70" s="27">
        <v>244</v>
      </c>
      <c r="C70" s="28" t="s">
        <v>477</v>
      </c>
      <c r="D70" s="28" t="s">
        <v>383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-22.613499999999998</v>
      </c>
      <c r="N70" s="30">
        <v>9.0680701754385959E-2</v>
      </c>
      <c r="O70" s="29">
        <v>1</v>
      </c>
      <c r="R70" s="27">
        <v>244</v>
      </c>
      <c r="S70" s="28" t="s">
        <v>477</v>
      </c>
      <c r="T70" s="28" t="s">
        <v>383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-22.647200000000002</v>
      </c>
      <c r="AD70" s="30">
        <v>9.08158395989975E-2</v>
      </c>
      <c r="AE70" s="29">
        <v>1</v>
      </c>
    </row>
    <row r="71" spans="2:31" x14ac:dyDescent="0.2">
      <c r="B71" s="27">
        <v>244</v>
      </c>
      <c r="C71" s="28" t="s">
        <v>478</v>
      </c>
      <c r="D71" s="28" t="s">
        <v>385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50.089799999999997</v>
      </c>
      <c r="N71" s="30">
        <v>0.20086135338345862</v>
      </c>
      <c r="O71" s="29">
        <v>1</v>
      </c>
      <c r="R71" s="27">
        <v>244</v>
      </c>
      <c r="S71" s="28" t="s">
        <v>478</v>
      </c>
      <c r="T71" s="28" t="s">
        <v>385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31.456</v>
      </c>
      <c r="AD71" s="30">
        <v>0.12613934837092733</v>
      </c>
      <c r="AE71" s="29">
        <v>1</v>
      </c>
    </row>
    <row r="72" spans="2:31" x14ac:dyDescent="0.2">
      <c r="B72" s="27">
        <v>245</v>
      </c>
      <c r="C72" s="28" t="s">
        <v>480</v>
      </c>
      <c r="D72" s="28" t="s">
        <v>383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-25.225200000000001</v>
      </c>
      <c r="N72" s="30">
        <v>0.10115368421052631</v>
      </c>
      <c r="O72" s="29">
        <v>1</v>
      </c>
      <c r="R72" s="27">
        <v>245</v>
      </c>
      <c r="S72" s="28" t="s">
        <v>480</v>
      </c>
      <c r="T72" s="28" t="s">
        <v>383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-25.2637</v>
      </c>
      <c r="AD72" s="30">
        <v>0.10130807017543859</v>
      </c>
      <c r="AE72" s="29">
        <v>1</v>
      </c>
    </row>
    <row r="73" spans="2:31" x14ac:dyDescent="0.2">
      <c r="B73" s="27">
        <v>245</v>
      </c>
      <c r="C73" s="28" t="s">
        <v>481</v>
      </c>
      <c r="D73" s="28" t="s">
        <v>385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50.089799999999997</v>
      </c>
      <c r="N73" s="30">
        <v>0.20086135338345862</v>
      </c>
      <c r="O73" s="29">
        <v>1</v>
      </c>
      <c r="R73" s="27">
        <v>245</v>
      </c>
      <c r="S73" s="28" t="s">
        <v>481</v>
      </c>
      <c r="T73" s="28" t="s">
        <v>385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31.456</v>
      </c>
      <c r="AD73" s="30">
        <v>0.12613934837092733</v>
      </c>
      <c r="AE73" s="29">
        <v>1</v>
      </c>
    </row>
    <row r="74" spans="2:31" x14ac:dyDescent="0.2">
      <c r="B74" s="27">
        <v>246</v>
      </c>
      <c r="C74" s="28" t="s">
        <v>482</v>
      </c>
      <c r="D74" s="28" t="s">
        <v>383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-23.877600000000001</v>
      </c>
      <c r="N74" s="30">
        <v>9.5749774436090229E-2</v>
      </c>
      <c r="O74" s="29">
        <v>1</v>
      </c>
      <c r="R74" s="27">
        <v>246</v>
      </c>
      <c r="S74" s="28" t="s">
        <v>482</v>
      </c>
      <c r="T74" s="28" t="s">
        <v>383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-23.9192</v>
      </c>
      <c r="AD74" s="30">
        <v>9.5916591478696744E-2</v>
      </c>
      <c r="AE74" s="29">
        <v>1</v>
      </c>
    </row>
    <row r="75" spans="2:31" x14ac:dyDescent="0.2">
      <c r="B75" s="27">
        <v>246</v>
      </c>
      <c r="C75" s="28" t="s">
        <v>483</v>
      </c>
      <c r="D75" s="28" t="s">
        <v>385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50.089799999999997</v>
      </c>
      <c r="N75" s="30">
        <v>0.20086135338345862</v>
      </c>
      <c r="O75" s="29">
        <v>1</v>
      </c>
      <c r="R75" s="27">
        <v>246</v>
      </c>
      <c r="S75" s="28" t="s">
        <v>483</v>
      </c>
      <c r="T75" s="28" t="s">
        <v>385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31.456</v>
      </c>
      <c r="AD75" s="30">
        <v>0.12613934837092733</v>
      </c>
      <c r="AE75" s="29">
        <v>1</v>
      </c>
    </row>
    <row r="76" spans="2:31" x14ac:dyDescent="0.2">
      <c r="B76" s="27">
        <v>247</v>
      </c>
      <c r="C76" s="28" t="s">
        <v>484</v>
      </c>
      <c r="D76" s="28" t="s">
        <v>383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-23.649699999999999</v>
      </c>
      <c r="N76" s="30">
        <v>9.4835889724310785E-2</v>
      </c>
      <c r="O76" s="29">
        <v>1</v>
      </c>
      <c r="R76" s="27">
        <v>247</v>
      </c>
      <c r="S76" s="28" t="s">
        <v>484</v>
      </c>
      <c r="T76" s="28" t="s">
        <v>383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-23.6891</v>
      </c>
      <c r="AD76" s="30">
        <v>9.4993884711779442E-2</v>
      </c>
      <c r="AE76" s="29">
        <v>1</v>
      </c>
    </row>
    <row r="77" spans="2:31" x14ac:dyDescent="0.2">
      <c r="B77" s="27">
        <v>247</v>
      </c>
      <c r="C77" s="28" t="s">
        <v>485</v>
      </c>
      <c r="D77" s="28" t="s">
        <v>385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50.089799999999997</v>
      </c>
      <c r="N77" s="30">
        <v>0.20086135338345862</v>
      </c>
      <c r="O77" s="29">
        <v>1</v>
      </c>
      <c r="R77" s="27">
        <v>247</v>
      </c>
      <c r="S77" s="28" t="s">
        <v>485</v>
      </c>
      <c r="T77" s="28" t="s">
        <v>385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31.456</v>
      </c>
      <c r="AD77" s="30">
        <v>0.12613934837092733</v>
      </c>
      <c r="AE77" s="29">
        <v>1</v>
      </c>
    </row>
    <row r="78" spans="2:31" x14ac:dyDescent="0.2">
      <c r="B78" s="27">
        <v>248</v>
      </c>
      <c r="C78" s="28" t="s">
        <v>487</v>
      </c>
      <c r="D78" s="28" t="s">
        <v>383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-27.491800000000001</v>
      </c>
      <c r="N78" s="30">
        <v>0.11024280701754387</v>
      </c>
      <c r="O78" s="29">
        <v>1</v>
      </c>
      <c r="R78" s="27">
        <v>248</v>
      </c>
      <c r="S78" s="28" t="s">
        <v>487</v>
      </c>
      <c r="T78" s="28" t="s">
        <v>383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-27.527100000000001</v>
      </c>
      <c r="AD78" s="30">
        <v>0.11038436090225565</v>
      </c>
      <c r="AE78" s="29">
        <v>1</v>
      </c>
    </row>
    <row r="79" spans="2:31" x14ac:dyDescent="0.2">
      <c r="B79" s="27">
        <v>248</v>
      </c>
      <c r="C79" s="28" t="s">
        <v>488</v>
      </c>
      <c r="D79" s="28" t="s">
        <v>385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50.089799999999997</v>
      </c>
      <c r="N79" s="30">
        <v>0.20086135338345862</v>
      </c>
      <c r="O79" s="29">
        <v>1</v>
      </c>
      <c r="R79" s="27">
        <v>248</v>
      </c>
      <c r="S79" s="28" t="s">
        <v>488</v>
      </c>
      <c r="T79" s="28" t="s">
        <v>385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31.456</v>
      </c>
      <c r="AD79" s="30">
        <v>0.12613934837092733</v>
      </c>
      <c r="AE79" s="29">
        <v>1</v>
      </c>
    </row>
    <row r="80" spans="2:31" x14ac:dyDescent="0.2">
      <c r="B80" s="27">
        <v>291</v>
      </c>
      <c r="C80" s="28" t="s">
        <v>490</v>
      </c>
      <c r="D80" s="28" t="s">
        <v>383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-35.680799999999998</v>
      </c>
      <c r="N80" s="30">
        <v>0.14308090225563908</v>
      </c>
      <c r="O80" s="29">
        <v>1</v>
      </c>
      <c r="R80" s="27">
        <v>291</v>
      </c>
      <c r="S80" s="28" t="s">
        <v>490</v>
      </c>
      <c r="T80" s="28" t="s">
        <v>383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-35.705399999999997</v>
      </c>
      <c r="AD80" s="30">
        <v>0.14317954887218043</v>
      </c>
      <c r="AE80" s="29">
        <v>1</v>
      </c>
    </row>
    <row r="81" spans="2:31" x14ac:dyDescent="0.2">
      <c r="B81" s="27">
        <v>291</v>
      </c>
      <c r="C81" s="28" t="s">
        <v>491</v>
      </c>
      <c r="D81" s="28" t="s">
        <v>385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50.089799999999997</v>
      </c>
      <c r="N81" s="30">
        <v>0.20086135338345862</v>
      </c>
      <c r="O81" s="29">
        <v>1</v>
      </c>
      <c r="R81" s="27">
        <v>291</v>
      </c>
      <c r="S81" s="28" t="s">
        <v>491</v>
      </c>
      <c r="T81" s="28" t="s">
        <v>385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31.456</v>
      </c>
      <c r="AD81" s="30">
        <v>0.12613934837092733</v>
      </c>
      <c r="AE81" s="29">
        <v>1</v>
      </c>
    </row>
    <row r="82" spans="2:31" x14ac:dyDescent="0.2">
      <c r="B82" s="27">
        <v>292</v>
      </c>
      <c r="C82" s="28" t="s">
        <v>493</v>
      </c>
      <c r="D82" s="28" t="s">
        <v>383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-38.810099999999998</v>
      </c>
      <c r="N82" s="30">
        <v>0.15562947368421051</v>
      </c>
      <c r="O82" s="29">
        <v>1</v>
      </c>
      <c r="R82" s="27">
        <v>292</v>
      </c>
      <c r="S82" s="28" t="s">
        <v>493</v>
      </c>
      <c r="T82" s="28" t="s">
        <v>383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-38.838500000000003</v>
      </c>
      <c r="AD82" s="30">
        <v>0.15574335839598996</v>
      </c>
      <c r="AE82" s="29">
        <v>1</v>
      </c>
    </row>
    <row r="83" spans="2:31" x14ac:dyDescent="0.2">
      <c r="B83" s="27">
        <v>292</v>
      </c>
      <c r="C83" s="28" t="s">
        <v>494</v>
      </c>
      <c r="D83" s="28" t="s">
        <v>385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50.089799999999997</v>
      </c>
      <c r="N83" s="30">
        <v>0.20086135338345862</v>
      </c>
      <c r="O83" s="29">
        <v>1</v>
      </c>
      <c r="R83" s="27">
        <v>292</v>
      </c>
      <c r="S83" s="28" t="s">
        <v>494</v>
      </c>
      <c r="T83" s="28" t="s">
        <v>385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31.456</v>
      </c>
      <c r="AD83" s="30">
        <v>0.12613934837092733</v>
      </c>
      <c r="AE83" s="29">
        <v>1</v>
      </c>
    </row>
    <row r="84" spans="2:31" x14ac:dyDescent="0.2">
      <c r="B84" s="27">
        <v>293</v>
      </c>
      <c r="C84" s="28" t="s">
        <v>495</v>
      </c>
      <c r="D84" s="28" t="s">
        <v>383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-36.039200000000001</v>
      </c>
      <c r="N84" s="30">
        <v>0.14451809523809525</v>
      </c>
      <c r="O84" s="29">
        <v>1</v>
      </c>
      <c r="R84" s="27">
        <v>293</v>
      </c>
      <c r="S84" s="28" t="s">
        <v>495</v>
      </c>
      <c r="T84" s="28" t="s">
        <v>383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-36.066699999999997</v>
      </c>
      <c r="AD84" s="30">
        <v>0.14462837092731828</v>
      </c>
      <c r="AE84" s="29">
        <v>1</v>
      </c>
    </row>
    <row r="85" spans="2:31" x14ac:dyDescent="0.2">
      <c r="B85" s="27">
        <v>293</v>
      </c>
      <c r="C85" s="28" t="s">
        <v>496</v>
      </c>
      <c r="D85" s="28" t="s">
        <v>385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50.089799999999997</v>
      </c>
      <c r="N85" s="30">
        <v>0.20086135338345862</v>
      </c>
      <c r="O85" s="29">
        <v>1</v>
      </c>
      <c r="R85" s="27">
        <v>293</v>
      </c>
      <c r="S85" s="28" t="s">
        <v>496</v>
      </c>
      <c r="T85" s="28" t="s">
        <v>385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31.456</v>
      </c>
      <c r="AD85" s="30">
        <v>0.12613934837092733</v>
      </c>
      <c r="AE85" s="29">
        <v>1</v>
      </c>
    </row>
    <row r="86" spans="2:31" x14ac:dyDescent="0.2">
      <c r="B86" s="27">
        <v>294</v>
      </c>
      <c r="C86" s="28" t="s">
        <v>497</v>
      </c>
      <c r="D86" s="28" t="s">
        <v>383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-35.662300000000002</v>
      </c>
      <c r="N86" s="30">
        <v>0.14300671679197996</v>
      </c>
      <c r="O86" s="29">
        <v>1</v>
      </c>
      <c r="R86" s="27">
        <v>294</v>
      </c>
      <c r="S86" s="28" t="s">
        <v>497</v>
      </c>
      <c r="T86" s="28" t="s">
        <v>383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-35.688800000000001</v>
      </c>
      <c r="AD86" s="30">
        <v>0.14311298245614038</v>
      </c>
      <c r="AE86" s="29">
        <v>1</v>
      </c>
    </row>
    <row r="87" spans="2:31" x14ac:dyDescent="0.2">
      <c r="B87" s="27">
        <v>294</v>
      </c>
      <c r="C87" s="28" t="s">
        <v>498</v>
      </c>
      <c r="D87" s="28" t="s">
        <v>385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50.089799999999997</v>
      </c>
      <c r="N87" s="30">
        <v>0.20086135338345862</v>
      </c>
      <c r="O87" s="29">
        <v>1</v>
      </c>
      <c r="R87" s="27">
        <v>294</v>
      </c>
      <c r="S87" s="28" t="s">
        <v>498</v>
      </c>
      <c r="T87" s="28" t="s">
        <v>385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31.456</v>
      </c>
      <c r="AD87" s="30">
        <v>0.12613934837092733</v>
      </c>
      <c r="AE87" s="29">
        <v>1</v>
      </c>
    </row>
    <row r="88" spans="2:31" x14ac:dyDescent="0.2">
      <c r="B88" s="27">
        <v>295</v>
      </c>
      <c r="C88" s="28" t="s">
        <v>500</v>
      </c>
      <c r="D88" s="28" t="s">
        <v>383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-41.536200000000001</v>
      </c>
      <c r="N88" s="30">
        <v>0.16656120300751881</v>
      </c>
      <c r="O88" s="29">
        <v>1</v>
      </c>
      <c r="R88" s="27">
        <v>295</v>
      </c>
      <c r="S88" s="28" t="s">
        <v>500</v>
      </c>
      <c r="T88" s="28" t="s">
        <v>383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-41.558</v>
      </c>
      <c r="AD88" s="30">
        <v>0.16664862155388471</v>
      </c>
      <c r="AE88" s="29">
        <v>1</v>
      </c>
    </row>
    <row r="89" spans="2:31" x14ac:dyDescent="0.2">
      <c r="B89" s="27">
        <v>295</v>
      </c>
      <c r="C89" s="28" t="s">
        <v>501</v>
      </c>
      <c r="D89" s="28" t="s">
        <v>385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50.089799999999997</v>
      </c>
      <c r="N89" s="30">
        <v>0.20086135338345862</v>
      </c>
      <c r="O89" s="29">
        <v>1</v>
      </c>
      <c r="R89" s="27">
        <v>295</v>
      </c>
      <c r="S89" s="28" t="s">
        <v>501</v>
      </c>
      <c r="T89" s="28" t="s">
        <v>385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31.456</v>
      </c>
      <c r="AD89" s="30">
        <v>0.12613934837092733</v>
      </c>
      <c r="AE89" s="29">
        <v>1</v>
      </c>
    </row>
    <row r="90" spans="2:31" x14ac:dyDescent="0.2">
      <c r="B90" s="27">
        <v>273</v>
      </c>
      <c r="C90" s="28" t="s">
        <v>503</v>
      </c>
      <c r="D90" s="28" t="s">
        <v>383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-64.3352</v>
      </c>
      <c r="N90" s="30">
        <v>0.25798576441102755</v>
      </c>
      <c r="O90" s="29">
        <v>1</v>
      </c>
      <c r="R90" s="27">
        <v>273</v>
      </c>
      <c r="S90" s="28" t="s">
        <v>503</v>
      </c>
      <c r="T90" s="28" t="s">
        <v>383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-64.342299999999994</v>
      </c>
      <c r="AD90" s="30">
        <v>0.25801423558897241</v>
      </c>
      <c r="AE90" s="29">
        <v>1</v>
      </c>
    </row>
    <row r="91" spans="2:31" x14ac:dyDescent="0.2">
      <c r="B91" s="27">
        <v>273</v>
      </c>
      <c r="C91" s="28" t="s">
        <v>504</v>
      </c>
      <c r="D91" s="28" t="s">
        <v>385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50.089799999999997</v>
      </c>
      <c r="N91" s="30">
        <v>0.20086135338345862</v>
      </c>
      <c r="O91" s="29">
        <v>1</v>
      </c>
      <c r="R91" s="27">
        <v>273</v>
      </c>
      <c r="S91" s="28" t="s">
        <v>504</v>
      </c>
      <c r="T91" s="28" t="s">
        <v>385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31.456</v>
      </c>
      <c r="AD91" s="30">
        <v>0.12613934837092733</v>
      </c>
      <c r="AE91" s="29">
        <v>1</v>
      </c>
    </row>
    <row r="92" spans="2:31" x14ac:dyDescent="0.2">
      <c r="B92" s="27">
        <v>276</v>
      </c>
      <c r="C92" s="28" t="s">
        <v>506</v>
      </c>
      <c r="D92" s="28" t="s">
        <v>383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-83.011099999999999</v>
      </c>
      <c r="N92" s="30">
        <v>0.33287659147869675</v>
      </c>
      <c r="O92" s="29">
        <v>1</v>
      </c>
      <c r="R92" s="27">
        <v>276</v>
      </c>
      <c r="S92" s="28" t="s">
        <v>506</v>
      </c>
      <c r="T92" s="28" t="s">
        <v>383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-83.009699999999995</v>
      </c>
      <c r="AD92" s="30">
        <v>0.332870977443609</v>
      </c>
      <c r="AE92" s="29">
        <v>1</v>
      </c>
    </row>
    <row r="93" spans="2:31" x14ac:dyDescent="0.2">
      <c r="B93" s="27">
        <v>276</v>
      </c>
      <c r="C93" s="28" t="s">
        <v>507</v>
      </c>
      <c r="D93" s="28" t="s">
        <v>385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50.089799999999997</v>
      </c>
      <c r="N93" s="30">
        <v>0.20086135338345862</v>
      </c>
      <c r="O93" s="29">
        <v>1</v>
      </c>
      <c r="R93" s="27">
        <v>276</v>
      </c>
      <c r="S93" s="28" t="s">
        <v>507</v>
      </c>
      <c r="T93" s="28" t="s">
        <v>385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31.456</v>
      </c>
      <c r="AD93" s="30">
        <v>0.12613934837092733</v>
      </c>
      <c r="AE93" s="29">
        <v>1</v>
      </c>
    </row>
    <row r="94" spans="2:31" x14ac:dyDescent="0.2">
      <c r="B94" s="27">
        <v>279</v>
      </c>
      <c r="C94" s="28" t="s">
        <v>509</v>
      </c>
      <c r="D94" s="28" t="s">
        <v>383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-83.105599999999995</v>
      </c>
      <c r="N94" s="30">
        <v>0.33325553884711778</v>
      </c>
      <c r="O94" s="29">
        <v>1</v>
      </c>
      <c r="R94" s="27">
        <v>279</v>
      </c>
      <c r="S94" s="28" t="s">
        <v>509</v>
      </c>
      <c r="T94" s="28" t="s">
        <v>383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-83.093800000000002</v>
      </c>
      <c r="AD94" s="30">
        <v>0.33320822055137844</v>
      </c>
      <c r="AE94" s="29">
        <v>1</v>
      </c>
    </row>
    <row r="95" spans="2:31" x14ac:dyDescent="0.2">
      <c r="B95" s="27">
        <v>279</v>
      </c>
      <c r="C95" s="28" t="s">
        <v>510</v>
      </c>
      <c r="D95" s="28" t="s">
        <v>385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50.089799999999997</v>
      </c>
      <c r="N95" s="30">
        <v>0.20086135338345862</v>
      </c>
      <c r="O95" s="29">
        <v>1</v>
      </c>
      <c r="R95" s="27">
        <v>279</v>
      </c>
      <c r="S95" s="28" t="s">
        <v>510</v>
      </c>
      <c r="T95" s="28" t="s">
        <v>385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31.456</v>
      </c>
      <c r="AD95" s="30">
        <v>0.12613934837092733</v>
      </c>
      <c r="AE95" s="29">
        <v>1</v>
      </c>
    </row>
    <row r="96" spans="2:31" x14ac:dyDescent="0.2">
      <c r="B96" s="27">
        <v>282</v>
      </c>
      <c r="C96" s="28" t="s">
        <v>512</v>
      </c>
      <c r="D96" s="28" t="s">
        <v>383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-83.412599999999998</v>
      </c>
      <c r="N96" s="30">
        <v>0.33448661654135337</v>
      </c>
      <c r="O96" s="29">
        <v>1</v>
      </c>
      <c r="R96" s="27">
        <v>282</v>
      </c>
      <c r="S96" s="28" t="s">
        <v>512</v>
      </c>
      <c r="T96" s="28" t="s">
        <v>383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-83.390299999999996</v>
      </c>
      <c r="AD96" s="30">
        <v>0.33439719298245613</v>
      </c>
      <c r="AE96" s="29">
        <v>1</v>
      </c>
    </row>
    <row r="97" spans="2:31" x14ac:dyDescent="0.2">
      <c r="B97" s="27">
        <v>282</v>
      </c>
      <c r="C97" s="28" t="s">
        <v>513</v>
      </c>
      <c r="D97" s="28" t="s">
        <v>385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50.089799999999997</v>
      </c>
      <c r="N97" s="30">
        <v>0.20086135338345862</v>
      </c>
      <c r="O97" s="29">
        <v>1</v>
      </c>
      <c r="R97" s="27">
        <v>282</v>
      </c>
      <c r="S97" s="28" t="s">
        <v>513</v>
      </c>
      <c r="T97" s="28" t="s">
        <v>385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31.456</v>
      </c>
      <c r="AD97" s="30">
        <v>0.12613934837092733</v>
      </c>
      <c r="AE97" s="29">
        <v>1</v>
      </c>
    </row>
    <row r="98" spans="2:31" x14ac:dyDescent="0.2">
      <c r="B98" s="27">
        <v>285</v>
      </c>
      <c r="C98" s="28" t="s">
        <v>515</v>
      </c>
      <c r="D98" s="28" t="s">
        <v>383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-85.2774</v>
      </c>
      <c r="N98" s="30">
        <v>0.34196451127819544</v>
      </c>
      <c r="O98" s="29">
        <v>1</v>
      </c>
      <c r="R98" s="27">
        <v>285</v>
      </c>
      <c r="S98" s="28" t="s">
        <v>515</v>
      </c>
      <c r="T98" s="28" t="s">
        <v>383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-85.244100000000003</v>
      </c>
      <c r="AD98" s="30">
        <v>0.34183097744360902</v>
      </c>
      <c r="AE98" s="29">
        <v>1</v>
      </c>
    </row>
    <row r="99" spans="2:31" x14ac:dyDescent="0.2">
      <c r="B99" s="27">
        <v>285</v>
      </c>
      <c r="C99" s="28" t="s">
        <v>516</v>
      </c>
      <c r="D99" s="28" t="s">
        <v>385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50.089799999999997</v>
      </c>
      <c r="N99" s="30">
        <v>0.20086135338345862</v>
      </c>
      <c r="O99" s="29">
        <v>1</v>
      </c>
      <c r="R99" s="27">
        <v>285</v>
      </c>
      <c r="S99" s="28" t="s">
        <v>516</v>
      </c>
      <c r="T99" s="28" t="s">
        <v>385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31.456</v>
      </c>
      <c r="AD99" s="30">
        <v>0.12613934837092733</v>
      </c>
      <c r="AE99" s="29">
        <v>1</v>
      </c>
    </row>
    <row r="100" spans="2:31" x14ac:dyDescent="0.2">
      <c r="B100" s="27">
        <v>288</v>
      </c>
      <c r="C100" s="28" t="s">
        <v>518</v>
      </c>
      <c r="D100" s="28" t="s">
        <v>383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-66.6023</v>
      </c>
      <c r="N100" s="30">
        <v>0.26707689223057646</v>
      </c>
      <c r="O100" s="29">
        <v>1</v>
      </c>
      <c r="R100" s="27">
        <v>288</v>
      </c>
      <c r="S100" s="28" t="s">
        <v>518</v>
      </c>
      <c r="T100" s="28" t="s">
        <v>383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-66.572199999999995</v>
      </c>
      <c r="AD100" s="30">
        <v>0.26695619047619046</v>
      </c>
      <c r="AE100" s="29">
        <v>1</v>
      </c>
    </row>
    <row r="101" spans="2:31" x14ac:dyDescent="0.2">
      <c r="B101" s="27">
        <v>288</v>
      </c>
      <c r="C101" s="28" t="s">
        <v>519</v>
      </c>
      <c r="D101" s="28" t="s">
        <v>385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50.089799999999997</v>
      </c>
      <c r="N101" s="30">
        <v>0.20086135338345862</v>
      </c>
      <c r="O101" s="29">
        <v>1</v>
      </c>
      <c r="R101" s="27">
        <v>288</v>
      </c>
      <c r="S101" s="28" t="s">
        <v>519</v>
      </c>
      <c r="T101" s="28" t="s">
        <v>385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31.456</v>
      </c>
      <c r="AD101" s="30">
        <v>0.12613934837092733</v>
      </c>
      <c r="AE101" s="29">
        <v>1</v>
      </c>
    </row>
    <row r="102" spans="2:31" x14ac:dyDescent="0.2">
      <c r="B102" s="27">
        <v>296</v>
      </c>
      <c r="C102" s="28" t="s">
        <v>521</v>
      </c>
      <c r="D102" s="28" t="s">
        <v>383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-45.130899999999997</v>
      </c>
      <c r="N102" s="30">
        <v>0.18097604010025059</v>
      </c>
      <c r="O102" s="29">
        <v>1</v>
      </c>
      <c r="R102" s="27">
        <v>296</v>
      </c>
      <c r="S102" s="28" t="s">
        <v>521</v>
      </c>
      <c r="T102" s="28" t="s">
        <v>383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-45.176900000000003</v>
      </c>
      <c r="AD102" s="30">
        <v>0.18116050125313285</v>
      </c>
      <c r="AE102" s="29">
        <v>1</v>
      </c>
    </row>
    <row r="103" spans="2:31" x14ac:dyDescent="0.2">
      <c r="B103" s="27">
        <v>296</v>
      </c>
      <c r="C103" s="28" t="s">
        <v>522</v>
      </c>
      <c r="D103" s="28" t="s">
        <v>385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50.089799999999997</v>
      </c>
      <c r="N103" s="30">
        <v>0.20086135338345862</v>
      </c>
      <c r="O103" s="29">
        <v>1</v>
      </c>
      <c r="R103" s="27">
        <v>296</v>
      </c>
      <c r="S103" s="28" t="s">
        <v>522</v>
      </c>
      <c r="T103" s="28" t="s">
        <v>385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31.456</v>
      </c>
      <c r="AD103" s="30">
        <v>0.12613934837092733</v>
      </c>
      <c r="AE103" s="29">
        <v>1</v>
      </c>
    </row>
    <row r="104" spans="2:31" x14ac:dyDescent="0.2">
      <c r="B104" s="27">
        <v>297</v>
      </c>
      <c r="C104" s="28" t="s">
        <v>524</v>
      </c>
      <c r="D104" s="28" t="s">
        <v>383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-42.124200000000002</v>
      </c>
      <c r="N104" s="30">
        <v>0.16891909774436092</v>
      </c>
      <c r="O104" s="29">
        <v>1</v>
      </c>
      <c r="R104" s="27">
        <v>297</v>
      </c>
      <c r="S104" s="28" t="s">
        <v>524</v>
      </c>
      <c r="T104" s="28" t="s">
        <v>383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-42.168100000000003</v>
      </c>
      <c r="AD104" s="30">
        <v>0.16909513784461155</v>
      </c>
      <c r="AE104" s="29">
        <v>1</v>
      </c>
    </row>
    <row r="105" spans="2:31" x14ac:dyDescent="0.2">
      <c r="B105" s="27">
        <v>297</v>
      </c>
      <c r="C105" s="28" t="s">
        <v>525</v>
      </c>
      <c r="D105" s="28" t="s">
        <v>385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50.089799999999997</v>
      </c>
      <c r="N105" s="30">
        <v>0.20086135338345862</v>
      </c>
      <c r="O105" s="29">
        <v>1</v>
      </c>
      <c r="R105" s="27">
        <v>297</v>
      </c>
      <c r="S105" s="28" t="s">
        <v>525</v>
      </c>
      <c r="T105" s="28" t="s">
        <v>385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31.456</v>
      </c>
      <c r="AD105" s="30">
        <v>0.12613934837092733</v>
      </c>
      <c r="AE105" s="29">
        <v>1</v>
      </c>
    </row>
    <row r="106" spans="2:31" x14ac:dyDescent="0.2">
      <c r="B106" s="27">
        <v>298</v>
      </c>
      <c r="C106" s="28" t="s">
        <v>526</v>
      </c>
      <c r="D106" s="28" t="s">
        <v>383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-46.1342</v>
      </c>
      <c r="N106" s="30">
        <v>0.18499929824561404</v>
      </c>
      <c r="O106" s="29">
        <v>1</v>
      </c>
      <c r="R106" s="27">
        <v>298</v>
      </c>
      <c r="S106" s="28" t="s">
        <v>526</v>
      </c>
      <c r="T106" s="28" t="s">
        <v>383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-46.176499999999997</v>
      </c>
      <c r="AD106" s="30">
        <v>0.1851689223057644</v>
      </c>
      <c r="AE106" s="29">
        <v>1</v>
      </c>
    </row>
    <row r="107" spans="2:31" x14ac:dyDescent="0.2">
      <c r="B107" s="27">
        <v>298</v>
      </c>
      <c r="C107" s="28" t="s">
        <v>527</v>
      </c>
      <c r="D107" s="28" t="s">
        <v>385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50.089799999999997</v>
      </c>
      <c r="N107" s="30">
        <v>0.20086135338345862</v>
      </c>
      <c r="O107" s="29">
        <v>1</v>
      </c>
      <c r="R107" s="27">
        <v>298</v>
      </c>
      <c r="S107" s="28" t="s">
        <v>527</v>
      </c>
      <c r="T107" s="28" t="s">
        <v>385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31.456</v>
      </c>
      <c r="AD107" s="30">
        <v>0.12613934837092733</v>
      </c>
      <c r="AE107" s="29">
        <v>1</v>
      </c>
    </row>
    <row r="108" spans="2:31" x14ac:dyDescent="0.2">
      <c r="B108" s="27">
        <v>299</v>
      </c>
      <c r="C108" s="28" t="s">
        <v>528</v>
      </c>
      <c r="D108" s="28" t="s">
        <v>383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-45.222200000000001</v>
      </c>
      <c r="N108" s="30">
        <v>0.1813421553884712</v>
      </c>
      <c r="O108" s="29">
        <v>1</v>
      </c>
      <c r="R108" s="27">
        <v>299</v>
      </c>
      <c r="S108" s="28" t="s">
        <v>528</v>
      </c>
      <c r="T108" s="28" t="s">
        <v>383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-45.267200000000003</v>
      </c>
      <c r="AD108" s="30">
        <v>0.18152260651629074</v>
      </c>
      <c r="AE108" s="29">
        <v>1</v>
      </c>
    </row>
    <row r="109" spans="2:31" x14ac:dyDescent="0.2">
      <c r="B109" s="27">
        <v>299</v>
      </c>
      <c r="C109" s="28" t="s">
        <v>529</v>
      </c>
      <c r="D109" s="28" t="s">
        <v>385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50.089799999999997</v>
      </c>
      <c r="N109" s="30">
        <v>0.20086135338345862</v>
      </c>
      <c r="O109" s="29">
        <v>1</v>
      </c>
      <c r="R109" s="27">
        <v>299</v>
      </c>
      <c r="S109" s="28" t="s">
        <v>529</v>
      </c>
      <c r="T109" s="28" t="s">
        <v>385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31.456</v>
      </c>
      <c r="AD109" s="30">
        <v>0.12613934837092733</v>
      </c>
      <c r="AE109" s="29">
        <v>1</v>
      </c>
    </row>
    <row r="110" spans="2:31" x14ac:dyDescent="0.2">
      <c r="B110" s="27">
        <v>300</v>
      </c>
      <c r="C110" s="28" t="s">
        <v>531</v>
      </c>
      <c r="D110" s="28" t="s">
        <v>383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-44.425800000000002</v>
      </c>
      <c r="N110" s="30">
        <v>0.17814857142857143</v>
      </c>
      <c r="O110" s="29">
        <v>1</v>
      </c>
      <c r="R110" s="27">
        <v>300</v>
      </c>
      <c r="S110" s="28" t="s">
        <v>531</v>
      </c>
      <c r="T110" s="28" t="s">
        <v>383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-44.4726</v>
      </c>
      <c r="AD110" s="30">
        <v>0.17833624060150374</v>
      </c>
      <c r="AE110" s="29">
        <v>1</v>
      </c>
    </row>
    <row r="111" spans="2:31" x14ac:dyDescent="0.2">
      <c r="B111" s="27">
        <v>300</v>
      </c>
      <c r="C111" s="28" t="s">
        <v>532</v>
      </c>
      <c r="D111" s="28" t="s">
        <v>385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50.089799999999997</v>
      </c>
      <c r="N111" s="30">
        <v>0.20086135338345862</v>
      </c>
      <c r="O111" s="29">
        <v>1</v>
      </c>
      <c r="R111" s="27">
        <v>300</v>
      </c>
      <c r="S111" s="28" t="s">
        <v>532</v>
      </c>
      <c r="T111" s="28" t="s">
        <v>385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31.456</v>
      </c>
      <c r="AD111" s="30">
        <v>0.12613934837092733</v>
      </c>
      <c r="AE111" s="29">
        <v>1</v>
      </c>
    </row>
    <row r="112" spans="2:31" x14ac:dyDescent="0.2">
      <c r="B112" s="27">
        <v>274</v>
      </c>
      <c r="C112" s="28" t="s">
        <v>534</v>
      </c>
      <c r="D112" s="28" t="s">
        <v>383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-65.073999999999998</v>
      </c>
      <c r="N112" s="30">
        <v>0.26094837092731832</v>
      </c>
      <c r="O112" s="29">
        <v>1</v>
      </c>
      <c r="R112" s="27">
        <v>274</v>
      </c>
      <c r="S112" s="28" t="s">
        <v>534</v>
      </c>
      <c r="T112" s="28" t="s">
        <v>383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-65.083699999999993</v>
      </c>
      <c r="AD112" s="30">
        <v>0.260987268170426</v>
      </c>
      <c r="AE112" s="29">
        <v>1</v>
      </c>
    </row>
    <row r="113" spans="2:31" x14ac:dyDescent="0.2">
      <c r="B113" s="27">
        <v>274</v>
      </c>
      <c r="C113" s="28" t="s">
        <v>535</v>
      </c>
      <c r="D113" s="28" t="s">
        <v>385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50.089799999999997</v>
      </c>
      <c r="N113" s="30">
        <v>0.20086135338345862</v>
      </c>
      <c r="O113" s="29">
        <v>1</v>
      </c>
      <c r="R113" s="27">
        <v>274</v>
      </c>
      <c r="S113" s="28" t="s">
        <v>535</v>
      </c>
      <c r="T113" s="28" t="s">
        <v>385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44.409300000000002</v>
      </c>
      <c r="AD113" s="30">
        <v>0.17808240601503761</v>
      </c>
      <c r="AE113" s="29">
        <v>1</v>
      </c>
    </row>
    <row r="114" spans="2:31" x14ac:dyDescent="0.2">
      <c r="B114" s="27">
        <v>277</v>
      </c>
      <c r="C114" s="28" t="s">
        <v>537</v>
      </c>
      <c r="D114" s="28" t="s">
        <v>383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-86.935199999999995</v>
      </c>
      <c r="N114" s="30">
        <v>0.34861233082706766</v>
      </c>
      <c r="O114" s="29">
        <v>1</v>
      </c>
      <c r="R114" s="27">
        <v>277</v>
      </c>
      <c r="S114" s="28" t="s">
        <v>537</v>
      </c>
      <c r="T114" s="28" t="s">
        <v>383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-86.933499999999995</v>
      </c>
      <c r="AD114" s="30">
        <v>0.34860551378446114</v>
      </c>
      <c r="AE114" s="29">
        <v>1</v>
      </c>
    </row>
    <row r="115" spans="2:31" x14ac:dyDescent="0.2">
      <c r="B115" s="27">
        <v>277</v>
      </c>
      <c r="C115" s="28" t="s">
        <v>538</v>
      </c>
      <c r="D115" s="28" t="s">
        <v>385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60.758800000000001</v>
      </c>
      <c r="N115" s="30">
        <v>0.24364431077694237</v>
      </c>
      <c r="O115" s="29">
        <v>1</v>
      </c>
      <c r="R115" s="27">
        <v>277</v>
      </c>
      <c r="S115" s="28" t="s">
        <v>538</v>
      </c>
      <c r="T115" s="28" t="s">
        <v>385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44.409300000000002</v>
      </c>
      <c r="AD115" s="30">
        <v>0.17808240601503761</v>
      </c>
      <c r="AE115" s="29">
        <v>1</v>
      </c>
    </row>
    <row r="116" spans="2:31" x14ac:dyDescent="0.2">
      <c r="B116" s="27">
        <v>280</v>
      </c>
      <c r="C116" s="28" t="s">
        <v>540</v>
      </c>
      <c r="D116" s="28" t="s">
        <v>383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-81.745699999999999</v>
      </c>
      <c r="N116" s="30">
        <v>0.32780230576441099</v>
      </c>
      <c r="O116" s="29">
        <v>1</v>
      </c>
      <c r="R116" s="27">
        <v>280</v>
      </c>
      <c r="S116" s="28" t="s">
        <v>540</v>
      </c>
      <c r="T116" s="28" t="s">
        <v>383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-81.7333</v>
      </c>
      <c r="AD116" s="30">
        <v>0.32775258145363412</v>
      </c>
      <c r="AE116" s="29">
        <v>1</v>
      </c>
    </row>
    <row r="117" spans="2:31" x14ac:dyDescent="0.2">
      <c r="B117" s="27">
        <v>280</v>
      </c>
      <c r="C117" s="28" t="s">
        <v>541</v>
      </c>
      <c r="D117" s="28" t="s">
        <v>385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60.758800000000001</v>
      </c>
      <c r="N117" s="30">
        <v>0.24364431077694237</v>
      </c>
      <c r="O117" s="29">
        <v>1</v>
      </c>
      <c r="R117" s="27">
        <v>280</v>
      </c>
      <c r="S117" s="28" t="s">
        <v>541</v>
      </c>
      <c r="T117" s="28" t="s">
        <v>385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56.301000000000002</v>
      </c>
      <c r="AD117" s="30">
        <v>0.22576842105263159</v>
      </c>
      <c r="AE117" s="29">
        <v>1</v>
      </c>
    </row>
    <row r="118" spans="2:31" x14ac:dyDescent="0.2">
      <c r="B118" s="27">
        <v>283</v>
      </c>
      <c r="C118" s="28" t="s">
        <v>543</v>
      </c>
      <c r="D118" s="28" t="s">
        <v>383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-81.739699999999999</v>
      </c>
      <c r="N118" s="30">
        <v>0.32777824561403507</v>
      </c>
      <c r="O118" s="29">
        <v>1</v>
      </c>
      <c r="R118" s="27">
        <v>283</v>
      </c>
      <c r="S118" s="28" t="s">
        <v>543</v>
      </c>
      <c r="T118" s="28" t="s">
        <v>383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-81.718199999999996</v>
      </c>
      <c r="AD118" s="30">
        <v>0.32769203007518793</v>
      </c>
      <c r="AE118" s="29">
        <v>1</v>
      </c>
    </row>
    <row r="119" spans="2:31" x14ac:dyDescent="0.2">
      <c r="B119" s="27">
        <v>283</v>
      </c>
      <c r="C119" s="28" t="s">
        <v>544</v>
      </c>
      <c r="D119" s="28" t="s">
        <v>385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60.758800000000001</v>
      </c>
      <c r="N119" s="30">
        <v>0.24364431077694237</v>
      </c>
      <c r="O119" s="29">
        <v>1</v>
      </c>
      <c r="R119" s="27">
        <v>283</v>
      </c>
      <c r="S119" s="28" t="s">
        <v>544</v>
      </c>
      <c r="T119" s="28" t="s">
        <v>385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56.309199999999997</v>
      </c>
      <c r="AD119" s="30">
        <v>0.22580130325814535</v>
      </c>
      <c r="AE119" s="29">
        <v>1</v>
      </c>
    </row>
    <row r="120" spans="2:31" x14ac:dyDescent="0.2">
      <c r="B120" s="27">
        <v>286</v>
      </c>
      <c r="C120" s="28" t="s">
        <v>546</v>
      </c>
      <c r="D120" s="28" t="s">
        <v>383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-87.025800000000004</v>
      </c>
      <c r="N120" s="30">
        <v>0.34897563909774437</v>
      </c>
      <c r="O120" s="29">
        <v>1</v>
      </c>
      <c r="R120" s="27">
        <v>286</v>
      </c>
      <c r="S120" s="28" t="s">
        <v>546</v>
      </c>
      <c r="T120" s="28" t="s">
        <v>383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-86.992999999999995</v>
      </c>
      <c r="AD120" s="30">
        <v>0.34884411027568923</v>
      </c>
      <c r="AE120" s="29">
        <v>1</v>
      </c>
    </row>
    <row r="121" spans="2:31" x14ac:dyDescent="0.2">
      <c r="B121" s="27">
        <v>286</v>
      </c>
      <c r="C121" s="28" t="s">
        <v>547</v>
      </c>
      <c r="D121" s="28" t="s">
        <v>385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60.715299999999999</v>
      </c>
      <c r="N121" s="30">
        <v>0.24346987468671677</v>
      </c>
      <c r="O121" s="29">
        <v>1</v>
      </c>
      <c r="R121" s="27">
        <v>286</v>
      </c>
      <c r="S121" s="28" t="s">
        <v>547</v>
      </c>
      <c r="T121" s="28" t="s">
        <v>385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56.309199999999997</v>
      </c>
      <c r="AD121" s="30">
        <v>0.22580130325814535</v>
      </c>
      <c r="AE121" s="29">
        <v>1</v>
      </c>
    </row>
    <row r="122" spans="2:31" x14ac:dyDescent="0.2">
      <c r="B122" s="27">
        <v>289</v>
      </c>
      <c r="C122" s="28" t="s">
        <v>549</v>
      </c>
      <c r="D122" s="28" t="s">
        <v>383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-65.087500000000006</v>
      </c>
      <c r="N122" s="30">
        <v>0.26100250626566418</v>
      </c>
      <c r="O122" s="29">
        <v>1</v>
      </c>
      <c r="R122" s="27">
        <v>289</v>
      </c>
      <c r="S122" s="28" t="s">
        <v>549</v>
      </c>
      <c r="T122" s="28" t="s">
        <v>383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-65.049099999999996</v>
      </c>
      <c r="AD122" s="30">
        <v>0.26084852130325814</v>
      </c>
      <c r="AE122" s="29">
        <v>1</v>
      </c>
    </row>
    <row r="123" spans="2:31" x14ac:dyDescent="0.2">
      <c r="B123" s="27">
        <v>289</v>
      </c>
      <c r="C123" s="28" t="s">
        <v>550</v>
      </c>
      <c r="D123" s="28" t="s">
        <v>385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60.715299999999999</v>
      </c>
      <c r="N123" s="30">
        <v>0.24346987468671677</v>
      </c>
      <c r="O123" s="29">
        <v>1</v>
      </c>
      <c r="R123" s="27">
        <v>289</v>
      </c>
      <c r="S123" s="28" t="s">
        <v>550</v>
      </c>
      <c r="T123" s="28" t="s">
        <v>385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44.409100000000002</v>
      </c>
      <c r="AD123" s="30">
        <v>0.1780816040100251</v>
      </c>
      <c r="AE123" s="29">
        <v>1</v>
      </c>
    </row>
    <row r="124" spans="2:31" x14ac:dyDescent="0.2">
      <c r="B124" s="27">
        <v>301</v>
      </c>
      <c r="C124" s="28" t="s">
        <v>552</v>
      </c>
      <c r="D124" s="28" t="s">
        <v>383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-44.912999999999997</v>
      </c>
      <c r="N124" s="30">
        <v>0.18010225563909774</v>
      </c>
      <c r="O124" s="29">
        <v>1</v>
      </c>
      <c r="R124" s="27">
        <v>301</v>
      </c>
      <c r="S124" s="28" t="s">
        <v>552</v>
      </c>
      <c r="T124" s="28" t="s">
        <v>383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-44.977899999999998</v>
      </c>
      <c r="AD124" s="30">
        <v>0.18036250626566416</v>
      </c>
      <c r="AE124" s="29">
        <v>1</v>
      </c>
    </row>
    <row r="125" spans="2:31" x14ac:dyDescent="0.2">
      <c r="B125" s="27">
        <v>301</v>
      </c>
      <c r="C125" s="28" t="s">
        <v>553</v>
      </c>
      <c r="D125" s="28" t="s">
        <v>385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60.715299999999999</v>
      </c>
      <c r="N125" s="30">
        <v>0.24346987468671677</v>
      </c>
      <c r="O125" s="29">
        <v>1</v>
      </c>
      <c r="R125" s="27">
        <v>301</v>
      </c>
      <c r="S125" s="28" t="s">
        <v>553</v>
      </c>
      <c r="T125" s="28" t="s">
        <v>385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44.409100000000002</v>
      </c>
      <c r="AD125" s="30">
        <v>0.1780816040100251</v>
      </c>
      <c r="AE125" s="29">
        <v>1</v>
      </c>
    </row>
    <row r="126" spans="2:31" x14ac:dyDescent="0.2">
      <c r="B126" s="27">
        <v>302</v>
      </c>
      <c r="C126" s="28" t="s">
        <v>555</v>
      </c>
      <c r="D126" s="28" t="s">
        <v>383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-42.128599999999999</v>
      </c>
      <c r="N126" s="30">
        <v>0.16893674185463659</v>
      </c>
      <c r="O126" s="29">
        <v>1</v>
      </c>
      <c r="R126" s="27">
        <v>302</v>
      </c>
      <c r="S126" s="28" t="s">
        <v>555</v>
      </c>
      <c r="T126" s="28" t="s">
        <v>383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-42.189500000000002</v>
      </c>
      <c r="AD126" s="30">
        <v>0.16918095238095238</v>
      </c>
      <c r="AE126" s="29">
        <v>1</v>
      </c>
    </row>
    <row r="127" spans="2:31" x14ac:dyDescent="0.2">
      <c r="B127" s="27">
        <v>302</v>
      </c>
      <c r="C127" s="28" t="s">
        <v>556</v>
      </c>
      <c r="D127" s="28" t="s">
        <v>385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60.715299999999999</v>
      </c>
      <c r="N127" s="30">
        <v>0.24346987468671677</v>
      </c>
      <c r="O127" s="29">
        <v>1</v>
      </c>
      <c r="R127" s="27">
        <v>302</v>
      </c>
      <c r="S127" s="28" t="s">
        <v>556</v>
      </c>
      <c r="T127" s="28" t="s">
        <v>385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44.409100000000002</v>
      </c>
      <c r="AD127" s="30">
        <v>0.1780816040100251</v>
      </c>
      <c r="AE127" s="29">
        <v>1</v>
      </c>
    </row>
    <row r="128" spans="2:31" x14ac:dyDescent="0.2">
      <c r="B128" s="27">
        <v>303</v>
      </c>
      <c r="C128" s="28" t="s">
        <v>557</v>
      </c>
      <c r="D128" s="28" t="s">
        <v>383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-46.011800000000001</v>
      </c>
      <c r="N128" s="30">
        <v>0.18450847117794486</v>
      </c>
      <c r="O128" s="29">
        <v>1</v>
      </c>
      <c r="R128" s="27">
        <v>303</v>
      </c>
      <c r="S128" s="28" t="s">
        <v>557</v>
      </c>
      <c r="T128" s="28" t="s">
        <v>383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-46.070999999999998</v>
      </c>
      <c r="AD128" s="30">
        <v>0.18474586466165413</v>
      </c>
      <c r="AE128" s="29">
        <v>1</v>
      </c>
    </row>
    <row r="129" spans="2:31" x14ac:dyDescent="0.2">
      <c r="B129" s="27">
        <v>303</v>
      </c>
      <c r="C129" s="28" t="s">
        <v>558</v>
      </c>
      <c r="D129" s="28" t="s">
        <v>385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60.715299999999999</v>
      </c>
      <c r="N129" s="30">
        <v>0.24346987468671677</v>
      </c>
      <c r="O129" s="29">
        <v>1</v>
      </c>
      <c r="R129" s="27">
        <v>303</v>
      </c>
      <c r="S129" s="28" t="s">
        <v>558</v>
      </c>
      <c r="T129" s="28" t="s">
        <v>385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44.409100000000002</v>
      </c>
      <c r="AD129" s="30">
        <v>0.1780816040100251</v>
      </c>
      <c r="AE129" s="29">
        <v>1</v>
      </c>
    </row>
    <row r="130" spans="2:31" x14ac:dyDescent="0.2">
      <c r="B130" s="27">
        <v>304</v>
      </c>
      <c r="C130" s="28" t="s">
        <v>559</v>
      </c>
      <c r="D130" s="28" t="s">
        <v>383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-45.112000000000002</v>
      </c>
      <c r="N130" s="30">
        <v>0.18090025062656642</v>
      </c>
      <c r="O130" s="29">
        <v>1</v>
      </c>
      <c r="R130" s="27">
        <v>304</v>
      </c>
      <c r="S130" s="28" t="s">
        <v>559</v>
      </c>
      <c r="T130" s="28" t="s">
        <v>383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-45.174599999999998</v>
      </c>
      <c r="AD130" s="30">
        <v>0.18115127819548871</v>
      </c>
      <c r="AE130" s="29">
        <v>1</v>
      </c>
    </row>
    <row r="131" spans="2:31" x14ac:dyDescent="0.2">
      <c r="B131" s="27">
        <v>304</v>
      </c>
      <c r="C131" s="28" t="s">
        <v>560</v>
      </c>
      <c r="D131" s="28" t="s">
        <v>385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60.715299999999999</v>
      </c>
      <c r="N131" s="30">
        <v>0.24346987468671677</v>
      </c>
      <c r="O131" s="29">
        <v>1</v>
      </c>
      <c r="R131" s="27">
        <v>304</v>
      </c>
      <c r="S131" s="28" t="s">
        <v>560</v>
      </c>
      <c r="T131" s="28" t="s">
        <v>385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44.409100000000002</v>
      </c>
      <c r="AD131" s="30">
        <v>0.1780816040100251</v>
      </c>
      <c r="AE131" s="29">
        <v>1</v>
      </c>
    </row>
    <row r="132" spans="2:31" x14ac:dyDescent="0.2">
      <c r="B132" s="27">
        <v>305</v>
      </c>
      <c r="C132" s="28" t="s">
        <v>562</v>
      </c>
      <c r="D132" s="28" t="s">
        <v>383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-42.980200000000004</v>
      </c>
      <c r="N132" s="30">
        <v>0.17235167919799502</v>
      </c>
      <c r="O132" s="29">
        <v>1</v>
      </c>
      <c r="R132" s="27">
        <v>305</v>
      </c>
      <c r="S132" s="28" t="s">
        <v>562</v>
      </c>
      <c r="T132" s="28" t="s">
        <v>383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-43.043300000000002</v>
      </c>
      <c r="AD132" s="30">
        <v>0.17260471177944864</v>
      </c>
      <c r="AE132" s="29">
        <v>1</v>
      </c>
    </row>
    <row r="133" spans="2:31" x14ac:dyDescent="0.2">
      <c r="B133" s="27">
        <v>305</v>
      </c>
      <c r="C133" s="28" t="s">
        <v>563</v>
      </c>
      <c r="D133" s="28" t="s">
        <v>385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60.715299999999999</v>
      </c>
      <c r="N133" s="30">
        <v>0.24346987468671677</v>
      </c>
      <c r="O133" s="29">
        <v>1</v>
      </c>
      <c r="R133" s="27">
        <v>305</v>
      </c>
      <c r="S133" s="28" t="s">
        <v>563</v>
      </c>
      <c r="T133" s="28" t="s">
        <v>385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44.409100000000002</v>
      </c>
      <c r="AD133" s="30">
        <v>0.1780816040100251</v>
      </c>
      <c r="AE133" s="29">
        <v>1</v>
      </c>
    </row>
    <row r="134" spans="2:31" x14ac:dyDescent="0.2">
      <c r="B134" s="27">
        <v>275</v>
      </c>
      <c r="C134" s="28" t="s">
        <v>565</v>
      </c>
      <c r="D134" s="28" t="s">
        <v>383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-64.744200000000006</v>
      </c>
      <c r="N134" s="30">
        <v>0.25962586466165416</v>
      </c>
      <c r="O134" s="29">
        <v>1</v>
      </c>
      <c r="R134" s="27">
        <v>275</v>
      </c>
      <c r="S134" s="28" t="s">
        <v>565</v>
      </c>
      <c r="T134" s="28" t="s">
        <v>383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-64.758200000000002</v>
      </c>
      <c r="AD134" s="30">
        <v>0.25968200501253136</v>
      </c>
      <c r="AE134" s="29">
        <v>1</v>
      </c>
    </row>
    <row r="135" spans="2:31" x14ac:dyDescent="0.2">
      <c r="B135" s="27">
        <v>275</v>
      </c>
      <c r="C135" s="28" t="s">
        <v>566</v>
      </c>
      <c r="D135" s="28" t="s">
        <v>385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60.715299999999999</v>
      </c>
      <c r="N135" s="30">
        <v>0.24346987468671677</v>
      </c>
      <c r="O135" s="29">
        <v>1</v>
      </c>
      <c r="R135" s="27">
        <v>275</v>
      </c>
      <c r="S135" s="28" t="s">
        <v>566</v>
      </c>
      <c r="T135" s="28" t="s">
        <v>385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44.409100000000002</v>
      </c>
      <c r="AD135" s="30">
        <v>0.1780816040100251</v>
      </c>
      <c r="AE135" s="29">
        <v>1</v>
      </c>
    </row>
    <row r="136" spans="2:31" x14ac:dyDescent="0.2">
      <c r="B136" s="27">
        <v>278</v>
      </c>
      <c r="C136" s="28" t="s">
        <v>568</v>
      </c>
      <c r="D136" s="28" t="s">
        <v>383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-86.133600000000001</v>
      </c>
      <c r="N136" s="30">
        <v>0.34539789473684213</v>
      </c>
      <c r="O136" s="29">
        <v>1</v>
      </c>
      <c r="R136" s="27">
        <v>278</v>
      </c>
      <c r="S136" s="28" t="s">
        <v>568</v>
      </c>
      <c r="T136" s="28" t="s">
        <v>383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-86.132300000000001</v>
      </c>
      <c r="AD136" s="30">
        <v>0.34539268170426068</v>
      </c>
      <c r="AE136" s="29">
        <v>1</v>
      </c>
    </row>
    <row r="137" spans="2:31" x14ac:dyDescent="0.2">
      <c r="B137" s="27">
        <v>278</v>
      </c>
      <c r="C137" s="28" t="s">
        <v>569</v>
      </c>
      <c r="D137" s="28" t="s">
        <v>385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60.715299999999999</v>
      </c>
      <c r="N137" s="30">
        <v>0.24346987468671677</v>
      </c>
      <c r="O137" s="29">
        <v>1</v>
      </c>
      <c r="R137" s="27">
        <v>278</v>
      </c>
      <c r="S137" s="28" t="s">
        <v>569</v>
      </c>
      <c r="T137" s="28" t="s">
        <v>385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44.409100000000002</v>
      </c>
      <c r="AD137" s="30">
        <v>0.1780816040100251</v>
      </c>
      <c r="AE137" s="29">
        <v>1</v>
      </c>
    </row>
    <row r="138" spans="2:31" x14ac:dyDescent="0.2">
      <c r="B138" s="27">
        <v>281</v>
      </c>
      <c r="C138" s="28" t="s">
        <v>571</v>
      </c>
      <c r="D138" s="28" t="s">
        <v>383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-81.331000000000003</v>
      </c>
      <c r="N138" s="30">
        <v>0.32613934837092734</v>
      </c>
      <c r="O138" s="29">
        <v>1</v>
      </c>
      <c r="R138" s="27">
        <v>281</v>
      </c>
      <c r="S138" s="28" t="s">
        <v>571</v>
      </c>
      <c r="T138" s="28" t="s">
        <v>383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-81.318600000000004</v>
      </c>
      <c r="AD138" s="30">
        <v>0.32608962406015041</v>
      </c>
      <c r="AE138" s="29">
        <v>1</v>
      </c>
    </row>
    <row r="139" spans="2:31" x14ac:dyDescent="0.2">
      <c r="B139" s="27">
        <v>281</v>
      </c>
      <c r="C139" s="28" t="s">
        <v>572</v>
      </c>
      <c r="D139" s="28" t="s">
        <v>385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60.715299999999999</v>
      </c>
      <c r="N139" s="30">
        <v>0.24346987468671677</v>
      </c>
      <c r="O139" s="29">
        <v>1</v>
      </c>
      <c r="R139" s="27">
        <v>281</v>
      </c>
      <c r="S139" s="28" t="s">
        <v>572</v>
      </c>
      <c r="T139" s="28" t="s">
        <v>385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44.409100000000002</v>
      </c>
      <c r="AD139" s="30">
        <v>0.1780816040100251</v>
      </c>
      <c r="AE139" s="29">
        <v>1</v>
      </c>
    </row>
    <row r="140" spans="2:31" x14ac:dyDescent="0.2">
      <c r="B140" s="27">
        <v>284</v>
      </c>
      <c r="C140" s="28" t="s">
        <v>574</v>
      </c>
      <c r="D140" s="28" t="s">
        <v>383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-81.318200000000004</v>
      </c>
      <c r="N140" s="30">
        <v>0.32608802005012538</v>
      </c>
      <c r="O140" s="29">
        <v>1</v>
      </c>
      <c r="R140" s="27">
        <v>284</v>
      </c>
      <c r="S140" s="28" t="s">
        <v>574</v>
      </c>
      <c r="T140" s="28" t="s">
        <v>383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-81.296999999999997</v>
      </c>
      <c r="AD140" s="30">
        <v>0.32600300751879702</v>
      </c>
      <c r="AE140" s="29">
        <v>1</v>
      </c>
    </row>
    <row r="141" spans="2:31" x14ac:dyDescent="0.2">
      <c r="B141" s="27">
        <v>284</v>
      </c>
      <c r="C141" s="28" t="s">
        <v>575</v>
      </c>
      <c r="D141" s="28" t="s">
        <v>385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60.715299999999999</v>
      </c>
      <c r="N141" s="30">
        <v>0.24346987468671677</v>
      </c>
      <c r="O141" s="29">
        <v>1</v>
      </c>
      <c r="R141" s="27">
        <v>284</v>
      </c>
      <c r="S141" s="28" t="s">
        <v>575</v>
      </c>
      <c r="T141" s="28" t="s">
        <v>385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44.409100000000002</v>
      </c>
      <c r="AD141" s="30">
        <v>0.1780816040100251</v>
      </c>
      <c r="AE141" s="29">
        <v>1</v>
      </c>
    </row>
    <row r="142" spans="2:31" x14ac:dyDescent="0.2">
      <c r="B142" s="27">
        <v>287</v>
      </c>
      <c r="C142" s="28" t="s">
        <v>577</v>
      </c>
      <c r="D142" s="28" t="s">
        <v>383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-86.097999999999999</v>
      </c>
      <c r="N142" s="30">
        <v>0.34525513784461154</v>
      </c>
      <c r="O142" s="29">
        <v>1</v>
      </c>
      <c r="R142" s="27">
        <v>287</v>
      </c>
      <c r="S142" s="28" t="s">
        <v>577</v>
      </c>
      <c r="T142" s="28" t="s">
        <v>383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-86.065100000000001</v>
      </c>
      <c r="AD142" s="30">
        <v>0.34512320802005014</v>
      </c>
      <c r="AE142" s="29">
        <v>1</v>
      </c>
    </row>
    <row r="143" spans="2:31" x14ac:dyDescent="0.2">
      <c r="B143" s="27">
        <v>287</v>
      </c>
      <c r="C143" s="28" t="s">
        <v>578</v>
      </c>
      <c r="D143" s="28" t="s">
        <v>385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60.715299999999999</v>
      </c>
      <c r="N143" s="30">
        <v>0.24346987468671677</v>
      </c>
      <c r="O143" s="29">
        <v>1</v>
      </c>
      <c r="R143" s="27">
        <v>287</v>
      </c>
      <c r="S143" s="28" t="s">
        <v>578</v>
      </c>
      <c r="T143" s="28" t="s">
        <v>385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44.409100000000002</v>
      </c>
      <c r="AD143" s="30">
        <v>0.1780816040100251</v>
      </c>
      <c r="AE143" s="29">
        <v>1</v>
      </c>
    </row>
    <row r="144" spans="2:31" x14ac:dyDescent="0.2">
      <c r="B144" s="27">
        <v>290</v>
      </c>
      <c r="C144" s="28" t="s">
        <v>580</v>
      </c>
      <c r="D144" s="28" t="s">
        <v>383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-64.700800000000001</v>
      </c>
      <c r="N144" s="30">
        <v>0.25945182957393487</v>
      </c>
      <c r="O144" s="29">
        <v>1</v>
      </c>
      <c r="R144" s="27">
        <v>290</v>
      </c>
      <c r="S144" s="28" t="s">
        <v>580</v>
      </c>
      <c r="T144" s="28" t="s">
        <v>383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-64.661900000000003</v>
      </c>
      <c r="AD144" s="30">
        <v>0.25929583959899749</v>
      </c>
      <c r="AE144" s="29">
        <v>1</v>
      </c>
    </row>
    <row r="145" spans="2:31" x14ac:dyDescent="0.2">
      <c r="B145" s="27">
        <v>290</v>
      </c>
      <c r="C145" s="28" t="s">
        <v>581</v>
      </c>
      <c r="D145" s="28" t="s">
        <v>385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60.715299999999999</v>
      </c>
      <c r="N145" s="30">
        <v>0.24346987468671677</v>
      </c>
      <c r="O145" s="29">
        <v>1</v>
      </c>
      <c r="R145" s="27">
        <v>290</v>
      </c>
      <c r="S145" s="28" t="s">
        <v>581</v>
      </c>
      <c r="T145" s="28" t="s">
        <v>385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44.409100000000002</v>
      </c>
      <c r="AD145" s="30">
        <v>0.1780816040100251</v>
      </c>
      <c r="AE145" s="29">
        <v>1</v>
      </c>
    </row>
    <row r="146" spans="2:31" x14ac:dyDescent="0.2">
      <c r="B146" s="27">
        <v>306</v>
      </c>
      <c r="C146" s="28" t="s">
        <v>583</v>
      </c>
      <c r="D146" s="28" t="s">
        <v>383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-34.57</v>
      </c>
      <c r="N146" s="30">
        <v>0.1386265664160401</v>
      </c>
      <c r="O146" s="29">
        <v>1</v>
      </c>
      <c r="R146" s="27">
        <v>306</v>
      </c>
      <c r="S146" s="28" t="s">
        <v>583</v>
      </c>
      <c r="T146" s="28" t="s">
        <v>383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-34.627600000000001</v>
      </c>
      <c r="AD146" s="30">
        <v>0.13885754385964913</v>
      </c>
      <c r="AE146" s="29">
        <v>1</v>
      </c>
    </row>
    <row r="147" spans="2:31" x14ac:dyDescent="0.2">
      <c r="B147" s="27">
        <v>306</v>
      </c>
      <c r="C147" s="28" t="s">
        <v>584</v>
      </c>
      <c r="D147" s="28" t="s">
        <v>385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60.715299999999999</v>
      </c>
      <c r="N147" s="30">
        <v>0.24346987468671677</v>
      </c>
      <c r="O147" s="29">
        <v>1</v>
      </c>
      <c r="R147" s="27">
        <v>306</v>
      </c>
      <c r="S147" s="28" t="s">
        <v>584</v>
      </c>
      <c r="T147" s="28" t="s">
        <v>385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44.409100000000002</v>
      </c>
      <c r="AD147" s="30">
        <v>0.1780816040100251</v>
      </c>
      <c r="AE147" s="29">
        <v>1</v>
      </c>
    </row>
    <row r="148" spans="2:31" x14ac:dyDescent="0.2">
      <c r="B148" s="27">
        <v>307</v>
      </c>
      <c r="C148" s="28" t="s">
        <v>586</v>
      </c>
      <c r="D148" s="28" t="s">
        <v>383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-37.262900000000002</v>
      </c>
      <c r="N148" s="30">
        <v>0.14942516290726818</v>
      </c>
      <c r="O148" s="29">
        <v>1</v>
      </c>
      <c r="R148" s="27">
        <v>307</v>
      </c>
      <c r="S148" s="28" t="s">
        <v>586</v>
      </c>
      <c r="T148" s="28" t="s">
        <v>383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-37.3294</v>
      </c>
      <c r="AD148" s="30">
        <v>0.14969182957393484</v>
      </c>
      <c r="AE148" s="29">
        <v>1</v>
      </c>
    </row>
    <row r="149" spans="2:31" x14ac:dyDescent="0.2">
      <c r="B149" s="27">
        <v>307</v>
      </c>
      <c r="C149" s="28" t="s">
        <v>587</v>
      </c>
      <c r="D149" s="28" t="s">
        <v>385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60.715299999999999</v>
      </c>
      <c r="N149" s="30">
        <v>0.24346987468671677</v>
      </c>
      <c r="O149" s="29">
        <v>1</v>
      </c>
      <c r="R149" s="27">
        <v>307</v>
      </c>
      <c r="S149" s="28" t="s">
        <v>587</v>
      </c>
      <c r="T149" s="28" t="s">
        <v>385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44.409100000000002</v>
      </c>
      <c r="AD149" s="30">
        <v>0.1780816040100251</v>
      </c>
      <c r="AE149" s="29">
        <v>1</v>
      </c>
    </row>
    <row r="150" spans="2:31" x14ac:dyDescent="0.2">
      <c r="B150" s="27">
        <v>308</v>
      </c>
      <c r="C150" s="28" t="s">
        <v>588</v>
      </c>
      <c r="D150" s="28" t="s">
        <v>383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-34.528399999999998</v>
      </c>
      <c r="N150" s="30">
        <v>0.13845974937343355</v>
      </c>
      <c r="O150" s="29">
        <v>1</v>
      </c>
      <c r="R150" s="27">
        <v>308</v>
      </c>
      <c r="S150" s="28" t="s">
        <v>588</v>
      </c>
      <c r="T150" s="28" t="s">
        <v>383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-34.597099999999998</v>
      </c>
      <c r="AD150" s="30">
        <v>0.13873523809523808</v>
      </c>
      <c r="AE150" s="29">
        <v>1</v>
      </c>
    </row>
    <row r="151" spans="2:31" x14ac:dyDescent="0.2">
      <c r="B151" s="27">
        <v>308</v>
      </c>
      <c r="C151" s="28" t="s">
        <v>589</v>
      </c>
      <c r="D151" s="28" t="s">
        <v>385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60.715299999999999</v>
      </c>
      <c r="N151" s="30">
        <v>0.24346987468671677</v>
      </c>
      <c r="O151" s="29">
        <v>1</v>
      </c>
      <c r="R151" s="27">
        <v>308</v>
      </c>
      <c r="S151" s="28" t="s">
        <v>589</v>
      </c>
      <c r="T151" s="28" t="s">
        <v>385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44.409100000000002</v>
      </c>
      <c r="AD151" s="30">
        <v>0.1780816040100251</v>
      </c>
      <c r="AE151" s="29">
        <v>1</v>
      </c>
    </row>
    <row r="152" spans="2:31" x14ac:dyDescent="0.2">
      <c r="B152" s="27">
        <v>309</v>
      </c>
      <c r="C152" s="28" t="s">
        <v>590</v>
      </c>
      <c r="D152" s="28" t="s">
        <v>383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-34.298099999999998</v>
      </c>
      <c r="N152" s="30">
        <v>0.13753624060150374</v>
      </c>
      <c r="O152" s="29">
        <v>1</v>
      </c>
      <c r="R152" s="27">
        <v>309</v>
      </c>
      <c r="S152" s="28" t="s">
        <v>590</v>
      </c>
      <c r="T152" s="28" t="s">
        <v>383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-34.365299999999998</v>
      </c>
      <c r="AD152" s="30">
        <v>0.13780571428571428</v>
      </c>
      <c r="AE152" s="29">
        <v>1</v>
      </c>
    </row>
    <row r="153" spans="2:31" x14ac:dyDescent="0.2">
      <c r="B153" s="27">
        <v>309</v>
      </c>
      <c r="C153" s="28" t="s">
        <v>591</v>
      </c>
      <c r="D153" s="28" t="s">
        <v>385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60.715299999999999</v>
      </c>
      <c r="N153" s="30">
        <v>0.24346987468671677</v>
      </c>
      <c r="O153" s="29">
        <v>1</v>
      </c>
      <c r="R153" s="27">
        <v>309</v>
      </c>
      <c r="S153" s="28" t="s">
        <v>591</v>
      </c>
      <c r="T153" s="28" t="s">
        <v>385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44.409100000000002</v>
      </c>
      <c r="AD153" s="30">
        <v>0.1780816040100251</v>
      </c>
      <c r="AE153" s="29">
        <v>1</v>
      </c>
    </row>
    <row r="154" spans="2:31" x14ac:dyDescent="0.2">
      <c r="B154" s="27">
        <v>310</v>
      </c>
      <c r="C154" s="28" t="s">
        <v>593</v>
      </c>
      <c r="D154" s="28" t="s">
        <v>383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-37.784700000000001</v>
      </c>
      <c r="N154" s="30">
        <v>0.15151759398496242</v>
      </c>
      <c r="O154" s="29">
        <v>1</v>
      </c>
      <c r="R154" s="27">
        <v>310</v>
      </c>
      <c r="S154" s="28" t="s">
        <v>593</v>
      </c>
      <c r="T154" s="28" t="s">
        <v>383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-37.844499999999996</v>
      </c>
      <c r="AD154" s="30">
        <v>0.15175739348370929</v>
      </c>
      <c r="AE154" s="29">
        <v>1</v>
      </c>
    </row>
    <row r="155" spans="2:31" x14ac:dyDescent="0.2">
      <c r="B155" s="27">
        <v>310</v>
      </c>
      <c r="C155" s="28" t="s">
        <v>594</v>
      </c>
      <c r="D155" s="28" t="s">
        <v>385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60.715299999999999</v>
      </c>
      <c r="N155" s="30">
        <v>0.24346987468671677</v>
      </c>
      <c r="O155" s="29">
        <v>1</v>
      </c>
      <c r="R155" s="27">
        <v>310</v>
      </c>
      <c r="S155" s="28" t="s">
        <v>594</v>
      </c>
      <c r="T155" s="28" t="s">
        <v>385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44.409100000000002</v>
      </c>
      <c r="AD155" s="30">
        <v>0.1780816040100251</v>
      </c>
      <c r="AE155" s="29">
        <v>1</v>
      </c>
    </row>
    <row r="156" spans="2:31" x14ac:dyDescent="0.2">
      <c r="B156" s="27">
        <v>105</v>
      </c>
      <c r="C156" s="28" t="s">
        <v>596</v>
      </c>
      <c r="D156" s="28" t="s">
        <v>383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-35.740600000000001</v>
      </c>
      <c r="N156" s="30">
        <v>0.14332070175438597</v>
      </c>
      <c r="O156" s="29">
        <v>1</v>
      </c>
      <c r="R156" s="27">
        <v>105</v>
      </c>
      <c r="S156" s="28" t="s">
        <v>596</v>
      </c>
      <c r="T156" s="28" t="s">
        <v>383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-35.774000000000001</v>
      </c>
      <c r="AD156" s="30">
        <v>0.1434546365914787</v>
      </c>
      <c r="AE156" s="29">
        <v>1</v>
      </c>
    </row>
    <row r="157" spans="2:31" x14ac:dyDescent="0.2">
      <c r="B157" s="27">
        <v>105</v>
      </c>
      <c r="C157" s="28" t="s">
        <v>597</v>
      </c>
      <c r="D157" s="28" t="s">
        <v>385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60.715299999999999</v>
      </c>
      <c r="N157" s="30">
        <v>0.24346987468671677</v>
      </c>
      <c r="O157" s="29">
        <v>1</v>
      </c>
      <c r="R157" s="27">
        <v>105</v>
      </c>
      <c r="S157" s="28" t="s">
        <v>597</v>
      </c>
      <c r="T157" s="28" t="s">
        <v>385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44.409100000000002</v>
      </c>
      <c r="AD157" s="30">
        <v>0.1780816040100251</v>
      </c>
      <c r="AE157" s="29">
        <v>1</v>
      </c>
    </row>
    <row r="158" spans="2:31" x14ac:dyDescent="0.2">
      <c r="B158" s="27">
        <v>106</v>
      </c>
      <c r="C158" s="28" t="s">
        <v>599</v>
      </c>
      <c r="D158" s="28" t="s">
        <v>383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-39.0443</v>
      </c>
      <c r="N158" s="30">
        <v>0.15656862155388473</v>
      </c>
      <c r="O158" s="29">
        <v>1</v>
      </c>
      <c r="R158" s="27">
        <v>106</v>
      </c>
      <c r="S158" s="28" t="s">
        <v>599</v>
      </c>
      <c r="T158" s="28" t="s">
        <v>383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-39.082599999999999</v>
      </c>
      <c r="AD158" s="30">
        <v>0.15672220551378446</v>
      </c>
      <c r="AE158" s="29">
        <v>1</v>
      </c>
    </row>
    <row r="159" spans="2:31" x14ac:dyDescent="0.2">
      <c r="B159" s="27">
        <v>106</v>
      </c>
      <c r="C159" s="28" t="s">
        <v>600</v>
      </c>
      <c r="D159" s="28" t="s">
        <v>385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60.715299999999999</v>
      </c>
      <c r="N159" s="30">
        <v>0.24346987468671677</v>
      </c>
      <c r="O159" s="29">
        <v>1</v>
      </c>
      <c r="R159" s="27">
        <v>106</v>
      </c>
      <c r="S159" s="28" t="s">
        <v>600</v>
      </c>
      <c r="T159" s="28" t="s">
        <v>385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44.409100000000002</v>
      </c>
      <c r="AD159" s="30">
        <v>0.1780816040100251</v>
      </c>
      <c r="AE159" s="29">
        <v>1</v>
      </c>
    </row>
    <row r="160" spans="2:31" x14ac:dyDescent="0.2">
      <c r="B160" s="27">
        <v>107</v>
      </c>
      <c r="C160" s="28" t="s">
        <v>601</v>
      </c>
      <c r="D160" s="28" t="s">
        <v>383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-36.197800000000001</v>
      </c>
      <c r="N160" s="30">
        <v>0.14515408521303258</v>
      </c>
      <c r="O160" s="29">
        <v>1</v>
      </c>
      <c r="R160" s="27">
        <v>107</v>
      </c>
      <c r="S160" s="28" t="s">
        <v>601</v>
      </c>
      <c r="T160" s="28" t="s">
        <v>383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-36.234999999999999</v>
      </c>
      <c r="AD160" s="30">
        <v>0.14530325814536341</v>
      </c>
      <c r="AE160" s="29">
        <v>1</v>
      </c>
    </row>
    <row r="161" spans="2:31" x14ac:dyDescent="0.2">
      <c r="B161" s="27">
        <v>107</v>
      </c>
      <c r="C161" s="28" t="s">
        <v>602</v>
      </c>
      <c r="D161" s="28" t="s">
        <v>385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60.715299999999999</v>
      </c>
      <c r="N161" s="30">
        <v>0.24346987468671677</v>
      </c>
      <c r="O161" s="29">
        <v>1</v>
      </c>
      <c r="R161" s="27">
        <v>107</v>
      </c>
      <c r="S161" s="28" t="s">
        <v>602</v>
      </c>
      <c r="T161" s="28" t="s">
        <v>385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44.409100000000002</v>
      </c>
      <c r="AD161" s="30">
        <v>0.1780816040100251</v>
      </c>
      <c r="AE161" s="29">
        <v>1</v>
      </c>
    </row>
    <row r="162" spans="2:31" x14ac:dyDescent="0.2">
      <c r="B162" s="27">
        <v>108</v>
      </c>
      <c r="C162" s="28" t="s">
        <v>603</v>
      </c>
      <c r="D162" s="28" t="s">
        <v>383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-35.878399999999999</v>
      </c>
      <c r="N162" s="30">
        <v>0.14387328320802006</v>
      </c>
      <c r="O162" s="29">
        <v>1</v>
      </c>
      <c r="R162" s="27">
        <v>108</v>
      </c>
      <c r="S162" s="28" t="s">
        <v>603</v>
      </c>
      <c r="T162" s="28" t="s">
        <v>383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-35.914299999999997</v>
      </c>
      <c r="AD162" s="30">
        <v>0.14401724310776939</v>
      </c>
      <c r="AE162" s="29">
        <v>1</v>
      </c>
    </row>
    <row r="163" spans="2:31" x14ac:dyDescent="0.2">
      <c r="B163" s="27">
        <v>108</v>
      </c>
      <c r="C163" s="28" t="s">
        <v>604</v>
      </c>
      <c r="D163" s="28" t="s">
        <v>385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60.715299999999999</v>
      </c>
      <c r="N163" s="30">
        <v>0.24346987468671677</v>
      </c>
      <c r="O163" s="29">
        <v>1</v>
      </c>
      <c r="R163" s="27">
        <v>108</v>
      </c>
      <c r="S163" s="28" t="s">
        <v>604</v>
      </c>
      <c r="T163" s="28" t="s">
        <v>385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44.409100000000002</v>
      </c>
      <c r="AD163" s="30">
        <v>0.1780816040100251</v>
      </c>
      <c r="AE163" s="29">
        <v>1</v>
      </c>
    </row>
    <row r="164" spans="2:31" x14ac:dyDescent="0.2">
      <c r="B164" s="27">
        <v>109</v>
      </c>
      <c r="C164" s="28" t="s">
        <v>606</v>
      </c>
      <c r="D164" s="28" t="s">
        <v>383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-39.881900000000002</v>
      </c>
      <c r="N164" s="30">
        <v>0.15992741854636591</v>
      </c>
      <c r="O164" s="29">
        <v>1</v>
      </c>
      <c r="R164" s="27">
        <v>109</v>
      </c>
      <c r="S164" s="28" t="s">
        <v>606</v>
      </c>
      <c r="T164" s="28" t="s">
        <v>383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-39.912300000000002</v>
      </c>
      <c r="AD164" s="30">
        <v>0.16004932330827068</v>
      </c>
      <c r="AE164" s="29">
        <v>1</v>
      </c>
    </row>
    <row r="165" spans="2:31" x14ac:dyDescent="0.2">
      <c r="B165" s="27">
        <v>109</v>
      </c>
      <c r="C165" s="28" t="s">
        <v>607</v>
      </c>
      <c r="D165" s="28" t="s">
        <v>385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60.715299999999999</v>
      </c>
      <c r="N165" s="30">
        <v>0.24346987468671677</v>
      </c>
      <c r="O165" s="29">
        <v>1</v>
      </c>
      <c r="R165" s="27">
        <v>109</v>
      </c>
      <c r="S165" s="28" t="s">
        <v>607</v>
      </c>
      <c r="T165" s="28" t="s">
        <v>385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44.409100000000002</v>
      </c>
      <c r="AD165" s="30">
        <v>0.1780816040100251</v>
      </c>
      <c r="AE165" s="29">
        <v>1</v>
      </c>
    </row>
    <row r="166" spans="2:31" x14ac:dyDescent="0.2">
      <c r="B166" s="27">
        <v>87</v>
      </c>
      <c r="C166" s="28" t="s">
        <v>609</v>
      </c>
      <c r="D166" s="28" t="s">
        <v>383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-66.400700000000001</v>
      </c>
      <c r="N166" s="30">
        <v>0.26626847117794483</v>
      </c>
      <c r="O166" s="29">
        <v>1</v>
      </c>
      <c r="R166" s="27">
        <v>87</v>
      </c>
      <c r="S166" s="28" t="s">
        <v>609</v>
      </c>
      <c r="T166" s="28" t="s">
        <v>383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-66.417599999999993</v>
      </c>
      <c r="AD166" s="30">
        <v>0.26633624060150374</v>
      </c>
      <c r="AE166" s="29">
        <v>1</v>
      </c>
    </row>
    <row r="167" spans="2:31" x14ac:dyDescent="0.2">
      <c r="B167" s="27">
        <v>87</v>
      </c>
      <c r="C167" s="28" t="s">
        <v>610</v>
      </c>
      <c r="D167" s="28" t="s">
        <v>385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60.715299999999999</v>
      </c>
      <c r="N167" s="30">
        <v>0.24346987468671677</v>
      </c>
      <c r="O167" s="29">
        <v>1</v>
      </c>
      <c r="R167" s="27">
        <v>87</v>
      </c>
      <c r="S167" s="28" t="s">
        <v>610</v>
      </c>
      <c r="T167" s="28" t="s">
        <v>385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44.409100000000002</v>
      </c>
      <c r="AD167" s="30">
        <v>0.1780816040100251</v>
      </c>
      <c r="AE167" s="29">
        <v>1</v>
      </c>
    </row>
    <row r="168" spans="2:31" x14ac:dyDescent="0.2">
      <c r="B168" s="27">
        <v>90</v>
      </c>
      <c r="C168" s="28" t="s">
        <v>612</v>
      </c>
      <c r="D168" s="28" t="s">
        <v>383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-85.693299999999994</v>
      </c>
      <c r="N168" s="30">
        <v>0.34363228070175433</v>
      </c>
      <c r="O168" s="29">
        <v>1</v>
      </c>
      <c r="R168" s="27">
        <v>90</v>
      </c>
      <c r="S168" s="28" t="s">
        <v>612</v>
      </c>
      <c r="T168" s="28" t="s">
        <v>383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-85.702299999999994</v>
      </c>
      <c r="AD168" s="30">
        <v>0.34366837092731822</v>
      </c>
      <c r="AE168" s="29">
        <v>1</v>
      </c>
    </row>
    <row r="169" spans="2:31" x14ac:dyDescent="0.2">
      <c r="B169" s="27">
        <v>90</v>
      </c>
      <c r="C169" s="28" t="s">
        <v>613</v>
      </c>
      <c r="D169" s="28" t="s">
        <v>385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60.715299999999999</v>
      </c>
      <c r="N169" s="30">
        <v>0.24346987468671677</v>
      </c>
      <c r="O169" s="29">
        <v>1</v>
      </c>
      <c r="R169" s="27">
        <v>90</v>
      </c>
      <c r="S169" s="28" t="s">
        <v>613</v>
      </c>
      <c r="T169" s="28" t="s">
        <v>385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44.409100000000002</v>
      </c>
      <c r="AD169" s="30">
        <v>0.1780816040100251</v>
      </c>
      <c r="AE169" s="29">
        <v>1</v>
      </c>
    </row>
    <row r="170" spans="2:31" x14ac:dyDescent="0.2">
      <c r="B170" s="27">
        <v>93</v>
      </c>
      <c r="C170" s="28" t="s">
        <v>615</v>
      </c>
      <c r="D170" s="28" t="s">
        <v>383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-85.462800000000001</v>
      </c>
      <c r="N170" s="30">
        <v>0.34270796992481206</v>
      </c>
      <c r="O170" s="29">
        <v>1</v>
      </c>
      <c r="R170" s="27">
        <v>93</v>
      </c>
      <c r="S170" s="28" t="s">
        <v>615</v>
      </c>
      <c r="T170" s="28" t="s">
        <v>383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-85.457899999999995</v>
      </c>
      <c r="AD170" s="30">
        <v>0.34268832080200501</v>
      </c>
      <c r="AE170" s="29">
        <v>1</v>
      </c>
    </row>
    <row r="171" spans="2:31" x14ac:dyDescent="0.2">
      <c r="B171" s="27">
        <v>93</v>
      </c>
      <c r="C171" s="28" t="s">
        <v>616</v>
      </c>
      <c r="D171" s="28" t="s">
        <v>385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60.715299999999999</v>
      </c>
      <c r="N171" s="30">
        <v>0.24346987468671677</v>
      </c>
      <c r="O171" s="29">
        <v>1</v>
      </c>
      <c r="R171" s="27">
        <v>93</v>
      </c>
      <c r="S171" s="28" t="s">
        <v>616</v>
      </c>
      <c r="T171" s="28" t="s">
        <v>385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44.409100000000002</v>
      </c>
      <c r="AD171" s="30">
        <v>0.1780816040100251</v>
      </c>
      <c r="AE171" s="29">
        <v>1</v>
      </c>
    </row>
    <row r="172" spans="2:31" x14ac:dyDescent="0.2">
      <c r="B172" s="27">
        <v>96</v>
      </c>
      <c r="C172" s="28" t="s">
        <v>618</v>
      </c>
      <c r="D172" s="28" t="s">
        <v>383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-85.453100000000006</v>
      </c>
      <c r="N172" s="30">
        <v>0.34266907268170427</v>
      </c>
      <c r="O172" s="29">
        <v>1</v>
      </c>
      <c r="R172" s="27">
        <v>96</v>
      </c>
      <c r="S172" s="28" t="s">
        <v>618</v>
      </c>
      <c r="T172" s="28" t="s">
        <v>383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-85.434399999999997</v>
      </c>
      <c r="AD172" s="30">
        <v>0.34259408521303258</v>
      </c>
      <c r="AE172" s="29">
        <v>1</v>
      </c>
    </row>
    <row r="173" spans="2:31" x14ac:dyDescent="0.2">
      <c r="B173" s="27">
        <v>96</v>
      </c>
      <c r="C173" s="28" t="s">
        <v>619</v>
      </c>
      <c r="D173" s="28" t="s">
        <v>385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60.715299999999999</v>
      </c>
      <c r="N173" s="30">
        <v>0.24346987468671677</v>
      </c>
      <c r="O173" s="29">
        <v>1</v>
      </c>
      <c r="R173" s="27">
        <v>96</v>
      </c>
      <c r="S173" s="28" t="s">
        <v>619</v>
      </c>
      <c r="T173" s="28" t="s">
        <v>385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44.409100000000002</v>
      </c>
      <c r="AD173" s="30">
        <v>0.1780816040100251</v>
      </c>
      <c r="AE173" s="29">
        <v>1</v>
      </c>
    </row>
    <row r="174" spans="2:31" x14ac:dyDescent="0.2">
      <c r="B174" s="27">
        <v>99</v>
      </c>
      <c r="C174" s="28" t="s">
        <v>621</v>
      </c>
      <c r="D174" s="28" t="s">
        <v>383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-85.652799999999999</v>
      </c>
      <c r="N174" s="30">
        <v>0.3434698746867168</v>
      </c>
      <c r="O174" s="29">
        <v>1</v>
      </c>
      <c r="R174" s="27">
        <v>99</v>
      </c>
      <c r="S174" s="28" t="s">
        <v>621</v>
      </c>
      <c r="T174" s="28" t="s">
        <v>383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-85.620099999999994</v>
      </c>
      <c r="AD174" s="30">
        <v>0.34333874686716787</v>
      </c>
      <c r="AE174" s="29">
        <v>1</v>
      </c>
    </row>
    <row r="175" spans="2:31" x14ac:dyDescent="0.2">
      <c r="B175" s="27">
        <v>99</v>
      </c>
      <c r="C175" s="28" t="s">
        <v>622</v>
      </c>
      <c r="D175" s="28" t="s">
        <v>385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60.715299999999999</v>
      </c>
      <c r="N175" s="30">
        <v>0.24346987468671677</v>
      </c>
      <c r="O175" s="29">
        <v>1</v>
      </c>
      <c r="R175" s="27">
        <v>99</v>
      </c>
      <c r="S175" s="28" t="s">
        <v>622</v>
      </c>
      <c r="T175" s="28" t="s">
        <v>385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44.409100000000002</v>
      </c>
      <c r="AD175" s="30">
        <v>0.1780816040100251</v>
      </c>
      <c r="AE175" s="29">
        <v>1</v>
      </c>
    </row>
    <row r="176" spans="2:31" x14ac:dyDescent="0.2">
      <c r="B176" s="27">
        <v>102</v>
      </c>
      <c r="C176" s="28" t="s">
        <v>624</v>
      </c>
      <c r="D176" s="28" t="s">
        <v>383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-66.389300000000006</v>
      </c>
      <c r="N176" s="30">
        <v>0.26622275689223057</v>
      </c>
      <c r="O176" s="29">
        <v>1</v>
      </c>
      <c r="R176" s="27">
        <v>102</v>
      </c>
      <c r="S176" s="28" t="s">
        <v>624</v>
      </c>
      <c r="T176" s="28" t="s">
        <v>383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-66.356700000000004</v>
      </c>
      <c r="AD176" s="30">
        <v>0.26609203007518795</v>
      </c>
      <c r="AE176" s="29">
        <v>1</v>
      </c>
    </row>
    <row r="177" spans="2:31" x14ac:dyDescent="0.2">
      <c r="B177" s="27">
        <v>102</v>
      </c>
      <c r="C177" s="28" t="s">
        <v>625</v>
      </c>
      <c r="D177" s="28" t="s">
        <v>385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60.715299999999999</v>
      </c>
      <c r="N177" s="30">
        <v>0.24346987468671677</v>
      </c>
      <c r="O177" s="29">
        <v>1</v>
      </c>
      <c r="R177" s="27">
        <v>102</v>
      </c>
      <c r="S177" s="28" t="s">
        <v>625</v>
      </c>
      <c r="T177" s="28" t="s">
        <v>385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44.409100000000002</v>
      </c>
      <c r="AD177" s="30">
        <v>0.1780816040100251</v>
      </c>
      <c r="AE177" s="29">
        <v>1</v>
      </c>
    </row>
    <row r="178" spans="2:31" x14ac:dyDescent="0.2">
      <c r="B178" s="27">
        <v>110</v>
      </c>
      <c r="C178" s="28" t="s">
        <v>627</v>
      </c>
      <c r="D178" s="28" t="s">
        <v>383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-44.734299999999998</v>
      </c>
      <c r="N178" s="30">
        <v>0.179385664160401</v>
      </c>
      <c r="O178" s="29">
        <v>1</v>
      </c>
      <c r="R178" s="27">
        <v>110</v>
      </c>
      <c r="S178" s="28" t="s">
        <v>627</v>
      </c>
      <c r="T178" s="28" t="s">
        <v>383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-44.795699999999997</v>
      </c>
      <c r="AD178" s="30">
        <v>0.1796318796992481</v>
      </c>
      <c r="AE178" s="29">
        <v>1</v>
      </c>
    </row>
    <row r="179" spans="2:31" x14ac:dyDescent="0.2">
      <c r="B179" s="27">
        <v>110</v>
      </c>
      <c r="C179" s="28" t="s">
        <v>628</v>
      </c>
      <c r="D179" s="28" t="s">
        <v>385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60.715299999999999</v>
      </c>
      <c r="N179" s="30">
        <v>0.24346987468671677</v>
      </c>
      <c r="O179" s="29">
        <v>1</v>
      </c>
      <c r="R179" s="27">
        <v>110</v>
      </c>
      <c r="S179" s="28" t="s">
        <v>628</v>
      </c>
      <c r="T179" s="28" t="s">
        <v>385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44.409100000000002</v>
      </c>
      <c r="AD179" s="30">
        <v>0.1780816040100251</v>
      </c>
      <c r="AE179" s="29">
        <v>1</v>
      </c>
    </row>
    <row r="180" spans="2:31" x14ac:dyDescent="0.2">
      <c r="B180" s="27">
        <v>111</v>
      </c>
      <c r="C180" s="28" t="s">
        <v>630</v>
      </c>
      <c r="D180" s="28" t="s">
        <v>383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-42.133099999999999</v>
      </c>
      <c r="N180" s="30">
        <v>0.16895478696741853</v>
      </c>
      <c r="O180" s="29">
        <v>1</v>
      </c>
      <c r="R180" s="27">
        <v>111</v>
      </c>
      <c r="S180" s="28" t="s">
        <v>630</v>
      </c>
      <c r="T180" s="28" t="s">
        <v>383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-42.190800000000003</v>
      </c>
      <c r="AD180" s="30">
        <v>0.16918616541353385</v>
      </c>
      <c r="AE180" s="29">
        <v>1</v>
      </c>
    </row>
    <row r="181" spans="2:31" x14ac:dyDescent="0.2">
      <c r="B181" s="27">
        <v>111</v>
      </c>
      <c r="C181" s="28" t="s">
        <v>631</v>
      </c>
      <c r="D181" s="28" t="s">
        <v>385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60.715299999999999</v>
      </c>
      <c r="N181" s="30">
        <v>0.24346987468671677</v>
      </c>
      <c r="O181" s="29">
        <v>1</v>
      </c>
      <c r="R181" s="27">
        <v>111</v>
      </c>
      <c r="S181" s="28" t="s">
        <v>631</v>
      </c>
      <c r="T181" s="28" t="s">
        <v>385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44.409100000000002</v>
      </c>
      <c r="AD181" s="30">
        <v>0.1780816040100251</v>
      </c>
      <c r="AE181" s="29">
        <v>1</v>
      </c>
    </row>
    <row r="182" spans="2:31" x14ac:dyDescent="0.2">
      <c r="B182" s="27">
        <v>112</v>
      </c>
      <c r="C182" s="28" t="s">
        <v>632</v>
      </c>
      <c r="D182" s="28" t="s">
        <v>383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-46.177999999999997</v>
      </c>
      <c r="N182" s="30">
        <v>0.18517493734335841</v>
      </c>
      <c r="O182" s="29">
        <v>1</v>
      </c>
      <c r="R182" s="27">
        <v>112</v>
      </c>
      <c r="S182" s="28" t="s">
        <v>632</v>
      </c>
      <c r="T182" s="28" t="s">
        <v>383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-46.232500000000002</v>
      </c>
      <c r="AD182" s="30">
        <v>0.18539348370927319</v>
      </c>
      <c r="AE182" s="29">
        <v>1</v>
      </c>
    </row>
    <row r="183" spans="2:31" x14ac:dyDescent="0.2">
      <c r="B183" s="27">
        <v>112</v>
      </c>
      <c r="C183" s="28" t="s">
        <v>633</v>
      </c>
      <c r="D183" s="28" t="s">
        <v>385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60.715299999999999</v>
      </c>
      <c r="N183" s="30">
        <v>0.24346987468671677</v>
      </c>
      <c r="O183" s="29">
        <v>1</v>
      </c>
      <c r="R183" s="27">
        <v>112</v>
      </c>
      <c r="S183" s="28" t="s">
        <v>633</v>
      </c>
      <c r="T183" s="28" t="s">
        <v>385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44.409100000000002</v>
      </c>
      <c r="AD183" s="30">
        <v>0.1780816040100251</v>
      </c>
      <c r="AE183" s="29">
        <v>1</v>
      </c>
    </row>
    <row r="184" spans="2:31" x14ac:dyDescent="0.2">
      <c r="B184" s="27">
        <v>113</v>
      </c>
      <c r="C184" s="28" t="s">
        <v>634</v>
      </c>
      <c r="D184" s="28" t="s">
        <v>383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-45.347499999999997</v>
      </c>
      <c r="N184" s="30">
        <v>0.18184461152882206</v>
      </c>
      <c r="O184" s="29">
        <v>1</v>
      </c>
      <c r="R184" s="27">
        <v>113</v>
      </c>
      <c r="S184" s="28" t="s">
        <v>634</v>
      </c>
      <c r="T184" s="28" t="s">
        <v>383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-45.406500000000001</v>
      </c>
      <c r="AD184" s="30">
        <v>0.18208120300751879</v>
      </c>
      <c r="AE184" s="29">
        <v>1</v>
      </c>
    </row>
    <row r="185" spans="2:31" x14ac:dyDescent="0.2">
      <c r="B185" s="27">
        <v>113</v>
      </c>
      <c r="C185" s="28" t="s">
        <v>635</v>
      </c>
      <c r="D185" s="28" t="s">
        <v>385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60.715299999999999</v>
      </c>
      <c r="N185" s="30">
        <v>0.24346987468671677</v>
      </c>
      <c r="O185" s="29">
        <v>1</v>
      </c>
      <c r="R185" s="27">
        <v>113</v>
      </c>
      <c r="S185" s="28" t="s">
        <v>635</v>
      </c>
      <c r="T185" s="28" t="s">
        <v>385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44.409100000000002</v>
      </c>
      <c r="AD185" s="30">
        <v>0.1780816040100251</v>
      </c>
      <c r="AE185" s="29">
        <v>1</v>
      </c>
    </row>
    <row r="186" spans="2:31" x14ac:dyDescent="0.2">
      <c r="B186" s="27">
        <v>114</v>
      </c>
      <c r="C186" s="28" t="s">
        <v>637</v>
      </c>
      <c r="D186" s="28" t="s">
        <v>383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-43.252699999999997</v>
      </c>
      <c r="N186" s="30">
        <v>0.17344441102756891</v>
      </c>
      <c r="O186" s="29">
        <v>1</v>
      </c>
      <c r="R186" s="27">
        <v>114</v>
      </c>
      <c r="S186" s="28" t="s">
        <v>637</v>
      </c>
      <c r="T186" s="28" t="s">
        <v>383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-43.314500000000002</v>
      </c>
      <c r="AD186" s="30">
        <v>0.17369223057644109</v>
      </c>
      <c r="AE186" s="29">
        <v>1</v>
      </c>
    </row>
    <row r="187" spans="2:31" x14ac:dyDescent="0.2">
      <c r="B187" s="27">
        <v>114</v>
      </c>
      <c r="C187" s="28" t="s">
        <v>638</v>
      </c>
      <c r="D187" s="28" t="s">
        <v>385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60.715299999999999</v>
      </c>
      <c r="N187" s="30">
        <v>0.24346987468671677</v>
      </c>
      <c r="O187" s="29">
        <v>1</v>
      </c>
      <c r="R187" s="27">
        <v>114</v>
      </c>
      <c r="S187" s="28" t="s">
        <v>638</v>
      </c>
      <c r="T187" s="28" t="s">
        <v>385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44.409100000000002</v>
      </c>
      <c r="AD187" s="30">
        <v>0.1780816040100251</v>
      </c>
      <c r="AE187" s="29">
        <v>1</v>
      </c>
    </row>
    <row r="188" spans="2:31" x14ac:dyDescent="0.2">
      <c r="B188" s="27">
        <v>88</v>
      </c>
      <c r="C188" s="28" t="s">
        <v>640</v>
      </c>
      <c r="D188" s="28" t="s">
        <v>383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-67.298500000000004</v>
      </c>
      <c r="N188" s="30">
        <v>0.26986867167919798</v>
      </c>
      <c r="O188" s="29">
        <v>1</v>
      </c>
      <c r="R188" s="27">
        <v>88</v>
      </c>
      <c r="S188" s="28" t="s">
        <v>640</v>
      </c>
      <c r="T188" s="28" t="s">
        <v>383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-67.319900000000004</v>
      </c>
      <c r="AD188" s="30">
        <v>0.26995448621553886</v>
      </c>
      <c r="AE188" s="29">
        <v>1</v>
      </c>
    </row>
    <row r="189" spans="2:31" x14ac:dyDescent="0.2">
      <c r="B189" s="27">
        <v>88</v>
      </c>
      <c r="C189" s="28" t="s">
        <v>641</v>
      </c>
      <c r="D189" s="28" t="s">
        <v>385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60.715299999999999</v>
      </c>
      <c r="N189" s="30">
        <v>0.24346987468671677</v>
      </c>
      <c r="O189" s="29">
        <v>1</v>
      </c>
      <c r="R189" s="27">
        <v>88</v>
      </c>
      <c r="S189" s="28" t="s">
        <v>641</v>
      </c>
      <c r="T189" s="28" t="s">
        <v>385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42.048299999999998</v>
      </c>
      <c r="AD189" s="30">
        <v>0.16861473684210523</v>
      </c>
      <c r="AE189" s="29">
        <v>1</v>
      </c>
    </row>
    <row r="190" spans="2:31" x14ac:dyDescent="0.2">
      <c r="B190" s="27">
        <v>91</v>
      </c>
      <c r="C190" s="28" t="s">
        <v>643</v>
      </c>
      <c r="D190" s="28" t="s">
        <v>383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-89.741900000000001</v>
      </c>
      <c r="N190" s="30">
        <v>0.35986726817042602</v>
      </c>
      <c r="O190" s="29">
        <v>1</v>
      </c>
      <c r="R190" s="27">
        <v>91</v>
      </c>
      <c r="S190" s="28" t="s">
        <v>643</v>
      </c>
      <c r="T190" s="28" t="s">
        <v>383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-89.750100000000003</v>
      </c>
      <c r="AD190" s="30">
        <v>0.35990015037593986</v>
      </c>
      <c r="AE190" s="29">
        <v>1</v>
      </c>
    </row>
    <row r="191" spans="2:31" x14ac:dyDescent="0.2">
      <c r="B191" s="27">
        <v>91</v>
      </c>
      <c r="C191" s="28" t="s">
        <v>644</v>
      </c>
      <c r="D191" s="28" t="s">
        <v>385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58.064100000000003</v>
      </c>
      <c r="N191" s="30">
        <v>0.23283849624060152</v>
      </c>
      <c r="O191" s="29">
        <v>1</v>
      </c>
      <c r="R191" s="27">
        <v>91</v>
      </c>
      <c r="S191" s="28" t="s">
        <v>644</v>
      </c>
      <c r="T191" s="28" t="s">
        <v>385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42.048299999999998</v>
      </c>
      <c r="AD191" s="30">
        <v>0.16861473684210523</v>
      </c>
      <c r="AE191" s="29">
        <v>1</v>
      </c>
    </row>
    <row r="192" spans="2:31" x14ac:dyDescent="0.2">
      <c r="B192" s="27">
        <v>94</v>
      </c>
      <c r="C192" s="28" t="s">
        <v>646</v>
      </c>
      <c r="D192" s="28" t="s">
        <v>383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-84.548699999999997</v>
      </c>
      <c r="N192" s="30">
        <v>0.3390424060150376</v>
      </c>
      <c r="O192" s="29">
        <v>1</v>
      </c>
      <c r="R192" s="27">
        <v>94</v>
      </c>
      <c r="S192" s="28" t="s">
        <v>646</v>
      </c>
      <c r="T192" s="28" t="s">
        <v>383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-84.542699999999996</v>
      </c>
      <c r="AD192" s="30">
        <v>0.33901834586466162</v>
      </c>
      <c r="AE192" s="29">
        <v>1</v>
      </c>
    </row>
    <row r="193" spans="2:31" x14ac:dyDescent="0.2">
      <c r="B193" s="27">
        <v>94</v>
      </c>
      <c r="C193" s="28" t="s">
        <v>647</v>
      </c>
      <c r="D193" s="28" t="s">
        <v>385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58.064100000000003</v>
      </c>
      <c r="N193" s="30">
        <v>0.23283849624060152</v>
      </c>
      <c r="O193" s="29">
        <v>1</v>
      </c>
      <c r="R193" s="27">
        <v>94</v>
      </c>
      <c r="S193" s="28" t="s">
        <v>647</v>
      </c>
      <c r="T193" s="28" t="s">
        <v>385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53.5045</v>
      </c>
      <c r="AD193" s="30">
        <v>0.21455438596491228</v>
      </c>
      <c r="AE193" s="29">
        <v>1</v>
      </c>
    </row>
    <row r="194" spans="2:31" x14ac:dyDescent="0.2">
      <c r="B194" s="27">
        <v>97</v>
      </c>
      <c r="C194" s="28" t="s">
        <v>649</v>
      </c>
      <c r="D194" s="28" t="s">
        <v>383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-84.535499999999999</v>
      </c>
      <c r="N194" s="30">
        <v>0.33898947368421051</v>
      </c>
      <c r="O194" s="29">
        <v>1</v>
      </c>
      <c r="R194" s="27">
        <v>97</v>
      </c>
      <c r="S194" s="28" t="s">
        <v>649</v>
      </c>
      <c r="T194" s="28" t="s">
        <v>383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-84.517899999999997</v>
      </c>
      <c r="AD194" s="30">
        <v>0.33891889724310775</v>
      </c>
      <c r="AE194" s="29">
        <v>1</v>
      </c>
    </row>
    <row r="195" spans="2:31" x14ac:dyDescent="0.2">
      <c r="B195" s="27">
        <v>97</v>
      </c>
      <c r="C195" s="28" t="s">
        <v>650</v>
      </c>
      <c r="D195" s="28" t="s">
        <v>385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58.064100000000003</v>
      </c>
      <c r="N195" s="30">
        <v>0.23283849624060152</v>
      </c>
      <c r="O195" s="29">
        <v>1</v>
      </c>
      <c r="R195" s="27">
        <v>97</v>
      </c>
      <c r="S195" s="28" t="s">
        <v>650</v>
      </c>
      <c r="T195" s="28" t="s">
        <v>385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53.5319</v>
      </c>
      <c r="AD195" s="30">
        <v>0.21466426065162908</v>
      </c>
      <c r="AE195" s="29">
        <v>1</v>
      </c>
    </row>
    <row r="196" spans="2:31" x14ac:dyDescent="0.2">
      <c r="B196" s="27">
        <v>100</v>
      </c>
      <c r="C196" s="28" t="s">
        <v>652</v>
      </c>
      <c r="D196" s="28" t="s">
        <v>383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-89.690799999999996</v>
      </c>
      <c r="N196" s="30">
        <v>0.35966235588972434</v>
      </c>
      <c r="O196" s="29">
        <v>1</v>
      </c>
      <c r="R196" s="27">
        <v>100</v>
      </c>
      <c r="S196" s="28" t="s">
        <v>652</v>
      </c>
      <c r="T196" s="28" t="s">
        <v>383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-89.658699999999996</v>
      </c>
      <c r="AD196" s="30">
        <v>0.35953363408521299</v>
      </c>
      <c r="AE196" s="29">
        <v>1</v>
      </c>
    </row>
    <row r="197" spans="2:31" x14ac:dyDescent="0.2">
      <c r="B197" s="27">
        <v>100</v>
      </c>
      <c r="C197" s="28" t="s">
        <v>653</v>
      </c>
      <c r="D197" s="28" t="s">
        <v>385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58.11</v>
      </c>
      <c r="N197" s="30">
        <v>0.23302255639097744</v>
      </c>
      <c r="O197" s="29">
        <v>1</v>
      </c>
      <c r="R197" s="27">
        <v>100</v>
      </c>
      <c r="S197" s="28" t="s">
        <v>653</v>
      </c>
      <c r="T197" s="28" t="s">
        <v>385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53.5319</v>
      </c>
      <c r="AD197" s="30">
        <v>0.21466426065162908</v>
      </c>
      <c r="AE197" s="29">
        <v>1</v>
      </c>
    </row>
    <row r="198" spans="2:31" x14ac:dyDescent="0.2">
      <c r="B198" s="27">
        <v>103</v>
      </c>
      <c r="C198" s="28" t="s">
        <v>655</v>
      </c>
      <c r="D198" s="28" t="s">
        <v>383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-67.256500000000003</v>
      </c>
      <c r="N198" s="30">
        <v>0.26970025062656644</v>
      </c>
      <c r="O198" s="29">
        <v>1</v>
      </c>
      <c r="R198" s="27">
        <v>103</v>
      </c>
      <c r="S198" s="28" t="s">
        <v>655</v>
      </c>
      <c r="T198" s="28" t="s">
        <v>383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-67.214600000000004</v>
      </c>
      <c r="AD198" s="30">
        <v>0.2695322305764411</v>
      </c>
      <c r="AE198" s="29">
        <v>1</v>
      </c>
    </row>
    <row r="199" spans="2:31" x14ac:dyDescent="0.2">
      <c r="B199" s="27">
        <v>103</v>
      </c>
      <c r="C199" s="28" t="s">
        <v>656</v>
      </c>
      <c r="D199" s="28" t="s">
        <v>385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58.11</v>
      </c>
      <c r="N199" s="30">
        <v>0.23302255639097744</v>
      </c>
      <c r="O199" s="29">
        <v>1</v>
      </c>
      <c r="R199" s="27">
        <v>103</v>
      </c>
      <c r="S199" s="28" t="s">
        <v>656</v>
      </c>
      <c r="T199" s="28" t="s">
        <v>385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42.1038</v>
      </c>
      <c r="AD199" s="30">
        <v>0.16883729323308272</v>
      </c>
      <c r="AE199" s="29">
        <v>1</v>
      </c>
    </row>
    <row r="200" spans="2:31" x14ac:dyDescent="0.2">
      <c r="B200" s="27">
        <v>115</v>
      </c>
      <c r="C200" s="28" t="s">
        <v>658</v>
      </c>
      <c r="D200" s="28" t="s">
        <v>383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-44.434199999999997</v>
      </c>
      <c r="N200" s="30">
        <v>0.17818225563909773</v>
      </c>
      <c r="O200" s="29">
        <v>1</v>
      </c>
      <c r="R200" s="27">
        <v>115</v>
      </c>
      <c r="S200" s="28" t="s">
        <v>658</v>
      </c>
      <c r="T200" s="28" t="s">
        <v>383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-44.519399999999997</v>
      </c>
      <c r="AD200" s="30">
        <v>0.17852390977443608</v>
      </c>
      <c r="AE200" s="29">
        <v>1</v>
      </c>
    </row>
    <row r="201" spans="2:31" x14ac:dyDescent="0.2">
      <c r="B201" s="27">
        <v>115</v>
      </c>
      <c r="C201" s="28" t="s">
        <v>659</v>
      </c>
      <c r="D201" s="28" t="s">
        <v>385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58.11</v>
      </c>
      <c r="N201" s="30">
        <v>0.23302255639097744</v>
      </c>
      <c r="O201" s="29">
        <v>1</v>
      </c>
      <c r="R201" s="27">
        <v>115</v>
      </c>
      <c r="S201" s="28" t="s">
        <v>659</v>
      </c>
      <c r="T201" s="28" t="s">
        <v>385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42.1038</v>
      </c>
      <c r="AD201" s="30">
        <v>0.16883729323308272</v>
      </c>
      <c r="AE201" s="29">
        <v>1</v>
      </c>
    </row>
    <row r="202" spans="2:31" x14ac:dyDescent="0.2">
      <c r="B202" s="27">
        <v>116</v>
      </c>
      <c r="C202" s="28" t="s">
        <v>661</v>
      </c>
      <c r="D202" s="28" t="s">
        <v>383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-42.169499999999999</v>
      </c>
      <c r="N202" s="30">
        <v>0.16910075187969925</v>
      </c>
      <c r="O202" s="29">
        <v>1</v>
      </c>
      <c r="R202" s="27">
        <v>116</v>
      </c>
      <c r="S202" s="28" t="s">
        <v>661</v>
      </c>
      <c r="T202" s="28" t="s">
        <v>383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-42.249299999999998</v>
      </c>
      <c r="AD202" s="30">
        <v>0.16942075187969924</v>
      </c>
      <c r="AE202" s="29">
        <v>1</v>
      </c>
    </row>
    <row r="203" spans="2:31" x14ac:dyDescent="0.2">
      <c r="B203" s="27">
        <v>116</v>
      </c>
      <c r="C203" s="28" t="s">
        <v>662</v>
      </c>
      <c r="D203" s="28" t="s">
        <v>385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58.11</v>
      </c>
      <c r="N203" s="30">
        <v>0.23302255639097744</v>
      </c>
      <c r="O203" s="29">
        <v>1</v>
      </c>
      <c r="R203" s="27">
        <v>116</v>
      </c>
      <c r="S203" s="28" t="s">
        <v>662</v>
      </c>
      <c r="T203" s="28" t="s">
        <v>385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42.1038</v>
      </c>
      <c r="AD203" s="30">
        <v>0.16883729323308272</v>
      </c>
      <c r="AE203" s="29">
        <v>1</v>
      </c>
    </row>
    <row r="204" spans="2:31" x14ac:dyDescent="0.2">
      <c r="B204" s="27">
        <v>117</v>
      </c>
      <c r="C204" s="28" t="s">
        <v>663</v>
      </c>
      <c r="D204" s="28" t="s">
        <v>383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-46.013399999999997</v>
      </c>
      <c r="N204" s="30">
        <v>0.1845148872180451</v>
      </c>
      <c r="O204" s="29">
        <v>1</v>
      </c>
      <c r="R204" s="27">
        <v>117</v>
      </c>
      <c r="S204" s="28" t="s">
        <v>663</v>
      </c>
      <c r="T204" s="28" t="s">
        <v>383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-46.089799999999997</v>
      </c>
      <c r="AD204" s="30">
        <v>0.18482125313283207</v>
      </c>
      <c r="AE204" s="29">
        <v>1</v>
      </c>
    </row>
    <row r="205" spans="2:31" x14ac:dyDescent="0.2">
      <c r="B205" s="27">
        <v>117</v>
      </c>
      <c r="C205" s="28" t="s">
        <v>664</v>
      </c>
      <c r="D205" s="28" t="s">
        <v>385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58.11</v>
      </c>
      <c r="N205" s="30">
        <v>0.23302255639097744</v>
      </c>
      <c r="O205" s="29">
        <v>1</v>
      </c>
      <c r="R205" s="27">
        <v>117</v>
      </c>
      <c r="S205" s="28" t="s">
        <v>664</v>
      </c>
      <c r="T205" s="28" t="s">
        <v>385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42.1038</v>
      </c>
      <c r="AD205" s="30">
        <v>0.16883729323308272</v>
      </c>
      <c r="AE205" s="29">
        <v>1</v>
      </c>
    </row>
    <row r="206" spans="2:31" x14ac:dyDescent="0.2">
      <c r="B206" s="27">
        <v>118</v>
      </c>
      <c r="C206" s="28" t="s">
        <v>665</v>
      </c>
      <c r="D206" s="28" t="s">
        <v>383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-45.088200000000001</v>
      </c>
      <c r="N206" s="30">
        <v>0.18080481203007517</v>
      </c>
      <c r="O206" s="29">
        <v>1</v>
      </c>
      <c r="R206" s="27">
        <v>118</v>
      </c>
      <c r="S206" s="28" t="s">
        <v>665</v>
      </c>
      <c r="T206" s="28" t="s">
        <v>383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-45.169899999999998</v>
      </c>
      <c r="AD206" s="30">
        <v>0.18113243107769425</v>
      </c>
      <c r="AE206" s="29">
        <v>1</v>
      </c>
    </row>
    <row r="207" spans="2:31" x14ac:dyDescent="0.2">
      <c r="B207" s="27">
        <v>118</v>
      </c>
      <c r="C207" s="28" t="s">
        <v>666</v>
      </c>
      <c r="D207" s="28" t="s">
        <v>385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58.11</v>
      </c>
      <c r="N207" s="30">
        <v>0.23302255639097744</v>
      </c>
      <c r="O207" s="29">
        <v>1</v>
      </c>
      <c r="R207" s="27">
        <v>118</v>
      </c>
      <c r="S207" s="28" t="s">
        <v>666</v>
      </c>
      <c r="T207" s="28" t="s">
        <v>385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42.1038</v>
      </c>
      <c r="AD207" s="30">
        <v>0.16883729323308272</v>
      </c>
      <c r="AE207" s="29">
        <v>1</v>
      </c>
    </row>
    <row r="208" spans="2:31" x14ac:dyDescent="0.2">
      <c r="B208" s="27">
        <v>119</v>
      </c>
      <c r="C208" s="28" t="s">
        <v>668</v>
      </c>
      <c r="D208" s="28" t="s">
        <v>383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-43.2806</v>
      </c>
      <c r="N208" s="30">
        <v>0.17355629072681703</v>
      </c>
      <c r="O208" s="29">
        <v>1</v>
      </c>
      <c r="R208" s="27">
        <v>119</v>
      </c>
      <c r="S208" s="28" t="s">
        <v>668</v>
      </c>
      <c r="T208" s="28" t="s">
        <v>383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-43.363599999999998</v>
      </c>
      <c r="AD208" s="30">
        <v>0.17388912280701754</v>
      </c>
      <c r="AE208" s="29">
        <v>1</v>
      </c>
    </row>
    <row r="209" spans="2:31" x14ac:dyDescent="0.2">
      <c r="B209" s="27">
        <v>119</v>
      </c>
      <c r="C209" s="28" t="s">
        <v>669</v>
      </c>
      <c r="D209" s="28" t="s">
        <v>385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58.11</v>
      </c>
      <c r="N209" s="30">
        <v>0.23302255639097744</v>
      </c>
      <c r="O209" s="29">
        <v>1</v>
      </c>
      <c r="R209" s="27">
        <v>119</v>
      </c>
      <c r="S209" s="28" t="s">
        <v>669</v>
      </c>
      <c r="T209" s="28" t="s">
        <v>385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42.1038</v>
      </c>
      <c r="AD209" s="30">
        <v>0.16883729323308272</v>
      </c>
      <c r="AE209" s="29">
        <v>1</v>
      </c>
    </row>
    <row r="210" spans="2:31" x14ac:dyDescent="0.2">
      <c r="B210" s="27">
        <v>89</v>
      </c>
      <c r="C210" s="28" t="s">
        <v>671</v>
      </c>
      <c r="D210" s="28" t="s">
        <v>383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-66.873999999999995</v>
      </c>
      <c r="N210" s="30">
        <v>0.26816641604010027</v>
      </c>
      <c r="O210" s="29">
        <v>1</v>
      </c>
      <c r="R210" s="27">
        <v>89</v>
      </c>
      <c r="S210" s="28" t="s">
        <v>671</v>
      </c>
      <c r="T210" s="28" t="s">
        <v>383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-66.899799999999999</v>
      </c>
      <c r="AD210" s="30">
        <v>0.26826987468671681</v>
      </c>
      <c r="AE210" s="29">
        <v>1</v>
      </c>
    </row>
    <row r="211" spans="2:31" x14ac:dyDescent="0.2">
      <c r="B211" s="27">
        <v>89</v>
      </c>
      <c r="C211" s="28" t="s">
        <v>672</v>
      </c>
      <c r="D211" s="28" t="s">
        <v>385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58.11</v>
      </c>
      <c r="N211" s="30">
        <v>0.23302255639097744</v>
      </c>
      <c r="O211" s="29">
        <v>1</v>
      </c>
      <c r="R211" s="27">
        <v>89</v>
      </c>
      <c r="S211" s="28" t="s">
        <v>672</v>
      </c>
      <c r="T211" s="28" t="s">
        <v>385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42.1038</v>
      </c>
      <c r="AD211" s="30">
        <v>0.16883729323308272</v>
      </c>
      <c r="AE211" s="29">
        <v>1</v>
      </c>
    </row>
    <row r="212" spans="2:31" x14ac:dyDescent="0.2">
      <c r="B212" s="27">
        <v>92</v>
      </c>
      <c r="C212" s="28" t="s">
        <v>674</v>
      </c>
      <c r="D212" s="28" t="s">
        <v>383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-89.262900000000002</v>
      </c>
      <c r="N212" s="30">
        <v>0.35794646616541359</v>
      </c>
      <c r="O212" s="29">
        <v>1</v>
      </c>
      <c r="R212" s="27">
        <v>92</v>
      </c>
      <c r="S212" s="28" t="s">
        <v>674</v>
      </c>
      <c r="T212" s="28" t="s">
        <v>383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-89.271500000000003</v>
      </c>
      <c r="AD212" s="30">
        <v>0.3579809523809524</v>
      </c>
      <c r="AE212" s="29">
        <v>1</v>
      </c>
    </row>
    <row r="213" spans="2:31" x14ac:dyDescent="0.2">
      <c r="B213" s="27">
        <v>92</v>
      </c>
      <c r="C213" s="28" t="s">
        <v>675</v>
      </c>
      <c r="D213" s="28" t="s">
        <v>385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58.11</v>
      </c>
      <c r="N213" s="30">
        <v>0.23302255639097744</v>
      </c>
      <c r="O213" s="29">
        <v>1</v>
      </c>
      <c r="R213" s="27">
        <v>92</v>
      </c>
      <c r="S213" s="28" t="s">
        <v>675</v>
      </c>
      <c r="T213" s="28" t="s">
        <v>385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42.1038</v>
      </c>
      <c r="AD213" s="30">
        <v>0.16883729323308272</v>
      </c>
      <c r="AE213" s="29">
        <v>1</v>
      </c>
    </row>
    <row r="214" spans="2:31" x14ac:dyDescent="0.2">
      <c r="B214" s="27">
        <v>95</v>
      </c>
      <c r="C214" s="28" t="s">
        <v>677</v>
      </c>
      <c r="D214" s="28" t="s">
        <v>383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-84.458600000000004</v>
      </c>
      <c r="N214" s="30">
        <v>0.33868110275689223</v>
      </c>
      <c r="O214" s="29">
        <v>1</v>
      </c>
      <c r="R214" s="27">
        <v>95</v>
      </c>
      <c r="S214" s="28" t="s">
        <v>677</v>
      </c>
      <c r="T214" s="28" t="s">
        <v>383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-84.452399999999997</v>
      </c>
      <c r="AD214" s="30">
        <v>0.33865624060150373</v>
      </c>
      <c r="AE214" s="29">
        <v>1</v>
      </c>
    </row>
    <row r="215" spans="2:31" x14ac:dyDescent="0.2">
      <c r="B215" s="27">
        <v>95</v>
      </c>
      <c r="C215" s="28" t="s">
        <v>678</v>
      </c>
      <c r="D215" s="28" t="s">
        <v>385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58.11</v>
      </c>
      <c r="N215" s="30">
        <v>0.23302255639097744</v>
      </c>
      <c r="O215" s="29">
        <v>1</v>
      </c>
      <c r="R215" s="27">
        <v>95</v>
      </c>
      <c r="S215" s="28" t="s">
        <v>678</v>
      </c>
      <c r="T215" s="28" t="s">
        <v>385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42.1038</v>
      </c>
      <c r="AD215" s="30">
        <v>0.16883729323308272</v>
      </c>
      <c r="AE215" s="29">
        <v>1</v>
      </c>
    </row>
    <row r="216" spans="2:31" x14ac:dyDescent="0.2">
      <c r="B216" s="27">
        <v>98</v>
      </c>
      <c r="C216" s="28" t="s">
        <v>680</v>
      </c>
      <c r="D216" s="28" t="s">
        <v>383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-84.446799999999996</v>
      </c>
      <c r="N216" s="30">
        <v>0.33863378446115289</v>
      </c>
      <c r="O216" s="29">
        <v>1</v>
      </c>
      <c r="R216" s="27">
        <v>98</v>
      </c>
      <c r="S216" s="28" t="s">
        <v>680</v>
      </c>
      <c r="T216" s="28" t="s">
        <v>383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-84.4298</v>
      </c>
      <c r="AD216" s="30">
        <v>0.33856561403508773</v>
      </c>
      <c r="AE216" s="29">
        <v>1</v>
      </c>
    </row>
    <row r="217" spans="2:31" x14ac:dyDescent="0.2">
      <c r="B217" s="27">
        <v>98</v>
      </c>
      <c r="C217" s="28" t="s">
        <v>681</v>
      </c>
      <c r="D217" s="28" t="s">
        <v>385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58.11</v>
      </c>
      <c r="N217" s="30">
        <v>0.23302255639097744</v>
      </c>
      <c r="O217" s="29">
        <v>1</v>
      </c>
      <c r="R217" s="27">
        <v>98</v>
      </c>
      <c r="S217" s="28" t="s">
        <v>681</v>
      </c>
      <c r="T217" s="28" t="s">
        <v>385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42.1038</v>
      </c>
      <c r="AD217" s="30">
        <v>0.16883729323308272</v>
      </c>
      <c r="AE217" s="29">
        <v>1</v>
      </c>
    </row>
    <row r="218" spans="2:31" x14ac:dyDescent="0.2">
      <c r="B218" s="27">
        <v>101</v>
      </c>
      <c r="C218" s="28" t="s">
        <v>683</v>
      </c>
      <c r="D218" s="28" t="s">
        <v>383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-89.2273</v>
      </c>
      <c r="N218" s="30">
        <v>0.35780370927318295</v>
      </c>
      <c r="O218" s="29">
        <v>1</v>
      </c>
      <c r="R218" s="27">
        <v>101</v>
      </c>
      <c r="S218" s="28" t="s">
        <v>683</v>
      </c>
      <c r="T218" s="28" t="s">
        <v>383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-89.194900000000004</v>
      </c>
      <c r="AD218" s="30">
        <v>0.35767378446115294</v>
      </c>
      <c r="AE218" s="29">
        <v>1</v>
      </c>
    </row>
    <row r="219" spans="2:31" x14ac:dyDescent="0.2">
      <c r="B219" s="27">
        <v>101</v>
      </c>
      <c r="C219" s="28" t="s">
        <v>684</v>
      </c>
      <c r="D219" s="28" t="s">
        <v>385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58.11</v>
      </c>
      <c r="N219" s="30">
        <v>0.23302255639097744</v>
      </c>
      <c r="O219" s="29">
        <v>1</v>
      </c>
      <c r="R219" s="27">
        <v>101</v>
      </c>
      <c r="S219" s="28" t="s">
        <v>684</v>
      </c>
      <c r="T219" s="28" t="s">
        <v>385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42.1038</v>
      </c>
      <c r="AD219" s="30">
        <v>0.16883729323308272</v>
      </c>
      <c r="AE219" s="29">
        <v>1</v>
      </c>
    </row>
    <row r="220" spans="2:31" x14ac:dyDescent="0.2">
      <c r="B220" s="27">
        <v>104</v>
      </c>
      <c r="C220" s="28" t="s">
        <v>686</v>
      </c>
      <c r="D220" s="28" t="s">
        <v>383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-66.831299999999999</v>
      </c>
      <c r="N220" s="30">
        <v>0.26799518796992483</v>
      </c>
      <c r="O220" s="29">
        <v>1</v>
      </c>
      <c r="R220" s="27">
        <v>104</v>
      </c>
      <c r="S220" s="28" t="s">
        <v>686</v>
      </c>
      <c r="T220" s="28" t="s">
        <v>383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-66.787999999999997</v>
      </c>
      <c r="AD220" s="30">
        <v>0.26782155388471179</v>
      </c>
      <c r="AE220" s="29">
        <v>1</v>
      </c>
    </row>
    <row r="221" spans="2:31" x14ac:dyDescent="0.2">
      <c r="B221" s="27">
        <v>104</v>
      </c>
      <c r="C221" s="28" t="s">
        <v>687</v>
      </c>
      <c r="D221" s="28" t="s">
        <v>385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58.11</v>
      </c>
      <c r="N221" s="30">
        <v>0.23302255639097744</v>
      </c>
      <c r="O221" s="29">
        <v>1</v>
      </c>
      <c r="R221" s="27">
        <v>104</v>
      </c>
      <c r="S221" s="28" t="s">
        <v>687</v>
      </c>
      <c r="T221" s="28" t="s">
        <v>385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42.1038</v>
      </c>
      <c r="AD221" s="30">
        <v>0.16883729323308272</v>
      </c>
      <c r="AE221" s="29">
        <v>1</v>
      </c>
    </row>
    <row r="222" spans="2:31" x14ac:dyDescent="0.2">
      <c r="B222" s="27">
        <v>120</v>
      </c>
      <c r="C222" s="28" t="s">
        <v>689</v>
      </c>
      <c r="D222" s="28" t="s">
        <v>383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-34.284999999999997</v>
      </c>
      <c r="N222" s="30">
        <v>0.13748370927318296</v>
      </c>
      <c r="O222" s="29">
        <v>1</v>
      </c>
      <c r="R222" s="27">
        <v>120</v>
      </c>
      <c r="S222" s="28" t="s">
        <v>689</v>
      </c>
      <c r="T222" s="28" t="s">
        <v>383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-34.359699999999997</v>
      </c>
      <c r="AD222" s="30">
        <v>0.13778325814536341</v>
      </c>
      <c r="AE222" s="29">
        <v>1</v>
      </c>
    </row>
    <row r="223" spans="2:31" x14ac:dyDescent="0.2">
      <c r="B223" s="27">
        <v>120</v>
      </c>
      <c r="C223" s="28" t="s">
        <v>690</v>
      </c>
      <c r="D223" s="28" t="s">
        <v>385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58.11</v>
      </c>
      <c r="N223" s="30">
        <v>0.23302255639097744</v>
      </c>
      <c r="O223" s="29">
        <v>1</v>
      </c>
      <c r="R223" s="27">
        <v>120</v>
      </c>
      <c r="S223" s="28" t="s">
        <v>690</v>
      </c>
      <c r="T223" s="28" t="s">
        <v>385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42.1038</v>
      </c>
      <c r="AD223" s="30">
        <v>0.16883729323308272</v>
      </c>
      <c r="AE223" s="29">
        <v>1</v>
      </c>
    </row>
    <row r="224" spans="2:31" x14ac:dyDescent="0.2">
      <c r="B224" s="27">
        <v>121</v>
      </c>
      <c r="C224" s="28" t="s">
        <v>692</v>
      </c>
      <c r="D224" s="28" t="s">
        <v>383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-37.132800000000003</v>
      </c>
      <c r="N224" s="30">
        <v>0.14890345864661655</v>
      </c>
      <c r="O224" s="29">
        <v>1</v>
      </c>
      <c r="R224" s="27">
        <v>121</v>
      </c>
      <c r="S224" s="28" t="s">
        <v>692</v>
      </c>
      <c r="T224" s="28" t="s">
        <v>383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-37.219099999999997</v>
      </c>
      <c r="AD224" s="30">
        <v>0.1492495238095238</v>
      </c>
      <c r="AE224" s="29">
        <v>1</v>
      </c>
    </row>
    <row r="225" spans="2:31" x14ac:dyDescent="0.2">
      <c r="B225" s="27">
        <v>121</v>
      </c>
      <c r="C225" s="28" t="s">
        <v>693</v>
      </c>
      <c r="D225" s="28" t="s">
        <v>385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58.11</v>
      </c>
      <c r="N225" s="30">
        <v>0.23302255639097744</v>
      </c>
      <c r="O225" s="29">
        <v>1</v>
      </c>
      <c r="R225" s="27">
        <v>121</v>
      </c>
      <c r="S225" s="28" t="s">
        <v>693</v>
      </c>
      <c r="T225" s="28" t="s">
        <v>385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42.1038</v>
      </c>
      <c r="AD225" s="30">
        <v>0.16883729323308272</v>
      </c>
      <c r="AE225" s="29">
        <v>1</v>
      </c>
    </row>
    <row r="226" spans="2:31" x14ac:dyDescent="0.2">
      <c r="B226" s="27">
        <v>122</v>
      </c>
      <c r="C226" s="28" t="s">
        <v>694</v>
      </c>
      <c r="D226" s="28" t="s">
        <v>383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-34.337400000000002</v>
      </c>
      <c r="N226" s="30">
        <v>0.13769383458646617</v>
      </c>
      <c r="O226" s="29">
        <v>1</v>
      </c>
      <c r="R226" s="27">
        <v>122</v>
      </c>
      <c r="S226" s="28" t="s">
        <v>694</v>
      </c>
      <c r="T226" s="28" t="s">
        <v>383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-34.427300000000002</v>
      </c>
      <c r="AD226" s="30">
        <v>0.138054335839599</v>
      </c>
      <c r="AE226" s="29">
        <v>1</v>
      </c>
    </row>
    <row r="227" spans="2:31" x14ac:dyDescent="0.2">
      <c r="B227" s="27">
        <v>122</v>
      </c>
      <c r="C227" s="28" t="s">
        <v>695</v>
      </c>
      <c r="D227" s="28" t="s">
        <v>385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58.11</v>
      </c>
      <c r="N227" s="30">
        <v>0.23302255639097744</v>
      </c>
      <c r="O227" s="29">
        <v>1</v>
      </c>
      <c r="R227" s="27">
        <v>122</v>
      </c>
      <c r="S227" s="28" t="s">
        <v>695</v>
      </c>
      <c r="T227" s="28" t="s">
        <v>385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42.1038</v>
      </c>
      <c r="AD227" s="30">
        <v>0.16883729323308272</v>
      </c>
      <c r="AE227" s="29">
        <v>1</v>
      </c>
    </row>
    <row r="228" spans="2:31" x14ac:dyDescent="0.2">
      <c r="B228" s="27">
        <v>123</v>
      </c>
      <c r="C228" s="28" t="s">
        <v>696</v>
      </c>
      <c r="D228" s="28" t="s">
        <v>383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-34.059100000000001</v>
      </c>
      <c r="N228" s="30">
        <v>0.1365778446115288</v>
      </c>
      <c r="O228" s="29">
        <v>1</v>
      </c>
      <c r="R228" s="27">
        <v>123</v>
      </c>
      <c r="S228" s="28" t="s">
        <v>696</v>
      </c>
      <c r="T228" s="28" t="s">
        <v>383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-34.146299999999997</v>
      </c>
      <c r="AD228" s="30">
        <v>0.13692751879699247</v>
      </c>
      <c r="AE228" s="29">
        <v>1</v>
      </c>
    </row>
    <row r="229" spans="2:31" x14ac:dyDescent="0.2">
      <c r="B229" s="27">
        <v>123</v>
      </c>
      <c r="C229" s="28" t="s">
        <v>697</v>
      </c>
      <c r="D229" s="28" t="s">
        <v>385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58.11</v>
      </c>
      <c r="N229" s="30">
        <v>0.23302255639097744</v>
      </c>
      <c r="O229" s="29">
        <v>1</v>
      </c>
      <c r="R229" s="27">
        <v>123</v>
      </c>
      <c r="S229" s="28" t="s">
        <v>697</v>
      </c>
      <c r="T229" s="28" t="s">
        <v>385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42.1038</v>
      </c>
      <c r="AD229" s="30">
        <v>0.16883729323308272</v>
      </c>
      <c r="AE229" s="29">
        <v>1</v>
      </c>
    </row>
    <row r="230" spans="2:31" x14ac:dyDescent="0.2">
      <c r="B230" s="27">
        <v>124</v>
      </c>
      <c r="C230" s="28" t="s">
        <v>699</v>
      </c>
      <c r="D230" s="28" t="s">
        <v>383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-37.699399999999997</v>
      </c>
      <c r="N230" s="30">
        <v>0.15117553884711776</v>
      </c>
      <c r="O230" s="29">
        <v>1</v>
      </c>
      <c r="R230" s="27">
        <v>124</v>
      </c>
      <c r="S230" s="28" t="s">
        <v>699</v>
      </c>
      <c r="T230" s="28" t="s">
        <v>383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-37.776800000000001</v>
      </c>
      <c r="AD230" s="30">
        <v>0.15148591478696743</v>
      </c>
      <c r="AE230" s="29">
        <v>1</v>
      </c>
    </row>
    <row r="231" spans="2:31" x14ac:dyDescent="0.2">
      <c r="B231" s="27">
        <v>124</v>
      </c>
      <c r="C231" s="28" t="s">
        <v>700</v>
      </c>
      <c r="D231" s="28" t="s">
        <v>385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58.11</v>
      </c>
      <c r="N231" s="30">
        <v>0.23302255639097744</v>
      </c>
      <c r="O231" s="29">
        <v>1</v>
      </c>
      <c r="R231" s="27">
        <v>124</v>
      </c>
      <c r="S231" s="28" t="s">
        <v>700</v>
      </c>
      <c r="T231" s="28" t="s">
        <v>385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42.1038</v>
      </c>
      <c r="AD231" s="30">
        <v>0.16883729323308272</v>
      </c>
      <c r="AE231" s="29">
        <v>1</v>
      </c>
    </row>
    <row r="232" spans="2:31" x14ac:dyDescent="0.2">
      <c r="B232" s="27">
        <v>167</v>
      </c>
      <c r="C232" s="28" t="s">
        <v>702</v>
      </c>
      <c r="D232" s="28" t="s">
        <v>383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-35.851199999999999</v>
      </c>
      <c r="N232" s="30">
        <v>0.14376421052631577</v>
      </c>
      <c r="O232" s="29">
        <v>1</v>
      </c>
      <c r="R232" s="27">
        <v>167</v>
      </c>
      <c r="S232" s="28" t="s">
        <v>702</v>
      </c>
      <c r="T232" s="28" t="s">
        <v>383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-35.888399999999997</v>
      </c>
      <c r="AD232" s="30">
        <v>0.1439133834586466</v>
      </c>
      <c r="AE232" s="29">
        <v>1</v>
      </c>
    </row>
    <row r="233" spans="2:31" x14ac:dyDescent="0.2">
      <c r="B233" s="27">
        <v>167</v>
      </c>
      <c r="C233" s="28" t="s">
        <v>703</v>
      </c>
      <c r="D233" s="28" t="s">
        <v>385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58.11</v>
      </c>
      <c r="N233" s="30">
        <v>0.23302255639097744</v>
      </c>
      <c r="O233" s="29">
        <v>1</v>
      </c>
      <c r="R233" s="27">
        <v>167</v>
      </c>
      <c r="S233" s="28" t="s">
        <v>703</v>
      </c>
      <c r="T233" s="28" t="s">
        <v>385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42.1038</v>
      </c>
      <c r="AD233" s="30">
        <v>0.16883729323308272</v>
      </c>
      <c r="AE233" s="29">
        <v>1</v>
      </c>
    </row>
    <row r="234" spans="2:31" x14ac:dyDescent="0.2">
      <c r="B234" s="27">
        <v>168</v>
      </c>
      <c r="C234" s="28" t="s">
        <v>705</v>
      </c>
      <c r="D234" s="28" t="s">
        <v>383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-39.0565</v>
      </c>
      <c r="N234" s="30">
        <v>0.15661754385964913</v>
      </c>
      <c r="O234" s="29">
        <v>1</v>
      </c>
      <c r="R234" s="27">
        <v>168</v>
      </c>
      <c r="S234" s="28" t="s">
        <v>705</v>
      </c>
      <c r="T234" s="28" t="s">
        <v>383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-39.098999999999997</v>
      </c>
      <c r="AD234" s="30">
        <v>0.15678796992481203</v>
      </c>
      <c r="AE234" s="29">
        <v>1</v>
      </c>
    </row>
    <row r="235" spans="2:31" x14ac:dyDescent="0.2">
      <c r="B235" s="27">
        <v>168</v>
      </c>
      <c r="C235" s="28" t="s">
        <v>706</v>
      </c>
      <c r="D235" s="28" t="s">
        <v>385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58.11</v>
      </c>
      <c r="N235" s="30">
        <v>0.23302255639097744</v>
      </c>
      <c r="O235" s="29">
        <v>1</v>
      </c>
      <c r="R235" s="27">
        <v>168</v>
      </c>
      <c r="S235" s="28" t="s">
        <v>706</v>
      </c>
      <c r="T235" s="28" t="s">
        <v>385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42.1038</v>
      </c>
      <c r="AD235" s="30">
        <v>0.16883729323308272</v>
      </c>
      <c r="AE235" s="29">
        <v>1</v>
      </c>
    </row>
    <row r="236" spans="2:31" x14ac:dyDescent="0.2">
      <c r="B236" s="27">
        <v>169</v>
      </c>
      <c r="C236" s="28" t="s">
        <v>707</v>
      </c>
      <c r="D236" s="28" t="s">
        <v>383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-36.238399999999999</v>
      </c>
      <c r="N236" s="30">
        <v>0.14531689223057645</v>
      </c>
      <c r="O236" s="29">
        <v>1</v>
      </c>
      <c r="R236" s="27">
        <v>169</v>
      </c>
      <c r="S236" s="28" t="s">
        <v>707</v>
      </c>
      <c r="T236" s="28" t="s">
        <v>383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-36.279800000000002</v>
      </c>
      <c r="AD236" s="30">
        <v>0.14548290726817042</v>
      </c>
      <c r="AE236" s="29">
        <v>1</v>
      </c>
    </row>
    <row r="237" spans="2:31" x14ac:dyDescent="0.2">
      <c r="B237" s="27">
        <v>169</v>
      </c>
      <c r="C237" s="28" t="s">
        <v>708</v>
      </c>
      <c r="D237" s="28" t="s">
        <v>385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58.11</v>
      </c>
      <c r="N237" s="30">
        <v>0.23302255639097744</v>
      </c>
      <c r="O237" s="29">
        <v>1</v>
      </c>
      <c r="R237" s="27">
        <v>169</v>
      </c>
      <c r="S237" s="28" t="s">
        <v>708</v>
      </c>
      <c r="T237" s="28" t="s">
        <v>385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42.1038</v>
      </c>
      <c r="AD237" s="30">
        <v>0.16883729323308272</v>
      </c>
      <c r="AE237" s="29">
        <v>1</v>
      </c>
    </row>
    <row r="238" spans="2:31" x14ac:dyDescent="0.2">
      <c r="B238" s="27">
        <v>170</v>
      </c>
      <c r="C238" s="28" t="s">
        <v>709</v>
      </c>
      <c r="D238" s="28" t="s">
        <v>383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-35.922400000000003</v>
      </c>
      <c r="N238" s="30">
        <v>0.14404972431077695</v>
      </c>
      <c r="O238" s="29">
        <v>1</v>
      </c>
      <c r="R238" s="27">
        <v>170</v>
      </c>
      <c r="S238" s="28" t="s">
        <v>709</v>
      </c>
      <c r="T238" s="28" t="s">
        <v>383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-35.962600000000002</v>
      </c>
      <c r="AD238" s="30">
        <v>0.14421092731829574</v>
      </c>
      <c r="AE238" s="29">
        <v>1</v>
      </c>
    </row>
    <row r="239" spans="2:31" x14ac:dyDescent="0.2">
      <c r="B239" s="27">
        <v>170</v>
      </c>
      <c r="C239" s="28" t="s">
        <v>710</v>
      </c>
      <c r="D239" s="28" t="s">
        <v>385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58.11</v>
      </c>
      <c r="N239" s="30">
        <v>0.23302255639097744</v>
      </c>
      <c r="O239" s="29">
        <v>1</v>
      </c>
      <c r="R239" s="27">
        <v>170</v>
      </c>
      <c r="S239" s="28" t="s">
        <v>710</v>
      </c>
      <c r="T239" s="28" t="s">
        <v>385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42.1038</v>
      </c>
      <c r="AD239" s="30">
        <v>0.16883729323308272</v>
      </c>
      <c r="AE239" s="29">
        <v>1</v>
      </c>
    </row>
    <row r="240" spans="2:31" x14ac:dyDescent="0.2">
      <c r="B240" s="27">
        <v>171</v>
      </c>
      <c r="C240" s="28" t="s">
        <v>712</v>
      </c>
      <c r="D240" s="28" t="s">
        <v>383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-39.8337</v>
      </c>
      <c r="N240" s="30">
        <v>0.15973413533834585</v>
      </c>
      <c r="O240" s="29">
        <v>1</v>
      </c>
      <c r="R240" s="27">
        <v>171</v>
      </c>
      <c r="S240" s="28" t="s">
        <v>712</v>
      </c>
      <c r="T240" s="28" t="s">
        <v>383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-39.868099999999998</v>
      </c>
      <c r="AD240" s="30">
        <v>0.15987208020050125</v>
      </c>
      <c r="AE240" s="29">
        <v>1</v>
      </c>
    </row>
    <row r="241" spans="2:31" x14ac:dyDescent="0.2">
      <c r="B241" s="27">
        <v>171</v>
      </c>
      <c r="C241" s="28" t="s">
        <v>713</v>
      </c>
      <c r="D241" s="28" t="s">
        <v>385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58.11</v>
      </c>
      <c r="N241" s="30">
        <v>0.23302255639097744</v>
      </c>
      <c r="O241" s="29">
        <v>1</v>
      </c>
      <c r="R241" s="27">
        <v>171</v>
      </c>
      <c r="S241" s="28" t="s">
        <v>713</v>
      </c>
      <c r="T241" s="28" t="s">
        <v>385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42.1038</v>
      </c>
      <c r="AD241" s="30">
        <v>0.16883729323308272</v>
      </c>
      <c r="AE241" s="29">
        <v>1</v>
      </c>
    </row>
    <row r="242" spans="2:31" x14ac:dyDescent="0.2">
      <c r="B242" s="27">
        <v>149</v>
      </c>
      <c r="C242" s="28" t="s">
        <v>715</v>
      </c>
      <c r="D242" s="28" t="s">
        <v>383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-68.681200000000004</v>
      </c>
      <c r="N242" s="30">
        <v>0.27541333333333334</v>
      </c>
      <c r="O242" s="29">
        <v>1</v>
      </c>
      <c r="R242" s="27">
        <v>149</v>
      </c>
      <c r="S242" s="28" t="s">
        <v>715</v>
      </c>
      <c r="T242" s="28" t="s">
        <v>383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-68.709999999999994</v>
      </c>
      <c r="AD242" s="30">
        <v>0.27552882205513785</v>
      </c>
      <c r="AE242" s="29">
        <v>1</v>
      </c>
    </row>
    <row r="243" spans="2:31" x14ac:dyDescent="0.2">
      <c r="B243" s="27">
        <v>149</v>
      </c>
      <c r="C243" s="28" t="s">
        <v>716</v>
      </c>
      <c r="D243" s="28" t="s">
        <v>385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58.11</v>
      </c>
      <c r="N243" s="30">
        <v>0.23302255639097744</v>
      </c>
      <c r="O243" s="29">
        <v>1</v>
      </c>
      <c r="R243" s="27">
        <v>149</v>
      </c>
      <c r="S243" s="28" t="s">
        <v>716</v>
      </c>
      <c r="T243" s="28" t="s">
        <v>385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42.1038</v>
      </c>
      <c r="AD243" s="30">
        <v>0.16883729323308272</v>
      </c>
      <c r="AE243" s="29">
        <v>1</v>
      </c>
    </row>
    <row r="244" spans="2:31" x14ac:dyDescent="0.2">
      <c r="B244" s="27">
        <v>152</v>
      </c>
      <c r="C244" s="28" t="s">
        <v>718</v>
      </c>
      <c r="D244" s="28" t="s">
        <v>383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-85.857799999999997</v>
      </c>
      <c r="N244" s="30">
        <v>0.34429192982456142</v>
      </c>
      <c r="O244" s="29">
        <v>1</v>
      </c>
      <c r="R244" s="27">
        <v>152</v>
      </c>
      <c r="S244" s="28" t="s">
        <v>718</v>
      </c>
      <c r="T244" s="28" t="s">
        <v>383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-85.88</v>
      </c>
      <c r="AD244" s="30">
        <v>0.3443809523809524</v>
      </c>
      <c r="AE244" s="29">
        <v>1</v>
      </c>
    </row>
    <row r="245" spans="2:31" x14ac:dyDescent="0.2">
      <c r="B245" s="27">
        <v>152</v>
      </c>
      <c r="C245" s="28" t="s">
        <v>719</v>
      </c>
      <c r="D245" s="28" t="s">
        <v>385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58.11</v>
      </c>
      <c r="N245" s="30">
        <v>0.23302255639097744</v>
      </c>
      <c r="O245" s="29">
        <v>1</v>
      </c>
      <c r="R245" s="27">
        <v>152</v>
      </c>
      <c r="S245" s="28" t="s">
        <v>719</v>
      </c>
      <c r="T245" s="28" t="s">
        <v>385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42.1038</v>
      </c>
      <c r="AD245" s="30">
        <v>0.16883729323308272</v>
      </c>
      <c r="AE245" s="29">
        <v>1</v>
      </c>
    </row>
    <row r="246" spans="2:31" x14ac:dyDescent="0.2">
      <c r="B246" s="27">
        <v>155</v>
      </c>
      <c r="C246" s="28" t="s">
        <v>721</v>
      </c>
      <c r="D246" s="28" t="s">
        <v>383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-86.017799999999994</v>
      </c>
      <c r="N246" s="30">
        <v>0.34493353383458641</v>
      </c>
      <c r="O246" s="29">
        <v>1</v>
      </c>
      <c r="R246" s="27">
        <v>155</v>
      </c>
      <c r="S246" s="28" t="s">
        <v>721</v>
      </c>
      <c r="T246" s="28" t="s">
        <v>383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-86.024900000000002</v>
      </c>
      <c r="AD246" s="30">
        <v>0.34496200501253138</v>
      </c>
      <c r="AE246" s="29">
        <v>1</v>
      </c>
    </row>
    <row r="247" spans="2:31" x14ac:dyDescent="0.2">
      <c r="B247" s="27">
        <v>155</v>
      </c>
      <c r="C247" s="28" t="s">
        <v>722</v>
      </c>
      <c r="D247" s="28" t="s">
        <v>385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58.11</v>
      </c>
      <c r="N247" s="30">
        <v>0.23302255639097744</v>
      </c>
      <c r="O247" s="29">
        <v>1</v>
      </c>
      <c r="R247" s="27">
        <v>155</v>
      </c>
      <c r="S247" s="28" t="s">
        <v>722</v>
      </c>
      <c r="T247" s="28" t="s">
        <v>385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42.1038</v>
      </c>
      <c r="AD247" s="30">
        <v>0.16883729323308272</v>
      </c>
      <c r="AE247" s="29">
        <v>1</v>
      </c>
    </row>
    <row r="248" spans="2:31" x14ac:dyDescent="0.2">
      <c r="B248" s="27">
        <v>158</v>
      </c>
      <c r="C248" s="28" t="s">
        <v>724</v>
      </c>
      <c r="D248" s="28" t="s">
        <v>383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-86.006500000000003</v>
      </c>
      <c r="N248" s="30">
        <v>0.34488822055137847</v>
      </c>
      <c r="O248" s="29">
        <v>1</v>
      </c>
      <c r="R248" s="27">
        <v>158</v>
      </c>
      <c r="S248" s="28" t="s">
        <v>724</v>
      </c>
      <c r="T248" s="28" t="s">
        <v>383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-85.998199999999997</v>
      </c>
      <c r="AD248" s="30">
        <v>0.34485493734335837</v>
      </c>
      <c r="AE248" s="29">
        <v>1</v>
      </c>
    </row>
    <row r="249" spans="2:31" x14ac:dyDescent="0.2">
      <c r="B249" s="27">
        <v>158</v>
      </c>
      <c r="C249" s="28" t="s">
        <v>725</v>
      </c>
      <c r="D249" s="28" t="s">
        <v>385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58.11</v>
      </c>
      <c r="N249" s="30">
        <v>0.23302255639097744</v>
      </c>
      <c r="O249" s="29">
        <v>1</v>
      </c>
      <c r="R249" s="27">
        <v>158</v>
      </c>
      <c r="S249" s="28" t="s">
        <v>725</v>
      </c>
      <c r="T249" s="28" t="s">
        <v>385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42.1038</v>
      </c>
      <c r="AD249" s="30">
        <v>0.16883729323308272</v>
      </c>
      <c r="AE249" s="29">
        <v>1</v>
      </c>
    </row>
    <row r="250" spans="2:31" x14ac:dyDescent="0.2">
      <c r="B250" s="27">
        <v>161</v>
      </c>
      <c r="C250" s="28" t="s">
        <v>727</v>
      </c>
      <c r="D250" s="28" t="s">
        <v>383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-85.825699999999998</v>
      </c>
      <c r="N250" s="30">
        <v>0.34416320802005013</v>
      </c>
      <c r="O250" s="29">
        <v>1</v>
      </c>
      <c r="R250" s="27">
        <v>161</v>
      </c>
      <c r="S250" s="28" t="s">
        <v>727</v>
      </c>
      <c r="T250" s="28" t="s">
        <v>383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-85.801500000000004</v>
      </c>
      <c r="AD250" s="30">
        <v>0.34406616541353385</v>
      </c>
      <c r="AE250" s="29">
        <v>1</v>
      </c>
    </row>
    <row r="251" spans="2:31" x14ac:dyDescent="0.2">
      <c r="B251" s="27">
        <v>161</v>
      </c>
      <c r="C251" s="28" t="s">
        <v>728</v>
      </c>
      <c r="D251" s="28" t="s">
        <v>385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58.11</v>
      </c>
      <c r="N251" s="30">
        <v>0.23302255639097744</v>
      </c>
      <c r="O251" s="29">
        <v>1</v>
      </c>
      <c r="R251" s="27">
        <v>161</v>
      </c>
      <c r="S251" s="28" t="s">
        <v>728</v>
      </c>
      <c r="T251" s="28" t="s">
        <v>385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42.1038</v>
      </c>
      <c r="AD251" s="30">
        <v>0.16883729323308272</v>
      </c>
      <c r="AE251" s="29">
        <v>1</v>
      </c>
    </row>
    <row r="252" spans="2:31" x14ac:dyDescent="0.2">
      <c r="B252" s="27">
        <v>164</v>
      </c>
      <c r="C252" s="28" t="s">
        <v>730</v>
      </c>
      <c r="D252" s="28" t="s">
        <v>383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-68.648399999999995</v>
      </c>
      <c r="N252" s="30">
        <v>0.27528180451127815</v>
      </c>
      <c r="O252" s="29">
        <v>1</v>
      </c>
      <c r="R252" s="27">
        <v>164</v>
      </c>
      <c r="S252" s="28" t="s">
        <v>730</v>
      </c>
      <c r="T252" s="28" t="s">
        <v>383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-68.619100000000003</v>
      </c>
      <c r="AD252" s="30">
        <v>0.27516431077694237</v>
      </c>
      <c r="AE252" s="29">
        <v>1</v>
      </c>
    </row>
    <row r="253" spans="2:31" x14ac:dyDescent="0.2">
      <c r="B253" s="27">
        <v>164</v>
      </c>
      <c r="C253" s="28" t="s">
        <v>731</v>
      </c>
      <c r="D253" s="28" t="s">
        <v>385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58.11</v>
      </c>
      <c r="N253" s="30">
        <v>0.23302255639097744</v>
      </c>
      <c r="O253" s="29">
        <v>1</v>
      </c>
      <c r="R253" s="27">
        <v>164</v>
      </c>
      <c r="S253" s="28" t="s">
        <v>731</v>
      </c>
      <c r="T253" s="28" t="s">
        <v>385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42.1038</v>
      </c>
      <c r="AD253" s="30">
        <v>0.16883729323308272</v>
      </c>
      <c r="AE253" s="29">
        <v>1</v>
      </c>
    </row>
    <row r="254" spans="2:31" x14ac:dyDescent="0.2">
      <c r="B254" s="27">
        <v>172</v>
      </c>
      <c r="C254" s="28" t="s">
        <v>733</v>
      </c>
      <c r="D254" s="28" t="s">
        <v>383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-44.620100000000001</v>
      </c>
      <c r="N254" s="30">
        <v>0.17892771929824561</v>
      </c>
      <c r="O254" s="29">
        <v>1</v>
      </c>
      <c r="R254" s="27">
        <v>172</v>
      </c>
      <c r="S254" s="28" t="s">
        <v>733</v>
      </c>
      <c r="T254" s="28" t="s">
        <v>383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-44.687899999999999</v>
      </c>
      <c r="AD254" s="30">
        <v>0.17919959899749374</v>
      </c>
      <c r="AE254" s="29">
        <v>1</v>
      </c>
    </row>
    <row r="255" spans="2:31" x14ac:dyDescent="0.2">
      <c r="B255" s="27">
        <v>172</v>
      </c>
      <c r="C255" s="28" t="s">
        <v>734</v>
      </c>
      <c r="D255" s="28" t="s">
        <v>385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58.11</v>
      </c>
      <c r="N255" s="30">
        <v>0.23302255639097744</v>
      </c>
      <c r="O255" s="29">
        <v>1</v>
      </c>
      <c r="R255" s="27">
        <v>172</v>
      </c>
      <c r="S255" s="28" t="s">
        <v>734</v>
      </c>
      <c r="T255" s="28" t="s">
        <v>385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42.1038</v>
      </c>
      <c r="AD255" s="30">
        <v>0.16883729323308272</v>
      </c>
      <c r="AE255" s="29">
        <v>1</v>
      </c>
    </row>
    <row r="256" spans="2:31" x14ac:dyDescent="0.2">
      <c r="B256" s="27">
        <v>173</v>
      </c>
      <c r="C256" s="28" t="s">
        <v>736</v>
      </c>
      <c r="D256" s="28" t="s">
        <v>383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-42.113900000000001</v>
      </c>
      <c r="N256" s="30">
        <v>0.16887779448621554</v>
      </c>
      <c r="O256" s="29">
        <v>1</v>
      </c>
      <c r="R256" s="27">
        <v>173</v>
      </c>
      <c r="S256" s="28" t="s">
        <v>736</v>
      </c>
      <c r="T256" s="28" t="s">
        <v>383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-42.177300000000002</v>
      </c>
      <c r="AD256" s="30">
        <v>0.16913203007518798</v>
      </c>
      <c r="AE256" s="29">
        <v>1</v>
      </c>
    </row>
    <row r="257" spans="2:31" x14ac:dyDescent="0.2">
      <c r="B257" s="27">
        <v>173</v>
      </c>
      <c r="C257" s="28" t="s">
        <v>737</v>
      </c>
      <c r="D257" s="28" t="s">
        <v>385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58.11</v>
      </c>
      <c r="N257" s="30">
        <v>0.23302255639097744</v>
      </c>
      <c r="O257" s="29">
        <v>1</v>
      </c>
      <c r="R257" s="27">
        <v>173</v>
      </c>
      <c r="S257" s="28" t="s">
        <v>737</v>
      </c>
      <c r="T257" s="28" t="s">
        <v>385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42.1038</v>
      </c>
      <c r="AD257" s="30">
        <v>0.16883729323308272</v>
      </c>
      <c r="AE257" s="29">
        <v>1</v>
      </c>
    </row>
    <row r="258" spans="2:31" x14ac:dyDescent="0.2">
      <c r="B258" s="27">
        <v>174</v>
      </c>
      <c r="C258" s="28" t="s">
        <v>738</v>
      </c>
      <c r="D258" s="28" t="s">
        <v>383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-46.182299999999998</v>
      </c>
      <c r="N258" s="30">
        <v>0.18519218045112781</v>
      </c>
      <c r="O258" s="29">
        <v>1</v>
      </c>
      <c r="R258" s="27">
        <v>174</v>
      </c>
      <c r="S258" s="28" t="s">
        <v>738</v>
      </c>
      <c r="T258" s="28" t="s">
        <v>383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-46.242400000000004</v>
      </c>
      <c r="AD258" s="30">
        <v>0.1854331829573935</v>
      </c>
      <c r="AE258" s="29">
        <v>1</v>
      </c>
    </row>
    <row r="259" spans="2:31" x14ac:dyDescent="0.2">
      <c r="B259" s="27">
        <v>174</v>
      </c>
      <c r="C259" s="28" t="s">
        <v>739</v>
      </c>
      <c r="D259" s="28" t="s">
        <v>385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58.11</v>
      </c>
      <c r="N259" s="30">
        <v>0.23302255639097744</v>
      </c>
      <c r="O259" s="29">
        <v>1</v>
      </c>
      <c r="R259" s="27">
        <v>174</v>
      </c>
      <c r="S259" s="28" t="s">
        <v>739</v>
      </c>
      <c r="T259" s="28" t="s">
        <v>385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42.1038</v>
      </c>
      <c r="AD259" s="30">
        <v>0.16883729323308272</v>
      </c>
      <c r="AE259" s="29">
        <v>1</v>
      </c>
    </row>
    <row r="260" spans="2:31" x14ac:dyDescent="0.2">
      <c r="B260" s="27">
        <v>175</v>
      </c>
      <c r="C260" s="28" t="s">
        <v>740</v>
      </c>
      <c r="D260" s="28" t="s">
        <v>383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-45.362499999999997</v>
      </c>
      <c r="N260" s="30">
        <v>0.1819047619047619</v>
      </c>
      <c r="O260" s="29">
        <v>1</v>
      </c>
      <c r="R260" s="27">
        <v>175</v>
      </c>
      <c r="S260" s="28" t="s">
        <v>740</v>
      </c>
      <c r="T260" s="28" t="s">
        <v>383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-45.427399999999999</v>
      </c>
      <c r="AD260" s="30">
        <v>0.18216501253132833</v>
      </c>
      <c r="AE260" s="29">
        <v>1</v>
      </c>
    </row>
    <row r="261" spans="2:31" x14ac:dyDescent="0.2">
      <c r="B261" s="27">
        <v>175</v>
      </c>
      <c r="C261" s="28" t="s">
        <v>741</v>
      </c>
      <c r="D261" s="28" t="s">
        <v>385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58.11</v>
      </c>
      <c r="N261" s="30">
        <v>0.23302255639097744</v>
      </c>
      <c r="O261" s="29">
        <v>1</v>
      </c>
      <c r="R261" s="27">
        <v>175</v>
      </c>
      <c r="S261" s="28" t="s">
        <v>741</v>
      </c>
      <c r="T261" s="28" t="s">
        <v>385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42.1038</v>
      </c>
      <c r="AD261" s="30">
        <v>0.16883729323308272</v>
      </c>
      <c r="AE261" s="29">
        <v>1</v>
      </c>
    </row>
    <row r="262" spans="2:31" x14ac:dyDescent="0.2">
      <c r="B262" s="27">
        <v>176</v>
      </c>
      <c r="C262" s="28" t="s">
        <v>743</v>
      </c>
      <c r="D262" s="28" t="s">
        <v>383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-43.346499999999999</v>
      </c>
      <c r="N262" s="30">
        <v>0.17382055137844613</v>
      </c>
      <c r="O262" s="29">
        <v>1</v>
      </c>
      <c r="R262" s="27">
        <v>176</v>
      </c>
      <c r="S262" s="28" t="s">
        <v>743</v>
      </c>
      <c r="T262" s="28" t="s">
        <v>383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-43.4146</v>
      </c>
      <c r="AD262" s="30">
        <v>0.17409363408521303</v>
      </c>
      <c r="AE262" s="29">
        <v>1</v>
      </c>
    </row>
    <row r="263" spans="2:31" x14ac:dyDescent="0.2">
      <c r="B263" s="27">
        <v>176</v>
      </c>
      <c r="C263" s="28" t="s">
        <v>744</v>
      </c>
      <c r="D263" s="28" t="s">
        <v>385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58.11</v>
      </c>
      <c r="N263" s="30">
        <v>0.23302255639097744</v>
      </c>
      <c r="O263" s="29">
        <v>1</v>
      </c>
      <c r="R263" s="27">
        <v>176</v>
      </c>
      <c r="S263" s="28" t="s">
        <v>744</v>
      </c>
      <c r="T263" s="28" t="s">
        <v>385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42.1038</v>
      </c>
      <c r="AD263" s="30">
        <v>0.16883729323308272</v>
      </c>
      <c r="AE263" s="29">
        <v>1</v>
      </c>
    </row>
    <row r="264" spans="2:31" x14ac:dyDescent="0.2">
      <c r="B264" s="27">
        <v>150</v>
      </c>
      <c r="C264" s="28" t="s">
        <v>746</v>
      </c>
      <c r="D264" s="28" t="s">
        <v>383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-67.819999999999993</v>
      </c>
      <c r="N264" s="30">
        <v>0.27195989974937346</v>
      </c>
      <c r="O264" s="29">
        <v>1</v>
      </c>
      <c r="R264" s="27">
        <v>150</v>
      </c>
      <c r="S264" s="28" t="s">
        <v>746</v>
      </c>
      <c r="T264" s="28" t="s">
        <v>383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-67.853099999999998</v>
      </c>
      <c r="AD264" s="30">
        <v>0.27209263157894731</v>
      </c>
      <c r="AE264" s="29">
        <v>1</v>
      </c>
    </row>
    <row r="265" spans="2:31" x14ac:dyDescent="0.2">
      <c r="B265" s="27">
        <v>150</v>
      </c>
      <c r="C265" s="28" t="s">
        <v>747</v>
      </c>
      <c r="D265" s="28" t="s">
        <v>385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58.11</v>
      </c>
      <c r="N265" s="30">
        <v>0.23302255639097744</v>
      </c>
      <c r="O265" s="29">
        <v>1</v>
      </c>
      <c r="R265" s="27">
        <v>150</v>
      </c>
      <c r="S265" s="28" t="s">
        <v>747</v>
      </c>
      <c r="T265" s="28" t="s">
        <v>385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41.491100000000003</v>
      </c>
      <c r="AD265" s="30">
        <v>0.166380350877193</v>
      </c>
      <c r="AE265" s="29">
        <v>1</v>
      </c>
    </row>
    <row r="266" spans="2:31" x14ac:dyDescent="0.2">
      <c r="B266" s="27">
        <v>153</v>
      </c>
      <c r="C266" s="28" t="s">
        <v>749</v>
      </c>
      <c r="D266" s="28" t="s">
        <v>383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-90.4071</v>
      </c>
      <c r="N266" s="30">
        <v>0.3625347368421053</v>
      </c>
      <c r="O266" s="29">
        <v>1</v>
      </c>
      <c r="R266" s="27">
        <v>153</v>
      </c>
      <c r="S266" s="28" t="s">
        <v>749</v>
      </c>
      <c r="T266" s="28" t="s">
        <v>383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-90.428200000000004</v>
      </c>
      <c r="AD266" s="30">
        <v>0.3626193483709273</v>
      </c>
      <c r="AE266" s="29">
        <v>1</v>
      </c>
    </row>
    <row r="267" spans="2:31" x14ac:dyDescent="0.2">
      <c r="B267" s="27">
        <v>153</v>
      </c>
      <c r="C267" s="28" t="s">
        <v>750</v>
      </c>
      <c r="D267" s="28" t="s">
        <v>385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57.417000000000002</v>
      </c>
      <c r="N267" s="30">
        <v>0.23024360902255639</v>
      </c>
      <c r="O267" s="29">
        <v>1</v>
      </c>
      <c r="R267" s="27">
        <v>153</v>
      </c>
      <c r="S267" s="28" t="s">
        <v>750</v>
      </c>
      <c r="T267" s="28" t="s">
        <v>385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41.491100000000003</v>
      </c>
      <c r="AD267" s="30">
        <v>0.166380350877193</v>
      </c>
      <c r="AE267" s="29">
        <v>1</v>
      </c>
    </row>
    <row r="268" spans="2:31" x14ac:dyDescent="0.2">
      <c r="B268" s="27">
        <v>156</v>
      </c>
      <c r="C268" s="28" t="s">
        <v>752</v>
      </c>
      <c r="D268" s="28" t="s">
        <v>383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-85.206699999999998</v>
      </c>
      <c r="N268" s="30">
        <v>0.34168100250626565</v>
      </c>
      <c r="O268" s="29">
        <v>1</v>
      </c>
      <c r="R268" s="27">
        <v>156</v>
      </c>
      <c r="S268" s="28" t="s">
        <v>752</v>
      </c>
      <c r="T268" s="28" t="s">
        <v>383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-85.212299999999999</v>
      </c>
      <c r="AD268" s="30">
        <v>0.34170345864661655</v>
      </c>
      <c r="AE268" s="29">
        <v>1</v>
      </c>
    </row>
    <row r="269" spans="2:31" x14ac:dyDescent="0.2">
      <c r="B269" s="27">
        <v>156</v>
      </c>
      <c r="C269" s="28" t="s">
        <v>753</v>
      </c>
      <c r="D269" s="28" t="s">
        <v>385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57.417000000000002</v>
      </c>
      <c r="N269" s="30">
        <v>0.23024360902255639</v>
      </c>
      <c r="O269" s="29">
        <v>1</v>
      </c>
      <c r="R269" s="27">
        <v>156</v>
      </c>
      <c r="S269" s="28" t="s">
        <v>753</v>
      </c>
      <c r="T269" s="28" t="s">
        <v>385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52.840899999999998</v>
      </c>
      <c r="AD269" s="30">
        <v>0.21189333333333332</v>
      </c>
      <c r="AE269" s="29">
        <v>1</v>
      </c>
    </row>
    <row r="270" spans="2:31" x14ac:dyDescent="0.2">
      <c r="B270" s="27">
        <v>159</v>
      </c>
      <c r="C270" s="28" t="s">
        <v>755</v>
      </c>
      <c r="D270" s="28" t="s">
        <v>383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-85.195099999999996</v>
      </c>
      <c r="N270" s="30">
        <v>0.34163448621553882</v>
      </c>
      <c r="O270" s="29">
        <v>1</v>
      </c>
      <c r="R270" s="27">
        <v>159</v>
      </c>
      <c r="S270" s="28" t="s">
        <v>755</v>
      </c>
      <c r="T270" s="28" t="s">
        <v>383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-85.1875</v>
      </c>
      <c r="AD270" s="30">
        <v>0.34160401002506263</v>
      </c>
      <c r="AE270" s="29">
        <v>1</v>
      </c>
    </row>
    <row r="271" spans="2:31" x14ac:dyDescent="0.2">
      <c r="B271" s="27">
        <v>159</v>
      </c>
      <c r="C271" s="28" t="s">
        <v>756</v>
      </c>
      <c r="D271" s="28" t="s">
        <v>385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57.417000000000002</v>
      </c>
      <c r="N271" s="30">
        <v>0.23024360902255639</v>
      </c>
      <c r="O271" s="29">
        <v>1</v>
      </c>
      <c r="R271" s="27">
        <v>159</v>
      </c>
      <c r="S271" s="28" t="s">
        <v>756</v>
      </c>
      <c r="T271" s="28" t="s">
        <v>385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52.866900000000001</v>
      </c>
      <c r="AD271" s="30">
        <v>0.2119975939849624</v>
      </c>
      <c r="AE271" s="29">
        <v>1</v>
      </c>
    </row>
    <row r="272" spans="2:31" x14ac:dyDescent="0.2">
      <c r="B272" s="27">
        <v>162</v>
      </c>
      <c r="C272" s="28" t="s">
        <v>758</v>
      </c>
      <c r="D272" s="28" t="s">
        <v>383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-90.375699999999995</v>
      </c>
      <c r="N272" s="30">
        <v>0.36240882205513786</v>
      </c>
      <c r="O272" s="29">
        <v>1</v>
      </c>
      <c r="R272" s="27">
        <v>162</v>
      </c>
      <c r="S272" s="28" t="s">
        <v>758</v>
      </c>
      <c r="T272" s="28" t="s">
        <v>383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-90.352199999999996</v>
      </c>
      <c r="AD272" s="30">
        <v>0.36231458646616538</v>
      </c>
      <c r="AE272" s="29">
        <v>1</v>
      </c>
    </row>
    <row r="273" spans="2:31" x14ac:dyDescent="0.2">
      <c r="B273" s="27">
        <v>162</v>
      </c>
      <c r="C273" s="28" t="s">
        <v>759</v>
      </c>
      <c r="D273" s="28" t="s">
        <v>385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57.449100000000001</v>
      </c>
      <c r="N273" s="30">
        <v>0.23037233082706765</v>
      </c>
      <c r="O273" s="29">
        <v>1</v>
      </c>
      <c r="R273" s="27">
        <v>162</v>
      </c>
      <c r="S273" s="28" t="s">
        <v>759</v>
      </c>
      <c r="T273" s="28" t="s">
        <v>385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52.866900000000001</v>
      </c>
      <c r="AD273" s="30">
        <v>0.2119975939849624</v>
      </c>
      <c r="AE273" s="29">
        <v>1</v>
      </c>
    </row>
    <row r="274" spans="2:31" x14ac:dyDescent="0.2">
      <c r="B274" s="27">
        <v>165</v>
      </c>
      <c r="C274" s="28" t="s">
        <v>761</v>
      </c>
      <c r="D274" s="28" t="s">
        <v>383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-67.782499999999999</v>
      </c>
      <c r="N274" s="30">
        <v>0.27180952380952383</v>
      </c>
      <c r="O274" s="29">
        <v>1</v>
      </c>
      <c r="R274" s="27">
        <v>165</v>
      </c>
      <c r="S274" s="28" t="s">
        <v>761</v>
      </c>
      <c r="T274" s="28" t="s">
        <v>383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-67.745500000000007</v>
      </c>
      <c r="AD274" s="30">
        <v>0.27166115288220549</v>
      </c>
      <c r="AE274" s="29">
        <v>1</v>
      </c>
    </row>
    <row r="275" spans="2:31" x14ac:dyDescent="0.2">
      <c r="B275" s="27">
        <v>165</v>
      </c>
      <c r="C275" s="28" t="s">
        <v>762</v>
      </c>
      <c r="D275" s="28" t="s">
        <v>385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57.449100000000001</v>
      </c>
      <c r="N275" s="30">
        <v>0.23037233082706765</v>
      </c>
      <c r="O275" s="29">
        <v>1</v>
      </c>
      <c r="R275" s="27">
        <v>165</v>
      </c>
      <c r="S275" s="28" t="s">
        <v>762</v>
      </c>
      <c r="T275" s="28" t="s">
        <v>385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41.5398</v>
      </c>
      <c r="AD275" s="30">
        <v>0.16657563909774437</v>
      </c>
      <c r="AE275" s="29">
        <v>1</v>
      </c>
    </row>
    <row r="276" spans="2:31" x14ac:dyDescent="0.2">
      <c r="B276" s="27">
        <v>177</v>
      </c>
      <c r="C276" s="28" t="s">
        <v>764</v>
      </c>
      <c r="D276" s="28" t="s">
        <v>383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-44.295099999999998</v>
      </c>
      <c r="N276" s="30">
        <v>0.17762446115288219</v>
      </c>
      <c r="O276" s="29">
        <v>1</v>
      </c>
      <c r="R276" s="27">
        <v>177</v>
      </c>
      <c r="S276" s="28" t="s">
        <v>764</v>
      </c>
      <c r="T276" s="28" t="s">
        <v>383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-44.389200000000002</v>
      </c>
      <c r="AD276" s="30">
        <v>0.1780018045112782</v>
      </c>
      <c r="AE276" s="29">
        <v>1</v>
      </c>
    </row>
    <row r="277" spans="2:31" x14ac:dyDescent="0.2">
      <c r="B277" s="27">
        <v>177</v>
      </c>
      <c r="C277" s="28" t="s">
        <v>765</v>
      </c>
      <c r="D277" s="28" t="s">
        <v>385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57.449100000000001</v>
      </c>
      <c r="N277" s="30">
        <v>0.23037233082706765</v>
      </c>
      <c r="O277" s="29">
        <v>1</v>
      </c>
      <c r="R277" s="27">
        <v>177</v>
      </c>
      <c r="S277" s="28" t="s">
        <v>765</v>
      </c>
      <c r="T277" s="28" t="s">
        <v>385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41.5398</v>
      </c>
      <c r="AD277" s="30">
        <v>0.16657563909774437</v>
      </c>
      <c r="AE277" s="29">
        <v>1</v>
      </c>
    </row>
    <row r="278" spans="2:31" x14ac:dyDescent="0.2">
      <c r="B278" s="27">
        <v>178</v>
      </c>
      <c r="C278" s="28" t="s">
        <v>767</v>
      </c>
      <c r="D278" s="28" t="s">
        <v>383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-42.158099999999997</v>
      </c>
      <c r="N278" s="30">
        <v>0.16905503759398496</v>
      </c>
      <c r="O278" s="29">
        <v>1</v>
      </c>
      <c r="R278" s="27">
        <v>178</v>
      </c>
      <c r="S278" s="28" t="s">
        <v>767</v>
      </c>
      <c r="T278" s="28" t="s">
        <v>383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-42.246099999999998</v>
      </c>
      <c r="AD278" s="30">
        <v>0.16940791979949874</v>
      </c>
      <c r="AE278" s="29">
        <v>1</v>
      </c>
    </row>
    <row r="279" spans="2:31" x14ac:dyDescent="0.2">
      <c r="B279" s="27">
        <v>178</v>
      </c>
      <c r="C279" s="28" t="s">
        <v>768</v>
      </c>
      <c r="D279" s="28" t="s">
        <v>385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57.449100000000001</v>
      </c>
      <c r="N279" s="30">
        <v>0.23037233082706765</v>
      </c>
      <c r="O279" s="29">
        <v>1</v>
      </c>
      <c r="R279" s="27">
        <v>178</v>
      </c>
      <c r="S279" s="28" t="s">
        <v>768</v>
      </c>
      <c r="T279" s="28" t="s">
        <v>385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41.5398</v>
      </c>
      <c r="AD279" s="30">
        <v>0.16657563909774437</v>
      </c>
      <c r="AE279" s="29">
        <v>1</v>
      </c>
    </row>
    <row r="280" spans="2:31" x14ac:dyDescent="0.2">
      <c r="B280" s="27">
        <v>179</v>
      </c>
      <c r="C280" s="28" t="s">
        <v>769</v>
      </c>
      <c r="D280" s="28" t="s">
        <v>383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-46.0107</v>
      </c>
      <c r="N280" s="30">
        <v>0.18450406015037593</v>
      </c>
      <c r="O280" s="29">
        <v>1</v>
      </c>
      <c r="R280" s="27">
        <v>179</v>
      </c>
      <c r="S280" s="28" t="s">
        <v>769</v>
      </c>
      <c r="T280" s="28" t="s">
        <v>383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-46.094900000000003</v>
      </c>
      <c r="AD280" s="30">
        <v>0.18484170426065163</v>
      </c>
      <c r="AE280" s="29">
        <v>1</v>
      </c>
    </row>
    <row r="281" spans="2:31" x14ac:dyDescent="0.2">
      <c r="B281" s="27">
        <v>179</v>
      </c>
      <c r="C281" s="28" t="s">
        <v>770</v>
      </c>
      <c r="D281" s="28" t="s">
        <v>385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57.449100000000001</v>
      </c>
      <c r="N281" s="30">
        <v>0.23037233082706765</v>
      </c>
      <c r="O281" s="29">
        <v>1</v>
      </c>
      <c r="R281" s="27">
        <v>179</v>
      </c>
      <c r="S281" s="28" t="s">
        <v>770</v>
      </c>
      <c r="T281" s="28" t="s">
        <v>385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41.5398</v>
      </c>
      <c r="AD281" s="30">
        <v>0.16657563909774437</v>
      </c>
      <c r="AE281" s="29">
        <v>1</v>
      </c>
    </row>
    <row r="282" spans="2:31" x14ac:dyDescent="0.2">
      <c r="B282" s="27">
        <v>180</v>
      </c>
      <c r="C282" s="28" t="s">
        <v>771</v>
      </c>
      <c r="D282" s="28" t="s">
        <v>383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-45.095300000000002</v>
      </c>
      <c r="N282" s="30">
        <v>0.18083328320802006</v>
      </c>
      <c r="O282" s="29">
        <v>1</v>
      </c>
      <c r="R282" s="27">
        <v>180</v>
      </c>
      <c r="S282" s="28" t="s">
        <v>771</v>
      </c>
      <c r="T282" s="28" t="s">
        <v>383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-45.185099999999998</v>
      </c>
      <c r="AD282" s="30">
        <v>0.18119338345864661</v>
      </c>
      <c r="AE282" s="29">
        <v>1</v>
      </c>
    </row>
    <row r="283" spans="2:31" x14ac:dyDescent="0.2">
      <c r="B283" s="27">
        <v>180</v>
      </c>
      <c r="C283" s="28" t="s">
        <v>772</v>
      </c>
      <c r="D283" s="28" t="s">
        <v>385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57.449100000000001</v>
      </c>
      <c r="N283" s="30">
        <v>0.23037233082706765</v>
      </c>
      <c r="O283" s="29">
        <v>1</v>
      </c>
      <c r="R283" s="27">
        <v>180</v>
      </c>
      <c r="S283" s="28" t="s">
        <v>772</v>
      </c>
      <c r="T283" s="28" t="s">
        <v>385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41.5398</v>
      </c>
      <c r="AD283" s="30">
        <v>0.16657563909774437</v>
      </c>
      <c r="AE283" s="29">
        <v>1</v>
      </c>
    </row>
    <row r="284" spans="2:31" x14ac:dyDescent="0.2">
      <c r="B284" s="27">
        <v>181</v>
      </c>
      <c r="C284" s="28" t="s">
        <v>774</v>
      </c>
      <c r="D284" s="28" t="s">
        <v>383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-43.3718</v>
      </c>
      <c r="N284" s="30">
        <v>0.17392200501253133</v>
      </c>
      <c r="O284" s="29">
        <v>1</v>
      </c>
      <c r="R284" s="27">
        <v>181</v>
      </c>
      <c r="S284" s="28" t="s">
        <v>774</v>
      </c>
      <c r="T284" s="28" t="s">
        <v>383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-43.463700000000003</v>
      </c>
      <c r="AD284" s="30">
        <v>0.17429052631578948</v>
      </c>
      <c r="AE284" s="29">
        <v>1</v>
      </c>
    </row>
    <row r="285" spans="2:31" x14ac:dyDescent="0.2">
      <c r="B285" s="27">
        <v>181</v>
      </c>
      <c r="C285" s="28" t="s">
        <v>775</v>
      </c>
      <c r="D285" s="28" t="s">
        <v>385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57.449100000000001</v>
      </c>
      <c r="N285" s="30">
        <v>0.23037233082706765</v>
      </c>
      <c r="O285" s="29">
        <v>1</v>
      </c>
      <c r="R285" s="27">
        <v>181</v>
      </c>
      <c r="S285" s="28" t="s">
        <v>775</v>
      </c>
      <c r="T285" s="28" t="s">
        <v>385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41.5398</v>
      </c>
      <c r="AD285" s="30">
        <v>0.16657563909774437</v>
      </c>
      <c r="AE285" s="29">
        <v>1</v>
      </c>
    </row>
    <row r="286" spans="2:31" x14ac:dyDescent="0.2">
      <c r="B286" s="27">
        <v>151</v>
      </c>
      <c r="C286" s="28" t="s">
        <v>777</v>
      </c>
      <c r="D286" s="28" t="s">
        <v>383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-69.107799999999997</v>
      </c>
      <c r="N286" s="30">
        <v>0.27712401002506265</v>
      </c>
      <c r="O286" s="29">
        <v>1</v>
      </c>
      <c r="R286" s="27">
        <v>151</v>
      </c>
      <c r="S286" s="28" t="s">
        <v>777</v>
      </c>
      <c r="T286" s="28" t="s">
        <v>383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-69.147099999999995</v>
      </c>
      <c r="AD286" s="30">
        <v>0.27728160401002505</v>
      </c>
      <c r="AE286" s="29">
        <v>1</v>
      </c>
    </row>
    <row r="287" spans="2:31" x14ac:dyDescent="0.2">
      <c r="B287" s="27">
        <v>151</v>
      </c>
      <c r="C287" s="28" t="s">
        <v>778</v>
      </c>
      <c r="D287" s="28" t="s">
        <v>385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57.449100000000001</v>
      </c>
      <c r="N287" s="30">
        <v>0.23037233082706765</v>
      </c>
      <c r="O287" s="29">
        <v>1</v>
      </c>
      <c r="R287" s="27">
        <v>151</v>
      </c>
      <c r="S287" s="28" t="s">
        <v>778</v>
      </c>
      <c r="T287" s="28" t="s">
        <v>385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41.5398</v>
      </c>
      <c r="AD287" s="30">
        <v>0.16657563909774437</v>
      </c>
      <c r="AE287" s="29">
        <v>1</v>
      </c>
    </row>
    <row r="288" spans="2:31" x14ac:dyDescent="0.2">
      <c r="B288" s="27">
        <v>154</v>
      </c>
      <c r="C288" s="28" t="s">
        <v>780</v>
      </c>
      <c r="D288" s="28" t="s">
        <v>383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-89.525599999999997</v>
      </c>
      <c r="N288" s="30">
        <v>0.35899989974937341</v>
      </c>
      <c r="O288" s="29">
        <v>1</v>
      </c>
      <c r="R288" s="27">
        <v>154</v>
      </c>
      <c r="S288" s="28" t="s">
        <v>780</v>
      </c>
      <c r="T288" s="28" t="s">
        <v>383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-89.547200000000004</v>
      </c>
      <c r="AD288" s="30">
        <v>0.3590865162907268</v>
      </c>
      <c r="AE288" s="29">
        <v>1</v>
      </c>
    </row>
    <row r="289" spans="2:31" x14ac:dyDescent="0.2">
      <c r="B289" s="27">
        <v>154</v>
      </c>
      <c r="C289" s="28" t="s">
        <v>781</v>
      </c>
      <c r="D289" s="28" t="s">
        <v>385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57.449100000000001</v>
      </c>
      <c r="N289" s="30">
        <v>0.23037233082706765</v>
      </c>
      <c r="O289" s="29">
        <v>1</v>
      </c>
      <c r="R289" s="27">
        <v>154</v>
      </c>
      <c r="S289" s="28" t="s">
        <v>781</v>
      </c>
      <c r="T289" s="28" t="s">
        <v>385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41.5398</v>
      </c>
      <c r="AD289" s="30">
        <v>0.16657563909774437</v>
      </c>
      <c r="AE289" s="29">
        <v>1</v>
      </c>
    </row>
    <row r="290" spans="2:31" x14ac:dyDescent="0.2">
      <c r="B290" s="27">
        <v>157</v>
      </c>
      <c r="C290" s="28" t="s">
        <v>783</v>
      </c>
      <c r="D290" s="28" t="s">
        <v>383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-85.051299999999998</v>
      </c>
      <c r="N290" s="30">
        <v>0.34105784461152883</v>
      </c>
      <c r="O290" s="29">
        <v>1</v>
      </c>
      <c r="R290" s="27">
        <v>157</v>
      </c>
      <c r="S290" s="28" t="s">
        <v>783</v>
      </c>
      <c r="T290" s="28" t="s">
        <v>383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-85.0565</v>
      </c>
      <c r="AD290" s="30">
        <v>0.34107869674185465</v>
      </c>
      <c r="AE290" s="29">
        <v>1</v>
      </c>
    </row>
    <row r="291" spans="2:31" x14ac:dyDescent="0.2">
      <c r="B291" s="27">
        <v>157</v>
      </c>
      <c r="C291" s="28" t="s">
        <v>784</v>
      </c>
      <c r="D291" s="28" t="s">
        <v>385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57.449100000000001</v>
      </c>
      <c r="N291" s="30">
        <v>0.23037233082706765</v>
      </c>
      <c r="O291" s="29">
        <v>1</v>
      </c>
      <c r="R291" s="27">
        <v>157</v>
      </c>
      <c r="S291" s="28" t="s">
        <v>784</v>
      </c>
      <c r="T291" s="28" t="s">
        <v>385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41.5398</v>
      </c>
      <c r="AD291" s="30">
        <v>0.16657563909774437</v>
      </c>
      <c r="AE291" s="29">
        <v>1</v>
      </c>
    </row>
    <row r="292" spans="2:31" x14ac:dyDescent="0.2">
      <c r="B292" s="27">
        <v>160</v>
      </c>
      <c r="C292" s="28" t="s">
        <v>786</v>
      </c>
      <c r="D292" s="28" t="s">
        <v>383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-85.039500000000004</v>
      </c>
      <c r="N292" s="30">
        <v>0.34101052631578949</v>
      </c>
      <c r="O292" s="29">
        <v>1</v>
      </c>
      <c r="R292" s="27">
        <v>160</v>
      </c>
      <c r="S292" s="28" t="s">
        <v>786</v>
      </c>
      <c r="T292" s="28" t="s">
        <v>383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-85.032499999999999</v>
      </c>
      <c r="AD292" s="30">
        <v>0.34098245614035089</v>
      </c>
      <c r="AE292" s="29">
        <v>1</v>
      </c>
    </row>
    <row r="293" spans="2:31" x14ac:dyDescent="0.2">
      <c r="B293" s="27">
        <v>160</v>
      </c>
      <c r="C293" s="28" t="s">
        <v>787</v>
      </c>
      <c r="D293" s="28" t="s">
        <v>385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57.449100000000001</v>
      </c>
      <c r="N293" s="30">
        <v>0.23037233082706765</v>
      </c>
      <c r="O293" s="29">
        <v>1</v>
      </c>
      <c r="R293" s="27">
        <v>160</v>
      </c>
      <c r="S293" s="28" t="s">
        <v>787</v>
      </c>
      <c r="T293" s="28" t="s">
        <v>385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41.5398</v>
      </c>
      <c r="AD293" s="30">
        <v>0.16657563909774437</v>
      </c>
      <c r="AE293" s="29">
        <v>1</v>
      </c>
    </row>
    <row r="294" spans="2:31" x14ac:dyDescent="0.2">
      <c r="B294" s="27">
        <v>163</v>
      </c>
      <c r="C294" s="28" t="s">
        <v>789</v>
      </c>
      <c r="D294" s="28" t="s">
        <v>383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-89.489699999999999</v>
      </c>
      <c r="N294" s="30">
        <v>0.35885593984962405</v>
      </c>
      <c r="O294" s="29">
        <v>1</v>
      </c>
      <c r="R294" s="27">
        <v>163</v>
      </c>
      <c r="S294" s="28" t="s">
        <v>789</v>
      </c>
      <c r="T294" s="28" t="s">
        <v>383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-89.465999999999994</v>
      </c>
      <c r="AD294" s="30">
        <v>0.35876090225563911</v>
      </c>
      <c r="AE294" s="29">
        <v>1</v>
      </c>
    </row>
    <row r="295" spans="2:31" x14ac:dyDescent="0.2">
      <c r="B295" s="27">
        <v>163</v>
      </c>
      <c r="C295" s="28" t="s">
        <v>790</v>
      </c>
      <c r="D295" s="28" t="s">
        <v>385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57.449100000000001</v>
      </c>
      <c r="N295" s="30">
        <v>0.23037233082706765</v>
      </c>
      <c r="O295" s="29">
        <v>1</v>
      </c>
      <c r="R295" s="27">
        <v>163</v>
      </c>
      <c r="S295" s="28" t="s">
        <v>790</v>
      </c>
      <c r="T295" s="28" t="s">
        <v>385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41.5398</v>
      </c>
      <c r="AD295" s="30">
        <v>0.16657563909774437</v>
      </c>
      <c r="AE295" s="29">
        <v>1</v>
      </c>
    </row>
    <row r="296" spans="2:31" x14ac:dyDescent="0.2">
      <c r="B296" s="27">
        <v>166</v>
      </c>
      <c r="C296" s="28" t="s">
        <v>792</v>
      </c>
      <c r="D296" s="28" t="s">
        <v>383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-69.062100000000001</v>
      </c>
      <c r="N296" s="30">
        <v>0.2769407518796993</v>
      </c>
      <c r="O296" s="29">
        <v>1</v>
      </c>
      <c r="R296" s="27">
        <v>166</v>
      </c>
      <c r="S296" s="28" t="s">
        <v>792</v>
      </c>
      <c r="T296" s="28" t="s">
        <v>383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-69.021199999999993</v>
      </c>
      <c r="AD296" s="30">
        <v>0.27677674185463658</v>
      </c>
      <c r="AE296" s="29">
        <v>1</v>
      </c>
    </row>
    <row r="297" spans="2:31" x14ac:dyDescent="0.2">
      <c r="B297" s="27">
        <v>166</v>
      </c>
      <c r="C297" s="28" t="s">
        <v>793</v>
      </c>
      <c r="D297" s="28" t="s">
        <v>385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57.449100000000001</v>
      </c>
      <c r="N297" s="30">
        <v>0.23037233082706765</v>
      </c>
      <c r="O297" s="29">
        <v>1</v>
      </c>
      <c r="R297" s="27">
        <v>166</v>
      </c>
      <c r="S297" s="28" t="s">
        <v>793</v>
      </c>
      <c r="T297" s="28" t="s">
        <v>385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41.5398</v>
      </c>
      <c r="AD297" s="30">
        <v>0.16657563909774437</v>
      </c>
      <c r="AE297" s="29">
        <v>1</v>
      </c>
    </row>
    <row r="298" spans="2:31" x14ac:dyDescent="0.2">
      <c r="B298" s="27">
        <v>182</v>
      </c>
      <c r="C298" s="28" t="s">
        <v>795</v>
      </c>
      <c r="D298" s="28" t="s">
        <v>383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-34.334000000000003</v>
      </c>
      <c r="N298" s="30">
        <v>0.13768020050125312</v>
      </c>
      <c r="O298" s="29">
        <v>1</v>
      </c>
      <c r="R298" s="27">
        <v>182</v>
      </c>
      <c r="S298" s="28" t="s">
        <v>795</v>
      </c>
      <c r="T298" s="28" t="s">
        <v>383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-34.416400000000003</v>
      </c>
      <c r="AD298" s="30">
        <v>0.13801062656641605</v>
      </c>
      <c r="AE298" s="29">
        <v>1</v>
      </c>
    </row>
    <row r="299" spans="2:31" x14ac:dyDescent="0.2">
      <c r="B299" s="27">
        <v>182</v>
      </c>
      <c r="C299" s="28" t="s">
        <v>796</v>
      </c>
      <c r="D299" s="28" t="s">
        <v>385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57.449100000000001</v>
      </c>
      <c r="N299" s="30">
        <v>0.23037233082706765</v>
      </c>
      <c r="O299" s="29">
        <v>1</v>
      </c>
      <c r="R299" s="27">
        <v>182</v>
      </c>
      <c r="S299" s="28" t="s">
        <v>796</v>
      </c>
      <c r="T299" s="28" t="s">
        <v>385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41.5398</v>
      </c>
      <c r="AD299" s="30">
        <v>0.16657563909774437</v>
      </c>
      <c r="AE299" s="29">
        <v>1</v>
      </c>
    </row>
    <row r="300" spans="2:31" x14ac:dyDescent="0.2">
      <c r="B300" s="27">
        <v>183</v>
      </c>
      <c r="C300" s="28" t="s">
        <v>798</v>
      </c>
      <c r="D300" s="28" t="s">
        <v>383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-37.050400000000003</v>
      </c>
      <c r="N300" s="30">
        <v>0.14857303258145363</v>
      </c>
      <c r="O300" s="29">
        <v>1</v>
      </c>
      <c r="R300" s="27">
        <v>183</v>
      </c>
      <c r="S300" s="28" t="s">
        <v>798</v>
      </c>
      <c r="T300" s="28" t="s">
        <v>383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-37.145000000000003</v>
      </c>
      <c r="AD300" s="30">
        <v>0.14895238095238095</v>
      </c>
      <c r="AE300" s="29">
        <v>1</v>
      </c>
    </row>
    <row r="301" spans="2:31" x14ac:dyDescent="0.2">
      <c r="B301" s="27">
        <v>183</v>
      </c>
      <c r="C301" s="28" t="s">
        <v>799</v>
      </c>
      <c r="D301" s="28" t="s">
        <v>385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57.449100000000001</v>
      </c>
      <c r="N301" s="30">
        <v>0.23037233082706765</v>
      </c>
      <c r="O301" s="29">
        <v>1</v>
      </c>
      <c r="R301" s="27">
        <v>183</v>
      </c>
      <c r="S301" s="28" t="s">
        <v>799</v>
      </c>
      <c r="T301" s="28" t="s">
        <v>385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41.5398</v>
      </c>
      <c r="AD301" s="30">
        <v>0.16657563909774437</v>
      </c>
      <c r="AE301" s="29">
        <v>1</v>
      </c>
    </row>
    <row r="302" spans="2:31" x14ac:dyDescent="0.2">
      <c r="B302" s="27">
        <v>184</v>
      </c>
      <c r="C302" s="28" t="s">
        <v>800</v>
      </c>
      <c r="D302" s="28" t="s">
        <v>383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-34.2941</v>
      </c>
      <c r="N302" s="30">
        <v>0.13752020050125313</v>
      </c>
      <c r="O302" s="29">
        <v>1</v>
      </c>
      <c r="R302" s="27">
        <v>184</v>
      </c>
      <c r="S302" s="28" t="s">
        <v>800</v>
      </c>
      <c r="T302" s="28" t="s">
        <v>383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-34.392299999999999</v>
      </c>
      <c r="AD302" s="30">
        <v>0.13791398496240601</v>
      </c>
      <c r="AE302" s="29">
        <v>1</v>
      </c>
    </row>
    <row r="303" spans="2:31" x14ac:dyDescent="0.2">
      <c r="B303" s="27">
        <v>184</v>
      </c>
      <c r="C303" s="28" t="s">
        <v>801</v>
      </c>
      <c r="D303" s="28" t="s">
        <v>385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57.449100000000001</v>
      </c>
      <c r="N303" s="30">
        <v>0.23037233082706765</v>
      </c>
      <c r="O303" s="29">
        <v>1</v>
      </c>
      <c r="R303" s="27">
        <v>184</v>
      </c>
      <c r="S303" s="28" t="s">
        <v>801</v>
      </c>
      <c r="T303" s="28" t="s">
        <v>385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41.5398</v>
      </c>
      <c r="AD303" s="30">
        <v>0.16657563909774437</v>
      </c>
      <c r="AE303" s="29">
        <v>1</v>
      </c>
    </row>
    <row r="304" spans="2:31" x14ac:dyDescent="0.2">
      <c r="B304" s="27">
        <v>185</v>
      </c>
      <c r="C304" s="28" t="s">
        <v>802</v>
      </c>
      <c r="D304" s="28" t="s">
        <v>383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-34.0471</v>
      </c>
      <c r="N304" s="30">
        <v>0.13652972431077692</v>
      </c>
      <c r="O304" s="29">
        <v>1</v>
      </c>
      <c r="R304" s="27">
        <v>185</v>
      </c>
      <c r="S304" s="28" t="s">
        <v>802</v>
      </c>
      <c r="T304" s="28" t="s">
        <v>383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-34.142499999999998</v>
      </c>
      <c r="AD304" s="30">
        <v>0.13691228070175437</v>
      </c>
      <c r="AE304" s="29">
        <v>1</v>
      </c>
    </row>
    <row r="305" spans="2:31" x14ac:dyDescent="0.2">
      <c r="B305" s="27">
        <v>185</v>
      </c>
      <c r="C305" s="28" t="s">
        <v>803</v>
      </c>
      <c r="D305" s="28" t="s">
        <v>385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57.449100000000001</v>
      </c>
      <c r="N305" s="30">
        <v>0.23037233082706765</v>
      </c>
      <c r="O305" s="29">
        <v>1</v>
      </c>
      <c r="R305" s="27">
        <v>185</v>
      </c>
      <c r="S305" s="28" t="s">
        <v>803</v>
      </c>
      <c r="T305" s="28" t="s">
        <v>385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41.5398</v>
      </c>
      <c r="AD305" s="30">
        <v>0.16657563909774437</v>
      </c>
      <c r="AE305" s="29">
        <v>1</v>
      </c>
    </row>
    <row r="306" spans="2:31" x14ac:dyDescent="0.2">
      <c r="B306" s="27">
        <v>186</v>
      </c>
      <c r="C306" s="28" t="s">
        <v>805</v>
      </c>
      <c r="D306" s="28" t="s">
        <v>383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-37.535600000000002</v>
      </c>
      <c r="N306" s="30">
        <v>0.15051869674185467</v>
      </c>
      <c r="O306" s="29">
        <v>1</v>
      </c>
      <c r="R306" s="27">
        <v>186</v>
      </c>
      <c r="S306" s="28" t="s">
        <v>805</v>
      </c>
      <c r="T306" s="28" t="s">
        <v>383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-37.620699999999999</v>
      </c>
      <c r="AD306" s="30">
        <v>0.15085994987468671</v>
      </c>
      <c r="AE306" s="29">
        <v>1</v>
      </c>
    </row>
    <row r="307" spans="2:31" x14ac:dyDescent="0.2">
      <c r="B307" s="27">
        <v>186</v>
      </c>
      <c r="C307" s="28" t="s">
        <v>806</v>
      </c>
      <c r="D307" s="28" t="s">
        <v>385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57.449100000000001</v>
      </c>
      <c r="N307" s="30">
        <v>0.23037233082706765</v>
      </c>
      <c r="O307" s="29">
        <v>1</v>
      </c>
      <c r="R307" s="27">
        <v>186</v>
      </c>
      <c r="S307" s="28" t="s">
        <v>806</v>
      </c>
      <c r="T307" s="28" t="s">
        <v>385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41.5398</v>
      </c>
      <c r="AD307" s="30">
        <v>0.16657563909774437</v>
      </c>
      <c r="AE307" s="29">
        <v>1</v>
      </c>
    </row>
    <row r="308" spans="2:31" x14ac:dyDescent="0.2">
      <c r="B308" s="27">
        <v>43</v>
      </c>
      <c r="C308" s="28" t="s">
        <v>808</v>
      </c>
      <c r="D308" s="28" t="s">
        <v>383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-35.509500000000003</v>
      </c>
      <c r="N308" s="30">
        <v>0.14239398496240602</v>
      </c>
      <c r="O308" s="29">
        <v>1</v>
      </c>
      <c r="R308" s="27">
        <v>43</v>
      </c>
      <c r="S308" s="28" t="s">
        <v>808</v>
      </c>
      <c r="T308" s="28" t="s">
        <v>383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-35.538400000000003</v>
      </c>
      <c r="AD308" s="30">
        <v>0.1425098746867168</v>
      </c>
      <c r="AE308" s="29">
        <v>1</v>
      </c>
    </row>
    <row r="309" spans="2:31" x14ac:dyDescent="0.2">
      <c r="B309" s="27">
        <v>43</v>
      </c>
      <c r="C309" s="28" t="s">
        <v>809</v>
      </c>
      <c r="D309" s="28" t="s">
        <v>385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57.449100000000001</v>
      </c>
      <c r="N309" s="30">
        <v>0.23037233082706765</v>
      </c>
      <c r="O309" s="29">
        <v>1</v>
      </c>
      <c r="R309" s="27">
        <v>43</v>
      </c>
      <c r="S309" s="28" t="s">
        <v>809</v>
      </c>
      <c r="T309" s="28" t="s">
        <v>385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41.5398</v>
      </c>
      <c r="AD309" s="30">
        <v>0.16657563909774437</v>
      </c>
      <c r="AE309" s="29">
        <v>1</v>
      </c>
    </row>
    <row r="310" spans="2:31" x14ac:dyDescent="0.2">
      <c r="B310" s="27">
        <v>44</v>
      </c>
      <c r="C310" s="28" t="s">
        <v>811</v>
      </c>
      <c r="D310" s="28" t="s">
        <v>383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-38.8797</v>
      </c>
      <c r="N310" s="30">
        <v>0.15590857142857142</v>
      </c>
      <c r="O310" s="29">
        <v>1</v>
      </c>
      <c r="R310" s="27">
        <v>44</v>
      </c>
      <c r="S310" s="28" t="s">
        <v>811</v>
      </c>
      <c r="T310" s="28" t="s">
        <v>383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-38.911799999999999</v>
      </c>
      <c r="AD310" s="30">
        <v>0.15603729323308271</v>
      </c>
      <c r="AE310" s="29">
        <v>1</v>
      </c>
    </row>
    <row r="311" spans="2:31" x14ac:dyDescent="0.2">
      <c r="B311" s="27">
        <v>44</v>
      </c>
      <c r="C311" s="28" t="s">
        <v>812</v>
      </c>
      <c r="D311" s="28" t="s">
        <v>385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57.449100000000001</v>
      </c>
      <c r="N311" s="30">
        <v>0.23037233082706765</v>
      </c>
      <c r="O311" s="29">
        <v>1</v>
      </c>
      <c r="R311" s="27">
        <v>44</v>
      </c>
      <c r="S311" s="28" t="s">
        <v>812</v>
      </c>
      <c r="T311" s="28" t="s">
        <v>385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41.5398</v>
      </c>
      <c r="AD311" s="30">
        <v>0.16657563909774437</v>
      </c>
      <c r="AE311" s="29">
        <v>1</v>
      </c>
    </row>
    <row r="312" spans="2:31" x14ac:dyDescent="0.2">
      <c r="B312" s="27">
        <v>45</v>
      </c>
      <c r="C312" s="28" t="s">
        <v>813</v>
      </c>
      <c r="D312" s="28" t="s">
        <v>383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-35.988799999999998</v>
      </c>
      <c r="N312" s="30">
        <v>0.14431598997493733</v>
      </c>
      <c r="O312" s="29">
        <v>1</v>
      </c>
      <c r="R312" s="27">
        <v>45</v>
      </c>
      <c r="S312" s="28" t="s">
        <v>813</v>
      </c>
      <c r="T312" s="28" t="s">
        <v>383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-36.020499999999998</v>
      </c>
      <c r="AD312" s="30">
        <v>0.14444310776942357</v>
      </c>
      <c r="AE312" s="29">
        <v>1</v>
      </c>
    </row>
    <row r="313" spans="2:31" x14ac:dyDescent="0.2">
      <c r="B313" s="27">
        <v>45</v>
      </c>
      <c r="C313" s="28" t="s">
        <v>814</v>
      </c>
      <c r="D313" s="28" t="s">
        <v>385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57.449100000000001</v>
      </c>
      <c r="N313" s="30">
        <v>0.23037233082706765</v>
      </c>
      <c r="O313" s="29">
        <v>1</v>
      </c>
      <c r="R313" s="27">
        <v>45</v>
      </c>
      <c r="S313" s="28" t="s">
        <v>814</v>
      </c>
      <c r="T313" s="28" t="s">
        <v>385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41.5398</v>
      </c>
      <c r="AD313" s="30">
        <v>0.16657563909774437</v>
      </c>
      <c r="AE313" s="29">
        <v>1</v>
      </c>
    </row>
    <row r="314" spans="2:31" x14ac:dyDescent="0.2">
      <c r="B314" s="27">
        <v>46</v>
      </c>
      <c r="C314" s="28" t="s">
        <v>815</v>
      </c>
      <c r="D314" s="28" t="s">
        <v>383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-35.615000000000002</v>
      </c>
      <c r="N314" s="30">
        <v>0.14281704260651629</v>
      </c>
      <c r="O314" s="29">
        <v>1</v>
      </c>
      <c r="R314" s="27">
        <v>46</v>
      </c>
      <c r="S314" s="28" t="s">
        <v>815</v>
      </c>
      <c r="T314" s="28" t="s">
        <v>383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-35.645899999999997</v>
      </c>
      <c r="AD314" s="30">
        <v>0.14294095238095236</v>
      </c>
      <c r="AE314" s="29">
        <v>1</v>
      </c>
    </row>
    <row r="315" spans="2:31" x14ac:dyDescent="0.2">
      <c r="B315" s="27">
        <v>46</v>
      </c>
      <c r="C315" s="28" t="s">
        <v>816</v>
      </c>
      <c r="D315" s="28" t="s">
        <v>385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57.449100000000001</v>
      </c>
      <c r="N315" s="30">
        <v>0.23037233082706765</v>
      </c>
      <c r="O315" s="29">
        <v>1</v>
      </c>
      <c r="R315" s="27">
        <v>46</v>
      </c>
      <c r="S315" s="28" t="s">
        <v>816</v>
      </c>
      <c r="T315" s="28" t="s">
        <v>385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41.5398</v>
      </c>
      <c r="AD315" s="30">
        <v>0.16657563909774437</v>
      </c>
      <c r="AE315" s="29">
        <v>1</v>
      </c>
    </row>
    <row r="316" spans="2:31" x14ac:dyDescent="0.2">
      <c r="B316" s="27">
        <v>47</v>
      </c>
      <c r="C316" s="28" t="s">
        <v>818</v>
      </c>
      <c r="D316" s="28" t="s">
        <v>383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-39.730699999999999</v>
      </c>
      <c r="N316" s="30">
        <v>0.15932110275689221</v>
      </c>
      <c r="O316" s="29">
        <v>1</v>
      </c>
      <c r="R316" s="27">
        <v>47</v>
      </c>
      <c r="S316" s="28" t="s">
        <v>818</v>
      </c>
      <c r="T316" s="28" t="s">
        <v>383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-39.756900000000002</v>
      </c>
      <c r="AD316" s="30">
        <v>0.15942616541353383</v>
      </c>
      <c r="AE316" s="29">
        <v>1</v>
      </c>
    </row>
    <row r="317" spans="2:31" x14ac:dyDescent="0.2">
      <c r="B317" s="27">
        <v>47</v>
      </c>
      <c r="C317" s="28" t="s">
        <v>819</v>
      </c>
      <c r="D317" s="28" t="s">
        <v>385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57.449100000000001</v>
      </c>
      <c r="N317" s="30">
        <v>0.23037233082706765</v>
      </c>
      <c r="O317" s="29">
        <v>1</v>
      </c>
      <c r="R317" s="27">
        <v>47</v>
      </c>
      <c r="S317" s="28" t="s">
        <v>819</v>
      </c>
      <c r="T317" s="28" t="s">
        <v>385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41.5398</v>
      </c>
      <c r="AD317" s="30">
        <v>0.16657563909774437</v>
      </c>
      <c r="AE317" s="29">
        <v>1</v>
      </c>
    </row>
    <row r="318" spans="2:31" x14ac:dyDescent="0.2">
      <c r="B318" s="27">
        <v>25</v>
      </c>
      <c r="C318" s="28" t="s">
        <v>821</v>
      </c>
      <c r="D318" s="28" t="s">
        <v>383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-63.967199999999998</v>
      </c>
      <c r="N318" s="30">
        <v>0.25651007518796992</v>
      </c>
      <c r="O318" s="29">
        <v>1</v>
      </c>
      <c r="R318" s="27">
        <v>25</v>
      </c>
      <c r="S318" s="28" t="s">
        <v>821</v>
      </c>
      <c r="T318" s="28" t="s">
        <v>383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-63.996299999999998</v>
      </c>
      <c r="AD318" s="30">
        <v>0.25662676691729319</v>
      </c>
      <c r="AE318" s="29">
        <v>1</v>
      </c>
    </row>
    <row r="319" spans="2:31" x14ac:dyDescent="0.2">
      <c r="B319" s="27">
        <v>25</v>
      </c>
      <c r="C319" s="28" t="s">
        <v>822</v>
      </c>
      <c r="D319" s="28" t="s">
        <v>385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57.449100000000001</v>
      </c>
      <c r="N319" s="30">
        <v>0.23037233082706765</v>
      </c>
      <c r="O319" s="29">
        <v>1</v>
      </c>
      <c r="R319" s="27">
        <v>25</v>
      </c>
      <c r="S319" s="28" t="s">
        <v>822</v>
      </c>
      <c r="T319" s="28" t="s">
        <v>385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41.5398</v>
      </c>
      <c r="AD319" s="30">
        <v>0.16657563909774437</v>
      </c>
      <c r="AE319" s="29">
        <v>1</v>
      </c>
    </row>
    <row r="320" spans="2:31" x14ac:dyDescent="0.2">
      <c r="B320" s="27">
        <v>28</v>
      </c>
      <c r="C320" s="28" t="s">
        <v>824</v>
      </c>
      <c r="D320" s="28" t="s">
        <v>383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-82.180599999999998</v>
      </c>
      <c r="N320" s="30">
        <v>0.32954626566416034</v>
      </c>
      <c r="O320" s="29">
        <v>1</v>
      </c>
      <c r="R320" s="27">
        <v>28</v>
      </c>
      <c r="S320" s="28" t="s">
        <v>824</v>
      </c>
      <c r="T320" s="28" t="s">
        <v>383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-82.2072</v>
      </c>
      <c r="AD320" s="30">
        <v>0.32965293233082704</v>
      </c>
      <c r="AE320" s="29">
        <v>1</v>
      </c>
    </row>
    <row r="321" spans="2:31" x14ac:dyDescent="0.2">
      <c r="B321" s="27">
        <v>28</v>
      </c>
      <c r="C321" s="28" t="s">
        <v>825</v>
      </c>
      <c r="D321" s="28" t="s">
        <v>385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57.449100000000001</v>
      </c>
      <c r="N321" s="30">
        <v>0.23037233082706765</v>
      </c>
      <c r="O321" s="29">
        <v>1</v>
      </c>
      <c r="R321" s="27">
        <v>28</v>
      </c>
      <c r="S321" s="28" t="s">
        <v>825</v>
      </c>
      <c r="T321" s="28" t="s">
        <v>385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41.5398</v>
      </c>
      <c r="AD321" s="30">
        <v>0.16657563909774437</v>
      </c>
      <c r="AE321" s="29">
        <v>1</v>
      </c>
    </row>
    <row r="322" spans="2:31" x14ac:dyDescent="0.2">
      <c r="B322" s="27">
        <v>31</v>
      </c>
      <c r="C322" s="28" t="s">
        <v>827</v>
      </c>
      <c r="D322" s="28" t="s">
        <v>383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-81.9328</v>
      </c>
      <c r="N322" s="30">
        <v>0.32855258145363408</v>
      </c>
      <c r="O322" s="29">
        <v>1</v>
      </c>
      <c r="R322" s="27">
        <v>31</v>
      </c>
      <c r="S322" s="28" t="s">
        <v>827</v>
      </c>
      <c r="T322" s="28" t="s">
        <v>383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-81.947400000000002</v>
      </c>
      <c r="AD322" s="30">
        <v>0.32861112781954893</v>
      </c>
      <c r="AE322" s="29">
        <v>1</v>
      </c>
    </row>
    <row r="323" spans="2:31" x14ac:dyDescent="0.2">
      <c r="B323" s="27">
        <v>31</v>
      </c>
      <c r="C323" s="28" t="s">
        <v>828</v>
      </c>
      <c r="D323" s="28" t="s">
        <v>385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57.449100000000001</v>
      </c>
      <c r="N323" s="30">
        <v>0.23037233082706765</v>
      </c>
      <c r="O323" s="29">
        <v>1</v>
      </c>
      <c r="R323" s="27">
        <v>31</v>
      </c>
      <c r="S323" s="28" t="s">
        <v>828</v>
      </c>
      <c r="T323" s="28" t="s">
        <v>385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41.5398</v>
      </c>
      <c r="AD323" s="30">
        <v>0.16657563909774437</v>
      </c>
      <c r="AE323" s="29">
        <v>1</v>
      </c>
    </row>
    <row r="324" spans="2:31" x14ac:dyDescent="0.2">
      <c r="B324" s="27">
        <v>34</v>
      </c>
      <c r="C324" s="28" t="s">
        <v>830</v>
      </c>
      <c r="D324" s="28" t="s">
        <v>383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-81.924599999999998</v>
      </c>
      <c r="N324" s="30">
        <v>0.32851969924812024</v>
      </c>
      <c r="O324" s="29">
        <v>1</v>
      </c>
      <c r="R324" s="27">
        <v>34</v>
      </c>
      <c r="S324" s="28" t="s">
        <v>830</v>
      </c>
      <c r="T324" s="28" t="s">
        <v>383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-81.926299999999998</v>
      </c>
      <c r="AD324" s="30">
        <v>0.32852651629072682</v>
      </c>
      <c r="AE324" s="29">
        <v>1</v>
      </c>
    </row>
    <row r="325" spans="2:31" x14ac:dyDescent="0.2">
      <c r="B325" s="27">
        <v>34</v>
      </c>
      <c r="C325" s="28" t="s">
        <v>831</v>
      </c>
      <c r="D325" s="28" t="s">
        <v>385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57.449100000000001</v>
      </c>
      <c r="N325" s="30">
        <v>0.23037233082706765</v>
      </c>
      <c r="O325" s="29">
        <v>1</v>
      </c>
      <c r="R325" s="27">
        <v>34</v>
      </c>
      <c r="S325" s="28" t="s">
        <v>831</v>
      </c>
      <c r="T325" s="28" t="s">
        <v>385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41.5398</v>
      </c>
      <c r="AD325" s="30">
        <v>0.16657563909774437</v>
      </c>
      <c r="AE325" s="29">
        <v>1</v>
      </c>
    </row>
    <row r="326" spans="2:31" x14ac:dyDescent="0.2">
      <c r="B326" s="27">
        <v>37</v>
      </c>
      <c r="C326" s="28" t="s">
        <v>833</v>
      </c>
      <c r="D326" s="28" t="s">
        <v>383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-82.154899999999998</v>
      </c>
      <c r="N326" s="30">
        <v>0.32944320802005012</v>
      </c>
      <c r="O326" s="29">
        <v>1</v>
      </c>
      <c r="R326" s="27">
        <v>37</v>
      </c>
      <c r="S326" s="28" t="s">
        <v>833</v>
      </c>
      <c r="T326" s="28" t="s">
        <v>383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-82.143600000000006</v>
      </c>
      <c r="AD326" s="30">
        <v>0.32939789473684211</v>
      </c>
      <c r="AE326" s="29">
        <v>1</v>
      </c>
    </row>
    <row r="327" spans="2:31" x14ac:dyDescent="0.2">
      <c r="B327" s="27">
        <v>37</v>
      </c>
      <c r="C327" s="28" t="s">
        <v>834</v>
      </c>
      <c r="D327" s="28" t="s">
        <v>385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57.449100000000001</v>
      </c>
      <c r="N327" s="30">
        <v>0.23037233082706765</v>
      </c>
      <c r="O327" s="29">
        <v>1</v>
      </c>
      <c r="R327" s="27">
        <v>37</v>
      </c>
      <c r="S327" s="28" t="s">
        <v>834</v>
      </c>
      <c r="T327" s="28" t="s">
        <v>385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41.5398</v>
      </c>
      <c r="AD327" s="30">
        <v>0.16657563909774437</v>
      </c>
      <c r="AE327" s="29">
        <v>1</v>
      </c>
    </row>
    <row r="328" spans="2:31" x14ac:dyDescent="0.2">
      <c r="B328" s="27">
        <v>40</v>
      </c>
      <c r="C328" s="28" t="s">
        <v>836</v>
      </c>
      <c r="D328" s="28" t="s">
        <v>383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-63.945999999999998</v>
      </c>
      <c r="N328" s="30">
        <v>0.25642506265664161</v>
      </c>
      <c r="O328" s="29">
        <v>1</v>
      </c>
      <c r="R328" s="27">
        <v>40</v>
      </c>
      <c r="S328" s="28" t="s">
        <v>836</v>
      </c>
      <c r="T328" s="28" t="s">
        <v>383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-63.930100000000003</v>
      </c>
      <c r="AD328" s="30">
        <v>0.25636130325814538</v>
      </c>
      <c r="AE328" s="29">
        <v>1</v>
      </c>
    </row>
    <row r="329" spans="2:31" x14ac:dyDescent="0.2">
      <c r="B329" s="27">
        <v>40</v>
      </c>
      <c r="C329" s="28" t="s">
        <v>837</v>
      </c>
      <c r="D329" s="28" t="s">
        <v>385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57.449100000000001</v>
      </c>
      <c r="N329" s="30">
        <v>0.23037233082706765</v>
      </c>
      <c r="O329" s="29">
        <v>1</v>
      </c>
      <c r="R329" s="27">
        <v>40</v>
      </c>
      <c r="S329" s="28" t="s">
        <v>837</v>
      </c>
      <c r="T329" s="28" t="s">
        <v>385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41.5398</v>
      </c>
      <c r="AD329" s="30">
        <v>0.16657563909774437</v>
      </c>
      <c r="AE329" s="29">
        <v>1</v>
      </c>
    </row>
    <row r="330" spans="2:31" x14ac:dyDescent="0.2">
      <c r="B330" s="27">
        <v>48</v>
      </c>
      <c r="C330" s="28" t="s">
        <v>839</v>
      </c>
      <c r="D330" s="28" t="s">
        <v>383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-44.088299999999997</v>
      </c>
      <c r="N330" s="30">
        <v>0.1767951879699248</v>
      </c>
      <c r="O330" s="29">
        <v>1</v>
      </c>
      <c r="R330" s="27">
        <v>48</v>
      </c>
      <c r="S330" s="28" t="s">
        <v>839</v>
      </c>
      <c r="T330" s="28" t="s">
        <v>383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-44.142299999999999</v>
      </c>
      <c r="AD330" s="30">
        <v>0.17701172932330825</v>
      </c>
      <c r="AE330" s="29">
        <v>1</v>
      </c>
    </row>
    <row r="331" spans="2:31" x14ac:dyDescent="0.2">
      <c r="B331" s="27">
        <v>48</v>
      </c>
      <c r="C331" s="28" t="s">
        <v>840</v>
      </c>
      <c r="D331" s="28" t="s">
        <v>385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57.449100000000001</v>
      </c>
      <c r="N331" s="30">
        <v>0.23037233082706765</v>
      </c>
      <c r="O331" s="29">
        <v>1</v>
      </c>
      <c r="R331" s="27">
        <v>48</v>
      </c>
      <c r="S331" s="28" t="s">
        <v>840</v>
      </c>
      <c r="T331" s="28" t="s">
        <v>385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41.5398</v>
      </c>
      <c r="AD331" s="30">
        <v>0.16657563909774437</v>
      </c>
      <c r="AE331" s="29">
        <v>1</v>
      </c>
    </row>
    <row r="332" spans="2:31" x14ac:dyDescent="0.2">
      <c r="B332" s="27">
        <v>49</v>
      </c>
      <c r="C332" s="28" t="s">
        <v>842</v>
      </c>
      <c r="D332" s="28" t="s">
        <v>383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-42.151699999999998</v>
      </c>
      <c r="N332" s="30">
        <v>0.16902937343358396</v>
      </c>
      <c r="O332" s="29">
        <v>1</v>
      </c>
      <c r="R332" s="27">
        <v>49</v>
      </c>
      <c r="S332" s="28" t="s">
        <v>842</v>
      </c>
      <c r="T332" s="28" t="s">
        <v>383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-42.201099999999997</v>
      </c>
      <c r="AD332" s="30">
        <v>0.1692274686716792</v>
      </c>
      <c r="AE332" s="29">
        <v>1</v>
      </c>
    </row>
    <row r="333" spans="2:31" x14ac:dyDescent="0.2">
      <c r="B333" s="27">
        <v>49</v>
      </c>
      <c r="C333" s="28" t="s">
        <v>843</v>
      </c>
      <c r="D333" s="28" t="s">
        <v>385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57.449100000000001</v>
      </c>
      <c r="N333" s="30">
        <v>0.23037233082706765</v>
      </c>
      <c r="O333" s="29">
        <v>1</v>
      </c>
      <c r="R333" s="27">
        <v>49</v>
      </c>
      <c r="S333" s="28" t="s">
        <v>843</v>
      </c>
      <c r="T333" s="28" t="s">
        <v>385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41.5398</v>
      </c>
      <c r="AD333" s="30">
        <v>0.16657563909774437</v>
      </c>
      <c r="AE333" s="29">
        <v>1</v>
      </c>
    </row>
    <row r="334" spans="2:31" x14ac:dyDescent="0.2">
      <c r="B334" s="27">
        <v>50</v>
      </c>
      <c r="C334" s="28" t="s">
        <v>844</v>
      </c>
      <c r="D334" s="28" t="s">
        <v>383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-46.185200000000002</v>
      </c>
      <c r="N334" s="30">
        <v>0.18520380952380955</v>
      </c>
      <c r="O334" s="29">
        <v>1</v>
      </c>
      <c r="R334" s="27">
        <v>50</v>
      </c>
      <c r="S334" s="28" t="s">
        <v>844</v>
      </c>
      <c r="T334" s="28" t="s">
        <v>383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-46.231099999999998</v>
      </c>
      <c r="AD334" s="30">
        <v>0.18538786967418547</v>
      </c>
      <c r="AE334" s="29">
        <v>1</v>
      </c>
    </row>
    <row r="335" spans="2:31" x14ac:dyDescent="0.2">
      <c r="B335" s="27">
        <v>50</v>
      </c>
      <c r="C335" s="28" t="s">
        <v>845</v>
      </c>
      <c r="D335" s="28" t="s">
        <v>385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57.449100000000001</v>
      </c>
      <c r="N335" s="30">
        <v>0.23037233082706765</v>
      </c>
      <c r="O335" s="29">
        <v>1</v>
      </c>
      <c r="R335" s="27">
        <v>50</v>
      </c>
      <c r="S335" s="28" t="s">
        <v>845</v>
      </c>
      <c r="T335" s="28" t="s">
        <v>385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41.5398</v>
      </c>
      <c r="AD335" s="30">
        <v>0.16657563909774437</v>
      </c>
      <c r="AE335" s="29">
        <v>1</v>
      </c>
    </row>
    <row r="336" spans="2:31" x14ac:dyDescent="0.2">
      <c r="B336" s="27">
        <v>51</v>
      </c>
      <c r="C336" s="28" t="s">
        <v>846</v>
      </c>
      <c r="D336" s="28" t="s">
        <v>383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-45.341500000000003</v>
      </c>
      <c r="N336" s="30">
        <v>0.1818205513784461</v>
      </c>
      <c r="O336" s="29">
        <v>1</v>
      </c>
      <c r="R336" s="27">
        <v>51</v>
      </c>
      <c r="S336" s="28" t="s">
        <v>846</v>
      </c>
      <c r="T336" s="28" t="s">
        <v>383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-45.392000000000003</v>
      </c>
      <c r="AD336" s="30">
        <v>0.18202305764411028</v>
      </c>
      <c r="AE336" s="29">
        <v>1</v>
      </c>
    </row>
    <row r="337" spans="2:31" x14ac:dyDescent="0.2">
      <c r="B337" s="27">
        <v>51</v>
      </c>
      <c r="C337" s="28" t="s">
        <v>847</v>
      </c>
      <c r="D337" s="28" t="s">
        <v>385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57.449100000000001</v>
      </c>
      <c r="N337" s="30">
        <v>0.23037233082706765</v>
      </c>
      <c r="O337" s="29">
        <v>1</v>
      </c>
      <c r="R337" s="27">
        <v>51</v>
      </c>
      <c r="S337" s="28" t="s">
        <v>847</v>
      </c>
      <c r="T337" s="28" t="s">
        <v>385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41.5398</v>
      </c>
      <c r="AD337" s="30">
        <v>0.16657563909774437</v>
      </c>
      <c r="AE337" s="29">
        <v>1</v>
      </c>
    </row>
    <row r="338" spans="2:31" x14ac:dyDescent="0.2">
      <c r="B338" s="27">
        <v>52</v>
      </c>
      <c r="C338" s="28" t="s">
        <v>849</v>
      </c>
      <c r="D338" s="28" t="s">
        <v>383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-43.886299999999999</v>
      </c>
      <c r="N338" s="30">
        <v>0.17598516290726815</v>
      </c>
      <c r="O338" s="29">
        <v>1</v>
      </c>
      <c r="R338" s="27">
        <v>52</v>
      </c>
      <c r="S338" s="28" t="s">
        <v>849</v>
      </c>
      <c r="T338" s="28" t="s">
        <v>383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-43.938899999999997</v>
      </c>
      <c r="AD338" s="30">
        <v>0.17619609022556387</v>
      </c>
      <c r="AE338" s="29">
        <v>1</v>
      </c>
    </row>
    <row r="339" spans="2:31" x14ac:dyDescent="0.2">
      <c r="B339" s="27">
        <v>52</v>
      </c>
      <c r="C339" s="28" t="s">
        <v>850</v>
      </c>
      <c r="D339" s="28" t="s">
        <v>385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57.449100000000001</v>
      </c>
      <c r="N339" s="30">
        <v>0.23037233082706765</v>
      </c>
      <c r="O339" s="29">
        <v>1</v>
      </c>
      <c r="R339" s="27">
        <v>52</v>
      </c>
      <c r="S339" s="28" t="s">
        <v>850</v>
      </c>
      <c r="T339" s="28" t="s">
        <v>385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41.5398</v>
      </c>
      <c r="AD339" s="30">
        <v>0.16657563909774437</v>
      </c>
      <c r="AE339" s="29">
        <v>1</v>
      </c>
    </row>
    <row r="340" spans="2:31" x14ac:dyDescent="0.2">
      <c r="B340" s="27">
        <v>26</v>
      </c>
      <c r="C340" s="28" t="s">
        <v>852</v>
      </c>
      <c r="D340" s="28" t="s">
        <v>383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-64.64</v>
      </c>
      <c r="N340" s="30">
        <v>0.25920802005012533</v>
      </c>
      <c r="O340" s="29">
        <v>1</v>
      </c>
      <c r="R340" s="27">
        <v>26</v>
      </c>
      <c r="S340" s="28" t="s">
        <v>852</v>
      </c>
      <c r="T340" s="28" t="s">
        <v>383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-64.674199999999999</v>
      </c>
      <c r="AD340" s="30">
        <v>0.25934516290726817</v>
      </c>
      <c r="AE340" s="29">
        <v>1</v>
      </c>
    </row>
    <row r="341" spans="2:31" x14ac:dyDescent="0.2">
      <c r="B341" s="27">
        <v>26</v>
      </c>
      <c r="C341" s="28" t="s">
        <v>853</v>
      </c>
      <c r="D341" s="28" t="s">
        <v>385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57.449100000000001</v>
      </c>
      <c r="N341" s="30">
        <v>0.23037233082706765</v>
      </c>
      <c r="O341" s="29">
        <v>1</v>
      </c>
      <c r="R341" s="27">
        <v>26</v>
      </c>
      <c r="S341" s="28" t="s">
        <v>853</v>
      </c>
      <c r="T341" s="28" t="s">
        <v>385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44.504899999999999</v>
      </c>
      <c r="AD341" s="30">
        <v>0.17846576441102757</v>
      </c>
      <c r="AE341" s="29">
        <v>1</v>
      </c>
    </row>
    <row r="342" spans="2:31" x14ac:dyDescent="0.2">
      <c r="B342" s="27">
        <v>29</v>
      </c>
      <c r="C342" s="28" t="s">
        <v>855</v>
      </c>
      <c r="D342" s="28" t="s">
        <v>383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-86.642799999999994</v>
      </c>
      <c r="N342" s="30">
        <v>0.34743979949874682</v>
      </c>
      <c r="O342" s="29">
        <v>1</v>
      </c>
      <c r="R342" s="27">
        <v>29</v>
      </c>
      <c r="S342" s="28" t="s">
        <v>855</v>
      </c>
      <c r="T342" s="28" t="s">
        <v>383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-86.667900000000003</v>
      </c>
      <c r="AD342" s="30">
        <v>0.34754045112781956</v>
      </c>
      <c r="AE342" s="29">
        <v>1</v>
      </c>
    </row>
    <row r="343" spans="2:31" x14ac:dyDescent="0.2">
      <c r="B343" s="27">
        <v>29</v>
      </c>
      <c r="C343" s="28" t="s">
        <v>856</v>
      </c>
      <c r="D343" s="28" t="s">
        <v>385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61.319800000000001</v>
      </c>
      <c r="N343" s="30">
        <v>0.24589393483709274</v>
      </c>
      <c r="O343" s="29">
        <v>1</v>
      </c>
      <c r="R343" s="27">
        <v>29</v>
      </c>
      <c r="S343" s="28" t="s">
        <v>856</v>
      </c>
      <c r="T343" s="28" t="s">
        <v>385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44.504899999999999</v>
      </c>
      <c r="AD343" s="30">
        <v>0.17846576441102757</v>
      </c>
      <c r="AE343" s="29">
        <v>1</v>
      </c>
    </row>
    <row r="344" spans="2:31" x14ac:dyDescent="0.2">
      <c r="B344" s="27">
        <v>32</v>
      </c>
      <c r="C344" s="28" t="s">
        <v>858</v>
      </c>
      <c r="D344" s="28" t="s">
        <v>383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-81.495599999999996</v>
      </c>
      <c r="N344" s="30">
        <v>0.32679939849624057</v>
      </c>
      <c r="O344" s="29">
        <v>1</v>
      </c>
      <c r="R344" s="27">
        <v>32</v>
      </c>
      <c r="S344" s="28" t="s">
        <v>858</v>
      </c>
      <c r="T344" s="28" t="s">
        <v>383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-81.506900000000002</v>
      </c>
      <c r="AD344" s="30">
        <v>0.32684471177944868</v>
      </c>
      <c r="AE344" s="29">
        <v>1</v>
      </c>
    </row>
    <row r="345" spans="2:31" x14ac:dyDescent="0.2">
      <c r="B345" s="27">
        <v>32</v>
      </c>
      <c r="C345" s="28" t="s">
        <v>859</v>
      </c>
      <c r="D345" s="28" t="s">
        <v>385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61.319800000000001</v>
      </c>
      <c r="N345" s="30">
        <v>0.24589393483709274</v>
      </c>
      <c r="O345" s="29">
        <v>1</v>
      </c>
      <c r="R345" s="27">
        <v>32</v>
      </c>
      <c r="S345" s="28" t="s">
        <v>859</v>
      </c>
      <c r="T345" s="28" t="s">
        <v>385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56.562899999999999</v>
      </c>
      <c r="AD345" s="30">
        <v>0.22681864661654136</v>
      </c>
      <c r="AE345" s="29">
        <v>1</v>
      </c>
    </row>
    <row r="346" spans="2:31" x14ac:dyDescent="0.2">
      <c r="B346" s="27">
        <v>35</v>
      </c>
      <c r="C346" s="28" t="s">
        <v>861</v>
      </c>
      <c r="D346" s="28" t="s">
        <v>383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-81.486400000000003</v>
      </c>
      <c r="N346" s="30">
        <v>0.32676250626566422</v>
      </c>
      <c r="O346" s="29">
        <v>1</v>
      </c>
      <c r="R346" s="27">
        <v>35</v>
      </c>
      <c r="S346" s="28" t="s">
        <v>861</v>
      </c>
      <c r="T346" s="28" t="s">
        <v>383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-81.487300000000005</v>
      </c>
      <c r="AD346" s="30">
        <v>0.32676611528822058</v>
      </c>
      <c r="AE346" s="29">
        <v>1</v>
      </c>
    </row>
    <row r="347" spans="2:31" x14ac:dyDescent="0.2">
      <c r="B347" s="27">
        <v>35</v>
      </c>
      <c r="C347" s="28" t="s">
        <v>862</v>
      </c>
      <c r="D347" s="28" t="s">
        <v>385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61.319800000000001</v>
      </c>
      <c r="N347" s="30">
        <v>0.24589393483709274</v>
      </c>
      <c r="O347" s="29">
        <v>1</v>
      </c>
      <c r="R347" s="27">
        <v>35</v>
      </c>
      <c r="S347" s="28" t="s">
        <v>862</v>
      </c>
      <c r="T347" s="28" t="s">
        <v>385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56.584099999999999</v>
      </c>
      <c r="AD347" s="30">
        <v>0.22690365914786967</v>
      </c>
      <c r="AE347" s="29">
        <v>1</v>
      </c>
    </row>
    <row r="348" spans="2:31" x14ac:dyDescent="0.2">
      <c r="B348" s="27">
        <v>38</v>
      </c>
      <c r="C348" s="28" t="s">
        <v>864</v>
      </c>
      <c r="D348" s="28" t="s">
        <v>383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-86.615300000000005</v>
      </c>
      <c r="N348" s="30">
        <v>0.34732952380952381</v>
      </c>
      <c r="O348" s="29">
        <v>1</v>
      </c>
      <c r="R348" s="27">
        <v>38</v>
      </c>
      <c r="S348" s="28" t="s">
        <v>864</v>
      </c>
      <c r="T348" s="28" t="s">
        <v>383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-86.6036</v>
      </c>
      <c r="AD348" s="30">
        <v>0.34728260651629073</v>
      </c>
      <c r="AE348" s="29">
        <v>1</v>
      </c>
    </row>
    <row r="349" spans="2:31" x14ac:dyDescent="0.2">
      <c r="B349" s="27">
        <v>38</v>
      </c>
      <c r="C349" s="28" t="s">
        <v>865</v>
      </c>
      <c r="D349" s="28" t="s">
        <v>385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61.346899999999998</v>
      </c>
      <c r="N349" s="30">
        <v>0.24600260651629074</v>
      </c>
      <c r="O349" s="29">
        <v>1</v>
      </c>
      <c r="R349" s="27">
        <v>38</v>
      </c>
      <c r="S349" s="28" t="s">
        <v>865</v>
      </c>
      <c r="T349" s="28" t="s">
        <v>385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56.584099999999999</v>
      </c>
      <c r="AD349" s="30">
        <v>0.22690365914786967</v>
      </c>
      <c r="AE349" s="29">
        <v>1</v>
      </c>
    </row>
    <row r="350" spans="2:31" x14ac:dyDescent="0.2">
      <c r="B350" s="27">
        <v>41</v>
      </c>
      <c r="C350" s="28" t="s">
        <v>867</v>
      </c>
      <c r="D350" s="28" t="s">
        <v>383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-64.6113</v>
      </c>
      <c r="N350" s="30">
        <v>0.25909293233082709</v>
      </c>
      <c r="O350" s="29">
        <v>1</v>
      </c>
      <c r="R350" s="27">
        <v>41</v>
      </c>
      <c r="S350" s="28" t="s">
        <v>867</v>
      </c>
      <c r="T350" s="28" t="s">
        <v>383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-64.589500000000001</v>
      </c>
      <c r="AD350" s="30">
        <v>0.25900551378446113</v>
      </c>
      <c r="AE350" s="29">
        <v>1</v>
      </c>
    </row>
    <row r="351" spans="2:31" x14ac:dyDescent="0.2">
      <c r="B351" s="27">
        <v>41</v>
      </c>
      <c r="C351" s="28" t="s">
        <v>868</v>
      </c>
      <c r="D351" s="28" t="s">
        <v>385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61.346899999999998</v>
      </c>
      <c r="N351" s="30">
        <v>0.24600260651629074</v>
      </c>
      <c r="O351" s="29">
        <v>1</v>
      </c>
      <c r="R351" s="27">
        <v>41</v>
      </c>
      <c r="S351" s="28" t="s">
        <v>868</v>
      </c>
      <c r="T351" s="28" t="s">
        <v>385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44.543399999999998</v>
      </c>
      <c r="AD351" s="30">
        <v>0.17862015037593987</v>
      </c>
      <c r="AE351" s="29">
        <v>1</v>
      </c>
    </row>
    <row r="352" spans="2:31" x14ac:dyDescent="0.2">
      <c r="B352" s="27">
        <v>53</v>
      </c>
      <c r="C352" s="28" t="s">
        <v>870</v>
      </c>
      <c r="D352" s="28" t="s">
        <v>383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-43.853299999999997</v>
      </c>
      <c r="N352" s="30">
        <v>0.17585283208020047</v>
      </c>
      <c r="O352" s="29">
        <v>1</v>
      </c>
      <c r="R352" s="27">
        <v>53</v>
      </c>
      <c r="S352" s="28" t="s">
        <v>870</v>
      </c>
      <c r="T352" s="28" t="s">
        <v>383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-43.928600000000003</v>
      </c>
      <c r="AD352" s="30">
        <v>0.17615478696741857</v>
      </c>
      <c r="AE352" s="29">
        <v>1</v>
      </c>
    </row>
    <row r="353" spans="2:31" x14ac:dyDescent="0.2">
      <c r="B353" s="27">
        <v>53</v>
      </c>
      <c r="C353" s="28" t="s">
        <v>871</v>
      </c>
      <c r="D353" s="28" t="s">
        <v>385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61.346899999999998</v>
      </c>
      <c r="N353" s="30">
        <v>0.24600260651629074</v>
      </c>
      <c r="O353" s="29">
        <v>1</v>
      </c>
      <c r="R353" s="27">
        <v>53</v>
      </c>
      <c r="S353" s="28" t="s">
        <v>871</v>
      </c>
      <c r="T353" s="28" t="s">
        <v>385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44.543399999999998</v>
      </c>
      <c r="AD353" s="30">
        <v>0.17862015037593987</v>
      </c>
      <c r="AE353" s="29">
        <v>1</v>
      </c>
    </row>
    <row r="354" spans="2:31" x14ac:dyDescent="0.2">
      <c r="B354" s="27">
        <v>54</v>
      </c>
      <c r="C354" s="28" t="s">
        <v>873</v>
      </c>
      <c r="D354" s="28" t="s">
        <v>383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-42.192599999999999</v>
      </c>
      <c r="N354" s="30">
        <v>0.16919338345864662</v>
      </c>
      <c r="O354" s="29">
        <v>1</v>
      </c>
      <c r="R354" s="27">
        <v>54</v>
      </c>
      <c r="S354" s="28" t="s">
        <v>873</v>
      </c>
      <c r="T354" s="28" t="s">
        <v>383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-42.262799999999999</v>
      </c>
      <c r="AD354" s="30">
        <v>0.1694748872180451</v>
      </c>
      <c r="AE354" s="29">
        <v>1</v>
      </c>
    </row>
    <row r="355" spans="2:31" x14ac:dyDescent="0.2">
      <c r="B355" s="27">
        <v>54</v>
      </c>
      <c r="C355" s="28" t="s">
        <v>874</v>
      </c>
      <c r="D355" s="28" t="s">
        <v>385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61.346899999999998</v>
      </c>
      <c r="N355" s="30">
        <v>0.24600260651629074</v>
      </c>
      <c r="O355" s="29">
        <v>1</v>
      </c>
      <c r="R355" s="27">
        <v>54</v>
      </c>
      <c r="S355" s="28" t="s">
        <v>874</v>
      </c>
      <c r="T355" s="28" t="s">
        <v>385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44.543399999999998</v>
      </c>
      <c r="AD355" s="30">
        <v>0.17862015037593987</v>
      </c>
      <c r="AE355" s="29">
        <v>1</v>
      </c>
    </row>
    <row r="356" spans="2:31" x14ac:dyDescent="0.2">
      <c r="B356" s="27">
        <v>55</v>
      </c>
      <c r="C356" s="28" t="s">
        <v>875</v>
      </c>
      <c r="D356" s="28" t="s">
        <v>383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-46.056600000000003</v>
      </c>
      <c r="N356" s="30">
        <v>0.18468812030075191</v>
      </c>
      <c r="O356" s="29">
        <v>1</v>
      </c>
      <c r="R356" s="27">
        <v>55</v>
      </c>
      <c r="S356" s="28" t="s">
        <v>875</v>
      </c>
      <c r="T356" s="28" t="s">
        <v>383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-46.122900000000001</v>
      </c>
      <c r="AD356" s="30">
        <v>0.18495398496240603</v>
      </c>
      <c r="AE356" s="29">
        <v>1</v>
      </c>
    </row>
    <row r="357" spans="2:31" x14ac:dyDescent="0.2">
      <c r="B357" s="27">
        <v>55</v>
      </c>
      <c r="C357" s="28" t="s">
        <v>876</v>
      </c>
      <c r="D357" s="28" t="s">
        <v>385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61.346899999999998</v>
      </c>
      <c r="N357" s="30">
        <v>0.24600260651629074</v>
      </c>
      <c r="O357" s="29">
        <v>1</v>
      </c>
      <c r="R357" s="27">
        <v>55</v>
      </c>
      <c r="S357" s="28" t="s">
        <v>876</v>
      </c>
      <c r="T357" s="28" t="s">
        <v>385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44.543399999999998</v>
      </c>
      <c r="AD357" s="30">
        <v>0.17862015037593987</v>
      </c>
      <c r="AE357" s="29">
        <v>1</v>
      </c>
    </row>
    <row r="358" spans="2:31" x14ac:dyDescent="0.2">
      <c r="B358" s="27">
        <v>56</v>
      </c>
      <c r="C358" s="28" t="s">
        <v>877</v>
      </c>
      <c r="D358" s="28" t="s">
        <v>383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-45.131999999999998</v>
      </c>
      <c r="N358" s="30">
        <v>0.18098045112781955</v>
      </c>
      <c r="O358" s="29">
        <v>1</v>
      </c>
      <c r="R358" s="27">
        <v>56</v>
      </c>
      <c r="S358" s="28" t="s">
        <v>877</v>
      </c>
      <c r="T358" s="28" t="s">
        <v>383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-45.203800000000001</v>
      </c>
      <c r="AD358" s="30">
        <v>0.18126837092731832</v>
      </c>
      <c r="AE358" s="29">
        <v>1</v>
      </c>
    </row>
    <row r="359" spans="2:31" x14ac:dyDescent="0.2">
      <c r="B359" s="27">
        <v>56</v>
      </c>
      <c r="C359" s="28" t="s">
        <v>878</v>
      </c>
      <c r="D359" s="28" t="s">
        <v>385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61.346899999999998</v>
      </c>
      <c r="N359" s="30">
        <v>0.24600260651629074</v>
      </c>
      <c r="O359" s="29">
        <v>1</v>
      </c>
      <c r="R359" s="27">
        <v>56</v>
      </c>
      <c r="S359" s="28" t="s">
        <v>878</v>
      </c>
      <c r="T359" s="28" t="s">
        <v>385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44.543399999999998</v>
      </c>
      <c r="AD359" s="30">
        <v>0.17862015037593987</v>
      </c>
      <c r="AE359" s="29">
        <v>1</v>
      </c>
    </row>
    <row r="360" spans="2:31" x14ac:dyDescent="0.2">
      <c r="B360" s="27">
        <v>57</v>
      </c>
      <c r="C360" s="28" t="s">
        <v>880</v>
      </c>
      <c r="D360" s="28" t="s">
        <v>383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-43.907200000000003</v>
      </c>
      <c r="N360" s="30">
        <v>0.17606897243107772</v>
      </c>
      <c r="O360" s="29">
        <v>1</v>
      </c>
      <c r="R360" s="27">
        <v>57</v>
      </c>
      <c r="S360" s="28" t="s">
        <v>880</v>
      </c>
      <c r="T360" s="28" t="s">
        <v>383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-43.980899999999998</v>
      </c>
      <c r="AD360" s="30">
        <v>0.1763645112781955</v>
      </c>
      <c r="AE360" s="29">
        <v>1</v>
      </c>
    </row>
    <row r="361" spans="2:31" x14ac:dyDescent="0.2">
      <c r="B361" s="27">
        <v>57</v>
      </c>
      <c r="C361" s="28" t="s">
        <v>881</v>
      </c>
      <c r="D361" s="28" t="s">
        <v>385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61.346899999999998</v>
      </c>
      <c r="N361" s="30">
        <v>0.24600260651629074</v>
      </c>
      <c r="O361" s="29">
        <v>1</v>
      </c>
      <c r="R361" s="27">
        <v>57</v>
      </c>
      <c r="S361" s="28" t="s">
        <v>881</v>
      </c>
      <c r="T361" s="28" t="s">
        <v>385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44.543399999999998</v>
      </c>
      <c r="AD361" s="30">
        <v>0.17862015037593987</v>
      </c>
      <c r="AE361" s="29">
        <v>1</v>
      </c>
    </row>
    <row r="362" spans="2:31" x14ac:dyDescent="0.2">
      <c r="B362" s="27">
        <v>27</v>
      </c>
      <c r="C362" s="28" t="s">
        <v>883</v>
      </c>
      <c r="D362" s="28" t="s">
        <v>383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-64.654600000000002</v>
      </c>
      <c r="N362" s="30">
        <v>0.25926656641604007</v>
      </c>
      <c r="O362" s="29">
        <v>1</v>
      </c>
      <c r="R362" s="27">
        <v>27</v>
      </c>
      <c r="S362" s="28" t="s">
        <v>883</v>
      </c>
      <c r="T362" s="28" t="s">
        <v>383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-64.690799999999996</v>
      </c>
      <c r="AD362" s="30">
        <v>0.25941172932330825</v>
      </c>
      <c r="AE362" s="29">
        <v>1</v>
      </c>
    </row>
    <row r="363" spans="2:31" x14ac:dyDescent="0.2">
      <c r="B363" s="27">
        <v>27</v>
      </c>
      <c r="C363" s="28" t="s">
        <v>884</v>
      </c>
      <c r="D363" s="28" t="s">
        <v>385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61.346899999999998</v>
      </c>
      <c r="N363" s="30">
        <v>0.24600260651629074</v>
      </c>
      <c r="O363" s="29">
        <v>1</v>
      </c>
      <c r="R363" s="27">
        <v>27</v>
      </c>
      <c r="S363" s="28" t="s">
        <v>884</v>
      </c>
      <c r="T363" s="28" t="s">
        <v>385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44.543399999999998</v>
      </c>
      <c r="AD363" s="30">
        <v>0.17862015037593987</v>
      </c>
      <c r="AE363" s="29">
        <v>1</v>
      </c>
    </row>
    <row r="364" spans="2:31" x14ac:dyDescent="0.2">
      <c r="B364" s="27">
        <v>30</v>
      </c>
      <c r="C364" s="28" t="s">
        <v>886</v>
      </c>
      <c r="D364" s="28" t="s">
        <v>383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-86.608699999999999</v>
      </c>
      <c r="N364" s="30">
        <v>0.34730305764411029</v>
      </c>
      <c r="O364" s="29">
        <v>1</v>
      </c>
      <c r="R364" s="27">
        <v>30</v>
      </c>
      <c r="S364" s="28" t="s">
        <v>886</v>
      </c>
      <c r="T364" s="28" t="s">
        <v>383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-86.634299999999996</v>
      </c>
      <c r="AD364" s="30">
        <v>0.34740571428571432</v>
      </c>
      <c r="AE364" s="29">
        <v>1</v>
      </c>
    </row>
    <row r="365" spans="2:31" x14ac:dyDescent="0.2">
      <c r="B365" s="27">
        <v>30</v>
      </c>
      <c r="C365" s="28" t="s">
        <v>887</v>
      </c>
      <c r="D365" s="28" t="s">
        <v>385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61.346899999999998</v>
      </c>
      <c r="N365" s="30">
        <v>0.24600260651629074</v>
      </c>
      <c r="O365" s="29">
        <v>1</v>
      </c>
      <c r="R365" s="27">
        <v>30</v>
      </c>
      <c r="S365" s="28" t="s">
        <v>887</v>
      </c>
      <c r="T365" s="28" t="s">
        <v>385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44.543399999999998</v>
      </c>
      <c r="AD365" s="30">
        <v>0.17862015037593987</v>
      </c>
      <c r="AE365" s="29">
        <v>1</v>
      </c>
    </row>
    <row r="366" spans="2:31" x14ac:dyDescent="0.2">
      <c r="B366" s="27">
        <v>33</v>
      </c>
      <c r="C366" s="28" t="s">
        <v>889</v>
      </c>
      <c r="D366" s="28" t="s">
        <v>383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-81.963999999999999</v>
      </c>
      <c r="N366" s="30">
        <v>0.32867769423558896</v>
      </c>
      <c r="O366" s="29">
        <v>1</v>
      </c>
      <c r="R366" s="27">
        <v>33</v>
      </c>
      <c r="S366" s="28" t="s">
        <v>889</v>
      </c>
      <c r="T366" s="28" t="s">
        <v>383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-81.975399999999993</v>
      </c>
      <c r="AD366" s="30">
        <v>0.32872340852130322</v>
      </c>
      <c r="AE366" s="29">
        <v>1</v>
      </c>
    </row>
    <row r="367" spans="2:31" x14ac:dyDescent="0.2">
      <c r="B367" s="27">
        <v>33</v>
      </c>
      <c r="C367" s="28" t="s">
        <v>890</v>
      </c>
      <c r="D367" s="28" t="s">
        <v>385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61.346899999999998</v>
      </c>
      <c r="N367" s="30">
        <v>0.24600260651629074</v>
      </c>
      <c r="O367" s="29">
        <v>1</v>
      </c>
      <c r="R367" s="27">
        <v>33</v>
      </c>
      <c r="S367" s="28" t="s">
        <v>890</v>
      </c>
      <c r="T367" s="28" t="s">
        <v>385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44.543399999999998</v>
      </c>
      <c r="AD367" s="30">
        <v>0.17862015037593987</v>
      </c>
      <c r="AE367" s="29">
        <v>1</v>
      </c>
    </row>
    <row r="368" spans="2:31" x14ac:dyDescent="0.2">
      <c r="B368" s="27">
        <v>36</v>
      </c>
      <c r="C368" s="28" t="s">
        <v>892</v>
      </c>
      <c r="D368" s="28" t="s">
        <v>383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-81.954999999999998</v>
      </c>
      <c r="N368" s="30">
        <v>0.32864160401002507</v>
      </c>
      <c r="O368" s="29">
        <v>1</v>
      </c>
      <c r="R368" s="27">
        <v>36</v>
      </c>
      <c r="S368" s="28" t="s">
        <v>892</v>
      </c>
      <c r="T368" s="28" t="s">
        <v>383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-81.956800000000001</v>
      </c>
      <c r="AD368" s="30">
        <v>0.32864882205513785</v>
      </c>
      <c r="AE368" s="29">
        <v>1</v>
      </c>
    </row>
    <row r="369" spans="2:31" x14ac:dyDescent="0.2">
      <c r="B369" s="27">
        <v>36</v>
      </c>
      <c r="C369" s="28" t="s">
        <v>893</v>
      </c>
      <c r="D369" s="28" t="s">
        <v>385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61.346899999999998</v>
      </c>
      <c r="N369" s="30">
        <v>0.24600260651629074</v>
      </c>
      <c r="O369" s="29">
        <v>1</v>
      </c>
      <c r="R369" s="27">
        <v>36</v>
      </c>
      <c r="S369" s="28" t="s">
        <v>893</v>
      </c>
      <c r="T369" s="28" t="s">
        <v>385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44.543399999999998</v>
      </c>
      <c r="AD369" s="30">
        <v>0.17862015037593987</v>
      </c>
      <c r="AE369" s="29">
        <v>1</v>
      </c>
    </row>
    <row r="370" spans="2:31" x14ac:dyDescent="0.2">
      <c r="B370" s="27">
        <v>39</v>
      </c>
      <c r="C370" s="28" t="s">
        <v>895</v>
      </c>
      <c r="D370" s="28" t="s">
        <v>383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-86.581000000000003</v>
      </c>
      <c r="N370" s="30">
        <v>0.34719197994987466</v>
      </c>
      <c r="O370" s="29">
        <v>1</v>
      </c>
      <c r="R370" s="27">
        <v>39</v>
      </c>
      <c r="S370" s="28" t="s">
        <v>895</v>
      </c>
      <c r="T370" s="28" t="s">
        <v>383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-86.569199999999995</v>
      </c>
      <c r="AD370" s="30">
        <v>0.34714466165413532</v>
      </c>
      <c r="AE370" s="29">
        <v>1</v>
      </c>
    </row>
    <row r="371" spans="2:31" x14ac:dyDescent="0.2">
      <c r="B371" s="27">
        <v>39</v>
      </c>
      <c r="C371" s="28" t="s">
        <v>896</v>
      </c>
      <c r="D371" s="28" t="s">
        <v>385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61.346899999999998</v>
      </c>
      <c r="N371" s="30">
        <v>0.24600260651629074</v>
      </c>
      <c r="O371" s="29">
        <v>1</v>
      </c>
      <c r="R371" s="27">
        <v>39</v>
      </c>
      <c r="S371" s="28" t="s">
        <v>896</v>
      </c>
      <c r="T371" s="28" t="s">
        <v>385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44.543399999999998</v>
      </c>
      <c r="AD371" s="30">
        <v>0.17862015037593987</v>
      </c>
      <c r="AE371" s="29">
        <v>1</v>
      </c>
    </row>
    <row r="372" spans="2:31" x14ac:dyDescent="0.2">
      <c r="B372" s="27">
        <v>42</v>
      </c>
      <c r="C372" s="28" t="s">
        <v>898</v>
      </c>
      <c r="D372" s="28" t="s">
        <v>383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-64.621200000000002</v>
      </c>
      <c r="N372" s="30">
        <v>0.25913263157894739</v>
      </c>
      <c r="O372" s="29">
        <v>1</v>
      </c>
      <c r="R372" s="27">
        <v>42</v>
      </c>
      <c r="S372" s="28" t="s">
        <v>898</v>
      </c>
      <c r="T372" s="28" t="s">
        <v>383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-64.595100000000002</v>
      </c>
      <c r="AD372" s="30">
        <v>0.25902796992481203</v>
      </c>
      <c r="AE372" s="29">
        <v>1</v>
      </c>
    </row>
    <row r="373" spans="2:31" x14ac:dyDescent="0.2">
      <c r="B373" s="27">
        <v>42</v>
      </c>
      <c r="C373" s="28" t="s">
        <v>899</v>
      </c>
      <c r="D373" s="28" t="s">
        <v>385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61.346899999999998</v>
      </c>
      <c r="N373" s="30">
        <v>0.24600260651629074</v>
      </c>
      <c r="O373" s="29">
        <v>1</v>
      </c>
      <c r="R373" s="27">
        <v>42</v>
      </c>
      <c r="S373" s="28" t="s">
        <v>899</v>
      </c>
      <c r="T373" s="28" t="s">
        <v>385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44.543399999999998</v>
      </c>
      <c r="AD373" s="30">
        <v>0.17862015037593987</v>
      </c>
      <c r="AE373" s="29">
        <v>1</v>
      </c>
    </row>
    <row r="374" spans="2:31" x14ac:dyDescent="0.2">
      <c r="B374" s="27">
        <v>58</v>
      </c>
      <c r="C374" s="28" t="s">
        <v>901</v>
      </c>
      <c r="D374" s="28" t="s">
        <v>383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-34.305300000000003</v>
      </c>
      <c r="N374" s="30">
        <v>0.13756511278195491</v>
      </c>
      <c r="O374" s="29">
        <v>1</v>
      </c>
      <c r="R374" s="27">
        <v>58</v>
      </c>
      <c r="S374" s="28" t="s">
        <v>901</v>
      </c>
      <c r="T374" s="28" t="s">
        <v>383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-34.371299999999998</v>
      </c>
      <c r="AD374" s="30">
        <v>0.13782977443609021</v>
      </c>
      <c r="AE374" s="29">
        <v>1</v>
      </c>
    </row>
    <row r="375" spans="2:31" x14ac:dyDescent="0.2">
      <c r="B375" s="27">
        <v>58</v>
      </c>
      <c r="C375" s="28" t="s">
        <v>902</v>
      </c>
      <c r="D375" s="28" t="s">
        <v>385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61.346899999999998</v>
      </c>
      <c r="N375" s="30">
        <v>0.24600260651629074</v>
      </c>
      <c r="O375" s="29">
        <v>1</v>
      </c>
      <c r="R375" s="27">
        <v>58</v>
      </c>
      <c r="S375" s="28" t="s">
        <v>902</v>
      </c>
      <c r="T375" s="28" t="s">
        <v>385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44.543399999999998</v>
      </c>
      <c r="AD375" s="30">
        <v>0.17862015037593987</v>
      </c>
      <c r="AE375" s="29">
        <v>1</v>
      </c>
    </row>
    <row r="376" spans="2:31" x14ac:dyDescent="0.2">
      <c r="B376" s="27">
        <v>59</v>
      </c>
      <c r="C376" s="28" t="s">
        <v>904</v>
      </c>
      <c r="D376" s="28" t="s">
        <v>383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-37.368000000000002</v>
      </c>
      <c r="N376" s="30">
        <v>0.14984661654135339</v>
      </c>
      <c r="O376" s="29">
        <v>1</v>
      </c>
      <c r="R376" s="27">
        <v>59</v>
      </c>
      <c r="S376" s="28" t="s">
        <v>904</v>
      </c>
      <c r="T376" s="28" t="s">
        <v>383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-37.443600000000004</v>
      </c>
      <c r="AD376" s="30">
        <v>0.15014977443609026</v>
      </c>
      <c r="AE376" s="29">
        <v>1</v>
      </c>
    </row>
    <row r="377" spans="2:31" x14ac:dyDescent="0.2">
      <c r="B377" s="27">
        <v>59</v>
      </c>
      <c r="C377" s="28" t="s">
        <v>905</v>
      </c>
      <c r="D377" s="28" t="s">
        <v>385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61.346899999999998</v>
      </c>
      <c r="N377" s="30">
        <v>0.24600260651629074</v>
      </c>
      <c r="O377" s="29">
        <v>1</v>
      </c>
      <c r="R377" s="27">
        <v>59</v>
      </c>
      <c r="S377" s="28" t="s">
        <v>905</v>
      </c>
      <c r="T377" s="28" t="s">
        <v>385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44.543399999999998</v>
      </c>
      <c r="AD377" s="30">
        <v>0.17862015037593987</v>
      </c>
      <c r="AE377" s="29">
        <v>1</v>
      </c>
    </row>
    <row r="378" spans="2:31" x14ac:dyDescent="0.2">
      <c r="B378" s="27">
        <v>60</v>
      </c>
      <c r="C378" s="28" t="s">
        <v>906</v>
      </c>
      <c r="D378" s="28" t="s">
        <v>383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-34.489899999999999</v>
      </c>
      <c r="N378" s="30">
        <v>0.13830536340852131</v>
      </c>
      <c r="O378" s="29">
        <v>1</v>
      </c>
      <c r="R378" s="27">
        <v>60</v>
      </c>
      <c r="S378" s="28" t="s">
        <v>906</v>
      </c>
      <c r="T378" s="28" t="s">
        <v>383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-34.569899999999997</v>
      </c>
      <c r="AD378" s="30">
        <v>0.13862616541353381</v>
      </c>
      <c r="AE378" s="29">
        <v>1</v>
      </c>
    </row>
    <row r="379" spans="2:31" x14ac:dyDescent="0.2">
      <c r="B379" s="27">
        <v>60</v>
      </c>
      <c r="C379" s="28" t="s">
        <v>907</v>
      </c>
      <c r="D379" s="28" t="s">
        <v>385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61.346899999999998</v>
      </c>
      <c r="N379" s="30">
        <v>0.24600260651629074</v>
      </c>
      <c r="O379" s="29">
        <v>1</v>
      </c>
      <c r="R379" s="27">
        <v>60</v>
      </c>
      <c r="S379" s="28" t="s">
        <v>907</v>
      </c>
      <c r="T379" s="28" t="s">
        <v>385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44.543399999999998</v>
      </c>
      <c r="AD379" s="30">
        <v>0.17862015037593987</v>
      </c>
      <c r="AE379" s="29">
        <v>1</v>
      </c>
    </row>
    <row r="380" spans="2:31" x14ac:dyDescent="0.2">
      <c r="B380" s="27">
        <v>61</v>
      </c>
      <c r="C380" s="28" t="s">
        <v>908</v>
      </c>
      <c r="D380" s="28" t="s">
        <v>383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-34.139200000000002</v>
      </c>
      <c r="N380" s="30">
        <v>0.13689904761904764</v>
      </c>
      <c r="O380" s="29">
        <v>1</v>
      </c>
      <c r="R380" s="27">
        <v>61</v>
      </c>
      <c r="S380" s="28" t="s">
        <v>908</v>
      </c>
      <c r="T380" s="28" t="s">
        <v>383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-34.2166</v>
      </c>
      <c r="AD380" s="30">
        <v>0.13720942355889723</v>
      </c>
      <c r="AE380" s="29">
        <v>1</v>
      </c>
    </row>
    <row r="381" spans="2:31" x14ac:dyDescent="0.2">
      <c r="B381" s="27">
        <v>61</v>
      </c>
      <c r="C381" s="28" t="s">
        <v>909</v>
      </c>
      <c r="D381" s="28" t="s">
        <v>385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61.346899999999998</v>
      </c>
      <c r="N381" s="30">
        <v>0.24600260651629074</v>
      </c>
      <c r="O381" s="29">
        <v>1</v>
      </c>
      <c r="R381" s="27">
        <v>61</v>
      </c>
      <c r="S381" s="28" t="s">
        <v>909</v>
      </c>
      <c r="T381" s="28" t="s">
        <v>385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44.543399999999998</v>
      </c>
      <c r="AD381" s="30">
        <v>0.17862015037593987</v>
      </c>
      <c r="AE381" s="29">
        <v>1</v>
      </c>
    </row>
    <row r="382" spans="2:31" x14ac:dyDescent="0.2">
      <c r="B382" s="27">
        <v>62</v>
      </c>
      <c r="C382" s="28" t="s">
        <v>911</v>
      </c>
      <c r="D382" s="28" t="s">
        <v>383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-38.004300000000001</v>
      </c>
      <c r="N382" s="30">
        <v>0.15239819548872183</v>
      </c>
      <c r="O382" s="29">
        <v>1</v>
      </c>
      <c r="R382" s="27">
        <v>62</v>
      </c>
      <c r="S382" s="28" t="s">
        <v>911</v>
      </c>
      <c r="T382" s="28" t="s">
        <v>383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-38.072800000000001</v>
      </c>
      <c r="AD382" s="30">
        <v>0.15267288220551378</v>
      </c>
      <c r="AE382" s="29">
        <v>1</v>
      </c>
    </row>
    <row r="383" spans="2:31" x14ac:dyDescent="0.2">
      <c r="B383" s="27">
        <v>62</v>
      </c>
      <c r="C383" s="28" t="s">
        <v>912</v>
      </c>
      <c r="D383" s="28" t="s">
        <v>385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61.346899999999998</v>
      </c>
      <c r="N383" s="30">
        <v>0.24600260651629074</v>
      </c>
      <c r="O383" s="29">
        <v>1</v>
      </c>
      <c r="R383" s="27">
        <v>62</v>
      </c>
      <c r="S383" s="28" t="s">
        <v>912</v>
      </c>
      <c r="T383" s="28" t="s">
        <v>385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44.543399999999998</v>
      </c>
      <c r="AD383" s="30">
        <v>0.17862015037593987</v>
      </c>
      <c r="AE383" s="29">
        <v>1</v>
      </c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943</v>
      </c>
      <c r="C4" s="67">
        <f>'İtme Analizi'!$C$2</f>
        <v>0.34699999999999998</v>
      </c>
      <c r="D4" s="67"/>
      <c r="E4" s="67"/>
    </row>
    <row r="5" spans="1:5" ht="13.9" customHeight="1" x14ac:dyDescent="0.25">
      <c r="B5" s="33" t="s">
        <v>944</v>
      </c>
      <c r="C5" s="68">
        <f>'İtme Analizi'!$C$3</f>
        <v>9.2999999999999999E-2</v>
      </c>
      <c r="D5" s="68"/>
      <c r="E5" s="68"/>
    </row>
    <row r="6" spans="1:5" ht="13.9" customHeight="1" x14ac:dyDescent="0.25">
      <c r="B6" s="34" t="s">
        <v>0</v>
      </c>
      <c r="C6" s="34" t="s">
        <v>945</v>
      </c>
      <c r="D6" s="34" t="s">
        <v>945</v>
      </c>
      <c r="E6" s="34" t="s">
        <v>946</v>
      </c>
    </row>
    <row r="7" spans="1:5" ht="13.9" customHeight="1" x14ac:dyDescent="0.25">
      <c r="B7" s="25" t="s">
        <v>4</v>
      </c>
      <c r="C7" s="25" t="s">
        <v>5</v>
      </c>
      <c r="D7" s="25" t="s">
        <v>947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0.13880000000000001</v>
      </c>
      <c r="D8" s="30">
        <f>C8*9.8067</f>
        <v>1.36116996</v>
      </c>
      <c r="E8" s="30">
        <f>((B8^2)/(4*PI()^2))*D8</f>
        <v>0</v>
      </c>
    </row>
    <row r="9" spans="1:5" ht="13.9" customHeight="1" x14ac:dyDescent="0.25">
      <c r="B9" s="35">
        <f>0.2*$C$5/$C$4</f>
        <v>5.3602305475504333E-2</v>
      </c>
      <c r="C9" s="30">
        <f>$C$4</f>
        <v>0.34699999999999998</v>
      </c>
      <c r="D9" s="30">
        <f>C9*9.8067</f>
        <v>3.4029248999999995</v>
      </c>
      <c r="E9" s="30">
        <f t="shared" ref="E9:E72" si="0">((B9^2)/(4*PI()^2))*D9</f>
        <v>2.4766210893681102E-4</v>
      </c>
    </row>
    <row r="10" spans="1:5" ht="13.9" customHeight="1" x14ac:dyDescent="0.25">
      <c r="B10" s="36">
        <f>$C$5/$C$4</f>
        <v>0.26801152737752165</v>
      </c>
      <c r="C10" s="30">
        <f>$C$9</f>
        <v>0.34699999999999998</v>
      </c>
      <c r="D10" s="30">
        <f>C10*9.8067</f>
        <v>3.4029248999999995</v>
      </c>
      <c r="E10" s="30">
        <f t="shared" si="0"/>
        <v>6.1915527234202745E-3</v>
      </c>
    </row>
    <row r="11" spans="1:5" ht="13.9" customHeight="1" x14ac:dyDescent="0.25">
      <c r="B11" s="29">
        <f>B10+0.01</f>
        <v>0.27801152737752166</v>
      </c>
      <c r="C11" s="30">
        <f>IF(B11&lt;6,$C$5/B11,6*$C$5/B11^2)</f>
        <v>0.33451850316160459</v>
      </c>
      <c r="D11" s="30">
        <f t="shared" ref="D11:D72" si="1">C11*9.8067</f>
        <v>3.2805226049549074</v>
      </c>
      <c r="E11" s="30">
        <f t="shared" si="0"/>
        <v>6.42257087342316E-3</v>
      </c>
    </row>
    <row r="12" spans="1:5" ht="13.9" customHeight="1" x14ac:dyDescent="0.25">
      <c r="B12" s="29">
        <f>B11+0.01</f>
        <v>0.28801152737752167</v>
      </c>
      <c r="C12" s="30">
        <f>IF(B12&lt;6,$C$5/B12,6*$C$5/B12^2)</f>
        <v>0.32290374224534713</v>
      </c>
      <c r="D12" s="30">
        <f t="shared" si="1"/>
        <v>3.1666201290774456</v>
      </c>
      <c r="E12" s="30">
        <f t="shared" si="0"/>
        <v>6.6535890234260446E-3</v>
      </c>
    </row>
    <row r="13" spans="1:5" ht="13.9" customHeight="1" x14ac:dyDescent="0.25">
      <c r="B13" s="29">
        <f>B12+0.01</f>
        <v>0.29801152737752168</v>
      </c>
      <c r="C13" s="30">
        <f t="shared" ref="C13:C76" si="2">IF(B13&lt;6,$C$5/B13,6*$C$5/B13^2)</f>
        <v>0.31206846533217281</v>
      </c>
      <c r="D13" s="30">
        <f t="shared" si="1"/>
        <v>3.0603618189730191</v>
      </c>
      <c r="E13" s="30">
        <f t="shared" si="0"/>
        <v>6.8846071734289319E-3</v>
      </c>
    </row>
    <row r="14" spans="1:5" ht="13.9" customHeight="1" x14ac:dyDescent="0.25">
      <c r="B14" s="29">
        <f t="shared" ref="B14:B77" si="3">B13+0.01</f>
        <v>0.30801152737752169</v>
      </c>
      <c r="C14" s="30">
        <f t="shared" si="2"/>
        <v>0.30193675149700594</v>
      </c>
      <c r="D14" s="30">
        <f>C14*9.8067</f>
        <v>2.9610031409056878</v>
      </c>
      <c r="E14" s="30">
        <f t="shared" si="0"/>
        <v>7.1156253234318165E-3</v>
      </c>
    </row>
    <row r="15" spans="1:5" ht="13.9" customHeight="1" x14ac:dyDescent="0.25">
      <c r="B15" s="29">
        <f t="shared" si="3"/>
        <v>0.3180115273775217</v>
      </c>
      <c r="C15" s="30">
        <f t="shared" si="2"/>
        <v>0.29244222927050284</v>
      </c>
      <c r="D15" s="30">
        <f>C15*9.8067</f>
        <v>2.8678932097870402</v>
      </c>
      <c r="E15" s="30">
        <f t="shared" si="0"/>
        <v>7.3466434734347028E-3</v>
      </c>
    </row>
    <row r="16" spans="1:5" ht="13.9" customHeight="1" x14ac:dyDescent="0.25">
      <c r="B16" s="29">
        <f t="shared" si="3"/>
        <v>0.32801152737752171</v>
      </c>
      <c r="C16" s="30">
        <f t="shared" si="2"/>
        <v>0.28352662098049541</v>
      </c>
      <c r="D16" s="30">
        <f t="shared" si="1"/>
        <v>2.7804605139694241</v>
      </c>
      <c r="E16" s="30">
        <f t="shared" si="0"/>
        <v>7.5776616234375874E-3</v>
      </c>
    </row>
    <row r="17" spans="2:5" ht="13.9" customHeight="1" x14ac:dyDescent="0.25">
      <c r="B17" s="29">
        <f t="shared" si="3"/>
        <v>0.33801152737752171</v>
      </c>
      <c r="C17" s="30">
        <f>IF(B17&lt;6,$C$5/B17,6*$C$5/B17^2)</f>
        <v>0.27513854548554856</v>
      </c>
      <c r="D17" s="30">
        <f t="shared" si="1"/>
        <v>2.6982011740131289</v>
      </c>
      <c r="E17" s="30">
        <f t="shared" si="0"/>
        <v>7.8086797734404738E-3</v>
      </c>
    </row>
    <row r="18" spans="2:5" ht="13.9" customHeight="1" x14ac:dyDescent="0.25">
      <c r="B18" s="29">
        <f t="shared" si="3"/>
        <v>0.34801152737752172</v>
      </c>
      <c r="C18" s="30">
        <f t="shared" si="2"/>
        <v>0.26723252732692937</v>
      </c>
      <c r="D18" s="30">
        <f t="shared" si="1"/>
        <v>2.6206692257369979</v>
      </c>
      <c r="E18" s="30">
        <f t="shared" si="0"/>
        <v>8.0396979234433584E-3</v>
      </c>
    </row>
    <row r="19" spans="2:5" ht="13.9" customHeight="1" x14ac:dyDescent="0.25">
      <c r="B19" s="29">
        <f t="shared" si="3"/>
        <v>0.35801152737752173</v>
      </c>
      <c r="C19" s="30">
        <f t="shared" si="2"/>
        <v>0.25976817193914503</v>
      </c>
      <c r="D19" s="30">
        <f t="shared" si="1"/>
        <v>2.5474685317556136</v>
      </c>
      <c r="E19" s="30">
        <f t="shared" si="0"/>
        <v>8.2707160734462448E-3</v>
      </c>
    </row>
    <row r="20" spans="2:5" ht="13.9" customHeight="1" x14ac:dyDescent="0.25">
      <c r="B20" s="29">
        <f t="shared" si="3"/>
        <v>0.36801152737752174</v>
      </c>
      <c r="C20" s="30">
        <f t="shared" si="2"/>
        <v>0.25270947533281118</v>
      </c>
      <c r="D20" s="30">
        <f t="shared" si="1"/>
        <v>2.4782460117462795</v>
      </c>
      <c r="E20" s="30">
        <f t="shared" si="0"/>
        <v>8.5017342234491311E-3</v>
      </c>
    </row>
    <row r="21" spans="2:5" ht="13.9" customHeight="1" x14ac:dyDescent="0.25">
      <c r="B21" s="29">
        <f t="shared" si="3"/>
        <v>0.37801152737752175</v>
      </c>
      <c r="C21" s="30">
        <f t="shared" si="2"/>
        <v>0.24602424334832651</v>
      </c>
      <c r="D21" s="30">
        <f t="shared" si="1"/>
        <v>2.4126859472440336</v>
      </c>
      <c r="E21" s="30">
        <f t="shared" si="0"/>
        <v>8.7327523734520174E-3</v>
      </c>
    </row>
    <row r="22" spans="2:5" ht="13.9" customHeight="1" x14ac:dyDescent="0.25">
      <c r="B22" s="29">
        <f t="shared" si="3"/>
        <v>0.38801152737752176</v>
      </c>
      <c r="C22" s="30">
        <f t="shared" si="2"/>
        <v>0.2396836007130124</v>
      </c>
      <c r="D22" s="30">
        <f t="shared" si="1"/>
        <v>2.3505051671122983</v>
      </c>
      <c r="E22" s="30">
        <f t="shared" si="0"/>
        <v>8.9637705234549021E-3</v>
      </c>
    </row>
    <row r="23" spans="2:5" ht="13.9" customHeight="1" x14ac:dyDescent="0.25">
      <c r="B23" s="29">
        <f t="shared" si="3"/>
        <v>0.39801152737752177</v>
      </c>
      <c r="C23" s="30">
        <f t="shared" si="2"/>
        <v>0.2336615741075953</v>
      </c>
      <c r="D23" s="30">
        <f t="shared" si="1"/>
        <v>2.2914489588009546</v>
      </c>
      <c r="E23" s="30">
        <f t="shared" si="0"/>
        <v>9.1947886734577867E-3</v>
      </c>
    </row>
    <row r="24" spans="2:5" ht="13.9" customHeight="1" x14ac:dyDescent="0.25">
      <c r="B24" s="29">
        <f t="shared" si="3"/>
        <v>0.40801152737752178</v>
      </c>
      <c r="C24" s="30">
        <f t="shared" si="2"/>
        <v>0.22793473654470961</v>
      </c>
      <c r="D24" s="30">
        <f t="shared" si="1"/>
        <v>2.2352875808730035</v>
      </c>
      <c r="E24" s="30">
        <f t="shared" si="0"/>
        <v>9.4258068234606748E-3</v>
      </c>
    </row>
    <row r="25" spans="2:5" ht="13.9" customHeight="1" x14ac:dyDescent="0.25">
      <c r="B25" s="29">
        <f t="shared" si="3"/>
        <v>0.41801152737752179</v>
      </c>
      <c r="C25" s="30">
        <f t="shared" si="2"/>
        <v>0.22248190279214056</v>
      </c>
      <c r="D25" s="30">
        <f t="shared" si="1"/>
        <v>2.1818132761116846</v>
      </c>
      <c r="E25" s="30">
        <f t="shared" si="0"/>
        <v>9.6568249734635576E-3</v>
      </c>
    </row>
    <row r="26" spans="2:5" ht="13.9" customHeight="1" x14ac:dyDescent="0.25">
      <c r="B26" s="29">
        <f t="shared" si="3"/>
        <v>0.42801152737752179</v>
      </c>
      <c r="C26" s="30">
        <f t="shared" si="2"/>
        <v>0.21728386749259349</v>
      </c>
      <c r="D26" s="30">
        <f t="shared" si="1"/>
        <v>2.1308377033396164</v>
      </c>
      <c r="E26" s="30">
        <f t="shared" si="0"/>
        <v>9.887843123466444E-3</v>
      </c>
    </row>
    <row r="27" spans="2:5" ht="13.9" customHeight="1" x14ac:dyDescent="0.25">
      <c r="B27" s="29">
        <f t="shared" si="3"/>
        <v>0.4380115273775218</v>
      </c>
      <c r="C27" s="30">
        <f t="shared" si="2"/>
        <v>0.21232317915652335</v>
      </c>
      <c r="D27" s="30">
        <f t="shared" si="1"/>
        <v>2.0821897210342772</v>
      </c>
      <c r="E27" s="30">
        <f t="shared" si="0"/>
        <v>1.0118861273469329E-2</v>
      </c>
    </row>
    <row r="28" spans="2:5" ht="13.9" customHeight="1" x14ac:dyDescent="0.25">
      <c r="B28" s="29">
        <f t="shared" si="3"/>
        <v>0.44801152737752181</v>
      </c>
      <c r="C28" s="30">
        <f t="shared" si="2"/>
        <v>0.2075839444230026</v>
      </c>
      <c r="D28" s="30">
        <f t="shared" si="1"/>
        <v>2.0357134677730593</v>
      </c>
      <c r="E28" s="30">
        <f t="shared" si="0"/>
        <v>1.0349879423472215E-2</v>
      </c>
    </row>
    <row r="29" spans="2:5" ht="13.9" customHeight="1" x14ac:dyDescent="0.25">
      <c r="B29" s="29">
        <f t="shared" si="3"/>
        <v>0.45801152737752182</v>
      </c>
      <c r="C29" s="30">
        <f t="shared" si="2"/>
        <v>0.20305165796262495</v>
      </c>
      <c r="D29" s="30">
        <f>C29*9.8067</f>
        <v>1.991266694142074</v>
      </c>
      <c r="E29" s="30">
        <f t="shared" si="0"/>
        <v>1.0580897573475101E-2</v>
      </c>
    </row>
    <row r="30" spans="2:5" ht="13.9" customHeight="1" x14ac:dyDescent="0.25">
      <c r="B30" s="29">
        <f t="shared" si="3"/>
        <v>0.46801152737752183</v>
      </c>
      <c r="C30" s="30">
        <f t="shared" si="2"/>
        <v>0.19871305418719201</v>
      </c>
      <c r="D30" s="30">
        <f t="shared" si="1"/>
        <v>1.9487193084975358</v>
      </c>
      <c r="E30" s="30">
        <f t="shared" si="0"/>
        <v>1.0811915723477988E-2</v>
      </c>
    </row>
    <row r="31" spans="2:5" ht="13.9" customHeight="1" x14ac:dyDescent="0.25">
      <c r="B31" s="29">
        <f t="shared" si="3"/>
        <v>0.47801152737752184</v>
      </c>
      <c r="C31" s="30">
        <f t="shared" si="2"/>
        <v>0.19455597757279788</v>
      </c>
      <c r="D31" s="30">
        <f t="shared" si="1"/>
        <v>1.9079521052631569</v>
      </c>
      <c r="E31" s="30">
        <f t="shared" si="0"/>
        <v>1.1042933873480874E-2</v>
      </c>
    </row>
    <row r="32" spans="2:5" ht="13.9" customHeight="1" x14ac:dyDescent="0.25">
      <c r="B32" s="29">
        <f t="shared" si="3"/>
        <v>0.48801152737752185</v>
      </c>
      <c r="C32" s="30">
        <f t="shared" si="2"/>
        <v>0.19056926892642012</v>
      </c>
      <c r="D32" s="30">
        <f t="shared" si="1"/>
        <v>1.868855649580724</v>
      </c>
      <c r="E32" s="30">
        <f t="shared" si="0"/>
        <v>1.1273952023483759E-2</v>
      </c>
    </row>
    <row r="33" spans="2:5" ht="13.9" customHeight="1" x14ac:dyDescent="0.25">
      <c r="B33" s="29">
        <f t="shared" si="3"/>
        <v>0.49801152737752186</v>
      </c>
      <c r="C33" s="30">
        <f t="shared" si="2"/>
        <v>0.18674266535501408</v>
      </c>
      <c r="D33" s="30">
        <f t="shared" si="1"/>
        <v>1.8313292963370165</v>
      </c>
      <c r="E33" s="30">
        <f t="shared" si="0"/>
        <v>1.1504970173486643E-2</v>
      </c>
    </row>
    <row r="34" spans="2:5" ht="13.9" customHeight="1" x14ac:dyDescent="0.25">
      <c r="B34" s="29">
        <f t="shared" si="3"/>
        <v>0.50801152737752187</v>
      </c>
      <c r="C34" s="30">
        <f t="shared" si="2"/>
        <v>0.18306671204901284</v>
      </c>
      <c r="D34" s="30">
        <f t="shared" si="1"/>
        <v>1.7952803250510541</v>
      </c>
      <c r="E34" s="30">
        <f t="shared" si="0"/>
        <v>1.173598832348953E-2</v>
      </c>
    </row>
    <row r="35" spans="2:5" ht="13.9" customHeight="1" x14ac:dyDescent="0.25">
      <c r="B35" s="29">
        <f t="shared" si="3"/>
        <v>0.51801152737752187</v>
      </c>
      <c r="C35" s="30">
        <f t="shared" si="2"/>
        <v>0.17953268428372732</v>
      </c>
      <c r="D35" s="30">
        <f t="shared" si="1"/>
        <v>1.7606231749652286</v>
      </c>
      <c r="E35" s="30">
        <f t="shared" si="0"/>
        <v>1.1967006473492416E-2</v>
      </c>
    </row>
    <row r="36" spans="2:5" ht="13.9" customHeight="1" x14ac:dyDescent="0.25">
      <c r="B36" s="29">
        <f t="shared" si="3"/>
        <v>0.52801152737752188</v>
      </c>
      <c r="C36" s="30">
        <f t="shared" si="2"/>
        <v>0.17613251828403004</v>
      </c>
      <c r="D36" s="30">
        <f t="shared" si="1"/>
        <v>1.7272787670559973</v>
      </c>
      <c r="E36" s="30">
        <f t="shared" si="0"/>
        <v>1.2198024623495302E-2</v>
      </c>
    </row>
    <row r="37" spans="2:5" ht="13.9" customHeight="1" x14ac:dyDescent="0.25">
      <c r="B37" s="29">
        <f t="shared" si="3"/>
        <v>0.53801152737752189</v>
      </c>
      <c r="C37" s="30">
        <f t="shared" si="2"/>
        <v>0.17285874979913216</v>
      </c>
      <c r="D37" s="30">
        <f t="shared" si="1"/>
        <v>1.6951739016551493</v>
      </c>
      <c r="E37" s="30">
        <f t="shared" si="0"/>
        <v>1.2429042773498187E-2</v>
      </c>
    </row>
    <row r="38" spans="2:5" ht="13.9" customHeight="1" x14ac:dyDescent="0.25">
      <c r="B38" s="29">
        <f t="shared" si="3"/>
        <v>0.5480115273775219</v>
      </c>
      <c r="C38" s="30">
        <f t="shared" si="2"/>
        <v>0.16970445940260823</v>
      </c>
      <c r="D38" s="30">
        <f t="shared" si="1"/>
        <v>1.664240722023558</v>
      </c>
      <c r="E38" s="30">
        <f t="shared" si="0"/>
        <v>1.2660060923501073E-2</v>
      </c>
    </row>
    <row r="39" spans="2:5" ht="13.9" customHeight="1" x14ac:dyDescent="0.25">
      <c r="B39" s="29">
        <f t="shared" si="3"/>
        <v>0.55801152737752191</v>
      </c>
      <c r="C39" s="30">
        <f t="shared" si="2"/>
        <v>0.16666322367401737</v>
      </c>
      <c r="D39" s="30">
        <f t="shared" si="1"/>
        <v>1.634416235603986</v>
      </c>
      <c r="E39" s="30">
        <f t="shared" si="0"/>
        <v>1.289107907350396E-2</v>
      </c>
    </row>
    <row r="40" spans="2:5" ht="13.9" customHeight="1" x14ac:dyDescent="0.25">
      <c r="B40" s="29">
        <f t="shared" si="3"/>
        <v>0.56801152737752192</v>
      </c>
      <c r="C40" s="30">
        <f t="shared" si="2"/>
        <v>0.16372907153729063</v>
      </c>
      <c r="D40" s="30">
        <f t="shared" si="1"/>
        <v>1.6056418858447479</v>
      </c>
      <c r="E40" s="30">
        <f t="shared" si="0"/>
        <v>1.3122097223506844E-2</v>
      </c>
    </row>
    <row r="41" spans="2:5" ht="13.9" customHeight="1" x14ac:dyDescent="0.25">
      <c r="B41" s="29">
        <f t="shared" si="3"/>
        <v>0.57801152737752193</v>
      </c>
      <c r="C41" s="30">
        <f t="shared" si="2"/>
        <v>0.16089644513137549</v>
      </c>
      <c r="D41" s="30">
        <f t="shared" si="1"/>
        <v>1.5778631684698599</v>
      </c>
      <c r="E41" s="30">
        <f t="shared" si="0"/>
        <v>1.3353115373509731E-2</v>
      </c>
    </row>
    <row r="42" spans="2:5" ht="13.9" customHeight="1" x14ac:dyDescent="0.25">
      <c r="B42" s="29">
        <f t="shared" si="3"/>
        <v>0.58801152737752194</v>
      </c>
      <c r="C42" s="30">
        <f t="shared" si="2"/>
        <v>0.15816016467359331</v>
      </c>
      <c r="D42" s="30">
        <f t="shared" si="1"/>
        <v>1.5510292869045275</v>
      </c>
      <c r="E42" s="30">
        <f t="shared" si="0"/>
        <v>1.3584133523512613E-2</v>
      </c>
    </row>
    <row r="43" spans="2:5" ht="13.9" customHeight="1" x14ac:dyDescent="0.25">
      <c r="B43" s="29">
        <f t="shared" si="3"/>
        <v>0.59801152737752195</v>
      </c>
      <c r="C43" s="30">
        <f t="shared" si="2"/>
        <v>0.15551539684834456</v>
      </c>
      <c r="D43" s="30">
        <f t="shared" si="1"/>
        <v>1.5250928422726604</v>
      </c>
      <c r="E43" s="30">
        <f t="shared" si="0"/>
        <v>1.38151516735155E-2</v>
      </c>
    </row>
    <row r="44" spans="2:5" ht="13.9" customHeight="1" x14ac:dyDescent="0.25">
      <c r="B44" s="29">
        <f t="shared" si="3"/>
        <v>0.60801152737752195</v>
      </c>
      <c r="C44" s="30">
        <f t="shared" si="2"/>
        <v>0.15295762631529047</v>
      </c>
      <c r="D44" s="30">
        <f t="shared" si="1"/>
        <v>1.5000095539861589</v>
      </c>
      <c r="E44" s="30">
        <f t="shared" si="0"/>
        <v>1.4046169823518388E-2</v>
      </c>
    </row>
    <row r="45" spans="2:5" ht="13.9" customHeight="1" x14ac:dyDescent="0.25">
      <c r="B45" s="29">
        <f t="shared" si="3"/>
        <v>0.61801152737752196</v>
      </c>
      <c r="C45" s="30">
        <f t="shared" si="2"/>
        <v>0.15048262998367909</v>
      </c>
      <c r="D45" s="30">
        <f t="shared" si="1"/>
        <v>1.4757380074609456</v>
      </c>
      <c r="E45" s="30">
        <f t="shared" si="0"/>
        <v>1.4277187973521271E-2</v>
      </c>
    </row>
    <row r="46" spans="2:5" ht="13.9" customHeight="1" x14ac:dyDescent="0.25">
      <c r="B46" s="29">
        <f t="shared" si="3"/>
        <v>0.62801152737752197</v>
      </c>
      <c r="C46" s="30">
        <f t="shared" si="2"/>
        <v>0.14808645374449331</v>
      </c>
      <c r="D46" s="30">
        <f t="shared" si="1"/>
        <v>1.4522394259361224</v>
      </c>
      <c r="E46" s="30">
        <f t="shared" si="0"/>
        <v>1.4508206123524157E-2</v>
      </c>
    </row>
    <row r="47" spans="2:5" ht="13.9" customHeight="1" x14ac:dyDescent="0.25">
      <c r="B47" s="29">
        <f t="shared" si="3"/>
        <v>0.63801152737752198</v>
      </c>
      <c r="C47" s="30">
        <f t="shared" si="2"/>
        <v>0.14576539139075831</v>
      </c>
      <c r="D47" s="30">
        <f t="shared" si="1"/>
        <v>1.4294774637517493</v>
      </c>
      <c r="E47" s="30">
        <f t="shared" si="0"/>
        <v>1.4739224273527043E-2</v>
      </c>
    </row>
    <row r="48" spans="2:5" ht="13.9" customHeight="1" x14ac:dyDescent="0.25">
      <c r="B48" s="29">
        <f t="shared" si="3"/>
        <v>0.64801152737752199</v>
      </c>
      <c r="C48" s="30">
        <f t="shared" si="2"/>
        <v>0.14351596548963791</v>
      </c>
      <c r="D48" s="30">
        <f t="shared" si="1"/>
        <v>1.407418018767232</v>
      </c>
      <c r="E48" s="30">
        <f t="shared" si="0"/>
        <v>1.4970242423529932E-2</v>
      </c>
    </row>
    <row r="49" spans="2:5" ht="13.9" customHeight="1" x14ac:dyDescent="0.25">
      <c r="B49" s="29">
        <f t="shared" si="3"/>
        <v>0.658011527377522</v>
      </c>
      <c r="C49" s="30">
        <f t="shared" si="2"/>
        <v>0.14133490999868603</v>
      </c>
      <c r="D49" s="30">
        <f t="shared" si="1"/>
        <v>1.3860290618841142</v>
      </c>
      <c r="E49" s="30">
        <f t="shared" si="0"/>
        <v>1.5201260573532816E-2</v>
      </c>
    </row>
    <row r="50" spans="2:5" ht="13.9" customHeight="1" x14ac:dyDescent="0.25">
      <c r="B50" s="29">
        <f t="shared" si="3"/>
        <v>0.66801152737752201</v>
      </c>
      <c r="C50" s="30">
        <f t="shared" si="2"/>
        <v>0.13921915444348568</v>
      </c>
      <c r="D50" s="30">
        <f t="shared" si="1"/>
        <v>1.365280481880931</v>
      </c>
      <c r="E50" s="30">
        <f t="shared" si="0"/>
        <v>1.5432278723535701E-2</v>
      </c>
    </row>
    <row r="51" spans="2:5" ht="13.9" customHeight="1" x14ac:dyDescent="0.25">
      <c r="B51" s="29">
        <f t="shared" si="3"/>
        <v>0.67801152737752202</v>
      </c>
      <c r="C51" s="30">
        <f t="shared" si="2"/>
        <v>0.13716580949547319</v>
      </c>
      <c r="D51" s="30">
        <f t="shared" si="1"/>
        <v>1.3451439439792567</v>
      </c>
      <c r="E51" s="30">
        <f t="shared" si="0"/>
        <v>1.5663296873538585E-2</v>
      </c>
    </row>
    <row r="52" spans="2:5" ht="13.9" customHeight="1" x14ac:dyDescent="0.25">
      <c r="B52" s="29">
        <f t="shared" si="3"/>
        <v>0.68801152737752203</v>
      </c>
      <c r="C52" s="30">
        <f t="shared" si="2"/>
        <v>0.13517215380748923</v>
      </c>
      <c r="D52" s="30">
        <f t="shared" si="1"/>
        <v>1.3255927607439046</v>
      </c>
      <c r="E52" s="30">
        <f t="shared" si="0"/>
        <v>1.5894315023541473E-2</v>
      </c>
    </row>
    <row r="53" spans="2:5" ht="13.9" customHeight="1" x14ac:dyDescent="0.25">
      <c r="B53" s="29">
        <f t="shared" si="3"/>
        <v>0.69801152737752203</v>
      </c>
      <c r="C53" s="30">
        <f t="shared" si="2"/>
        <v>0.13323562198092556</v>
      </c>
      <c r="D53" s="30">
        <f t="shared" si="1"/>
        <v>1.3066017740803426</v>
      </c>
      <c r="E53" s="30">
        <f t="shared" si="0"/>
        <v>1.6125333173544358E-2</v>
      </c>
    </row>
    <row r="54" spans="2:5" ht="13.9" customHeight="1" x14ac:dyDescent="0.25">
      <c r="B54" s="29">
        <f t="shared" si="3"/>
        <v>0.70801152737752204</v>
      </c>
      <c r="C54" s="30">
        <f t="shared" si="2"/>
        <v>0.13135379355258867</v>
      </c>
      <c r="D54" s="30">
        <f t="shared" si="1"/>
        <v>1.2881472472321711</v>
      </c>
      <c r="E54" s="30">
        <f t="shared" si="0"/>
        <v>1.6356351323547246E-2</v>
      </c>
    </row>
    <row r="55" spans="2:5" ht="13.9" customHeight="1" x14ac:dyDescent="0.25">
      <c r="B55" s="29">
        <f t="shared" si="3"/>
        <v>0.71801152737752205</v>
      </c>
      <c r="C55" s="30">
        <f t="shared" si="2"/>
        <v>0.12952438290186627</v>
      </c>
      <c r="D55" s="30">
        <f t="shared" si="1"/>
        <v>1.2702067658037319</v>
      </c>
      <c r="E55" s="30">
        <f t="shared" si="0"/>
        <v>1.6587369473550131E-2</v>
      </c>
    </row>
    <row r="56" spans="2:5" ht="13.9" customHeight="1" x14ac:dyDescent="0.25">
      <c r="B56" s="29">
        <f t="shared" si="3"/>
        <v>0.72801152737752206</v>
      </c>
      <c r="C56" s="30">
        <f t="shared" si="2"/>
        <v>0.12774522998970778</v>
      </c>
      <c r="D56" s="30">
        <f t="shared" si="1"/>
        <v>1.2527591469400672</v>
      </c>
      <c r="E56" s="30">
        <f t="shared" si="0"/>
        <v>1.6818387623553012E-2</v>
      </c>
    </row>
    <row r="57" spans="2:5" ht="13.9" customHeight="1" x14ac:dyDescent="0.25">
      <c r="B57" s="29">
        <f t="shared" si="3"/>
        <v>0.73801152737752207</v>
      </c>
      <c r="C57" s="30">
        <f t="shared" si="2"/>
        <v>0.12601429185052121</v>
      </c>
      <c r="D57" s="30">
        <f t="shared" si="1"/>
        <v>1.2357843558905062</v>
      </c>
      <c r="E57" s="30">
        <f t="shared" si="0"/>
        <v>1.7049405773555897E-2</v>
      </c>
    </row>
    <row r="58" spans="2:5" ht="13.9" customHeight="1" x14ac:dyDescent="0.25">
      <c r="B58" s="29">
        <f t="shared" si="3"/>
        <v>0.74801152737752208</v>
      </c>
      <c r="C58" s="30">
        <f t="shared" si="2"/>
        <v>0.12432963476652789</v>
      </c>
      <c r="D58" s="30">
        <f t="shared" si="1"/>
        <v>1.2192634292649089</v>
      </c>
      <c r="E58" s="30">
        <f t="shared" si="0"/>
        <v>1.7280423923558785E-2</v>
      </c>
    </row>
    <row r="59" spans="2:5" ht="13.9" customHeight="1" x14ac:dyDescent="0.25">
      <c r="B59" s="29">
        <f t="shared" si="3"/>
        <v>0.75801152737752209</v>
      </c>
      <c r="C59" s="30">
        <f t="shared" si="2"/>
        <v>0.12268942706155184</v>
      </c>
      <c r="D59" s="30">
        <f t="shared" si="1"/>
        <v>1.2031784043645204</v>
      </c>
      <c r="E59" s="30">
        <f t="shared" si="0"/>
        <v>1.7511442073561673E-2</v>
      </c>
    </row>
    <row r="60" spans="2:5" ht="13.9" customHeight="1" x14ac:dyDescent="0.25">
      <c r="B60" s="29">
        <f t="shared" si="3"/>
        <v>0.7680115273775221</v>
      </c>
      <c r="C60" s="30">
        <f t="shared" si="2"/>
        <v>0.12109193245778604</v>
      </c>
      <c r="D60" s="30">
        <f t="shared" si="1"/>
        <v>1.1875122540337704</v>
      </c>
      <c r="E60" s="30">
        <f t="shared" si="0"/>
        <v>1.7742460223564561E-2</v>
      </c>
    </row>
    <row r="61" spans="2:5" ht="13.9" customHeight="1" x14ac:dyDescent="0.25">
      <c r="B61" s="29">
        <f t="shared" si="3"/>
        <v>0.77801152737752211</v>
      </c>
      <c r="C61" s="30">
        <f t="shared" si="2"/>
        <v>0.11953550394488269</v>
      </c>
      <c r="D61" s="30">
        <f t="shared" si="1"/>
        <v>1.1722488265362809</v>
      </c>
      <c r="E61" s="30">
        <f t="shared" si="0"/>
        <v>1.7973478373567442E-2</v>
      </c>
    </row>
    <row r="62" spans="2:5" ht="13.9" customHeight="1" x14ac:dyDescent="0.25">
      <c r="B62" s="29">
        <f t="shared" si="3"/>
        <v>0.78801152737752211</v>
      </c>
      <c r="C62" s="30">
        <f t="shared" si="2"/>
        <v>0.11801857811585716</v>
      </c>
      <c r="D62" s="30">
        <f t="shared" si="1"/>
        <v>1.1573727900087762</v>
      </c>
      <c r="E62" s="30">
        <f t="shared" si="0"/>
        <v>1.820449652357033E-2</v>
      </c>
    </row>
    <row r="63" spans="2:5" ht="13.9" customHeight="1" x14ac:dyDescent="0.25">
      <c r="B63" s="29">
        <f t="shared" si="3"/>
        <v>0.79801152737752212</v>
      </c>
      <c r="C63" s="30">
        <f t="shared" si="2"/>
        <v>0.11653966992885767</v>
      </c>
      <c r="D63" s="30">
        <f t="shared" si="1"/>
        <v>1.1428695810913285</v>
      </c>
      <c r="E63" s="30">
        <f t="shared" si="0"/>
        <v>1.8435514673573218E-2</v>
      </c>
    </row>
    <row r="64" spans="2:5" ht="13.9" customHeight="1" x14ac:dyDescent="0.25">
      <c r="B64" s="29">
        <f t="shared" si="3"/>
        <v>0.80801152737752213</v>
      </c>
      <c r="C64" s="30">
        <f t="shared" si="2"/>
        <v>0.11509736785790706</v>
      </c>
      <c r="D64" s="30">
        <f t="shared" si="1"/>
        <v>1.128725357372137</v>
      </c>
      <c r="E64" s="30">
        <f t="shared" si="0"/>
        <v>1.8666532823576103E-2</v>
      </c>
    </row>
    <row r="65" spans="2:5" ht="13.9" customHeight="1" x14ac:dyDescent="0.25">
      <c r="B65" s="29">
        <f t="shared" si="3"/>
        <v>0.81801152737752214</v>
      </c>
      <c r="C65" s="30">
        <f t="shared" si="2"/>
        <v>0.11369032939933056</v>
      </c>
      <c r="D65" s="30">
        <f t="shared" si="1"/>
        <v>1.1149269533204149</v>
      </c>
      <c r="E65" s="30">
        <f t="shared" si="0"/>
        <v>1.8897550973578987E-2</v>
      </c>
    </row>
    <row r="66" spans="2:5" ht="13.9" customHeight="1" x14ac:dyDescent="0.25">
      <c r="B66" s="29">
        <f t="shared" si="3"/>
        <v>0.82801152737752215</v>
      </c>
      <c r="C66" s="30">
        <f t="shared" si="2"/>
        <v>0.11231727690380057</v>
      </c>
      <c r="D66" s="30">
        <f t="shared" si="1"/>
        <v>1.1014618394125009</v>
      </c>
      <c r="E66" s="30">
        <f t="shared" si="0"/>
        <v>1.9128569123581868E-2</v>
      </c>
    </row>
    <row r="67" spans="2:5" ht="13.9" customHeight="1" x14ac:dyDescent="0.25">
      <c r="B67" s="29">
        <f t="shared" si="3"/>
        <v>0.83801152737752216</v>
      </c>
      <c r="C67" s="30">
        <f t="shared" si="2"/>
        <v>0.11097699370679864</v>
      </c>
      <c r="D67" s="30">
        <f t="shared" si="1"/>
        <v>1.0883180841844622</v>
      </c>
      <c r="E67" s="30">
        <f t="shared" si="0"/>
        <v>1.9359587273584757E-2</v>
      </c>
    </row>
    <row r="68" spans="2:5" ht="13.9" customHeight="1" x14ac:dyDescent="0.25">
      <c r="B68" s="29">
        <f t="shared" si="3"/>
        <v>0.84801152737752217</v>
      </c>
      <c r="C68" s="30">
        <f t="shared" si="2"/>
        <v>0.10966832053286202</v>
      </c>
      <c r="D68" s="30">
        <f t="shared" si="1"/>
        <v>1.0754843189696179</v>
      </c>
      <c r="E68" s="30">
        <f t="shared" si="0"/>
        <v>1.9590605423587641E-2</v>
      </c>
    </row>
    <row r="69" spans="2:5" ht="13.9" customHeight="1" x14ac:dyDescent="0.25">
      <c r="B69" s="29">
        <f t="shared" si="3"/>
        <v>0.85801152737752218</v>
      </c>
      <c r="C69" s="30">
        <f t="shared" si="2"/>
        <v>0.10839015215127794</v>
      </c>
      <c r="D69" s="30">
        <f t="shared" si="1"/>
        <v>1.0629497051019372</v>
      </c>
      <c r="E69" s="30">
        <f t="shared" si="0"/>
        <v>1.9821623573590529E-2</v>
      </c>
    </row>
    <row r="70" spans="2:5" ht="13.9" customHeight="1" x14ac:dyDescent="0.25">
      <c r="B70" s="29">
        <f t="shared" si="3"/>
        <v>0.86801152737752219</v>
      </c>
      <c r="C70" s="30">
        <f t="shared" si="2"/>
        <v>0.10714143426294813</v>
      </c>
      <c r="D70" s="30">
        <f t="shared" si="1"/>
        <v>1.0507039033864534</v>
      </c>
      <c r="E70" s="30">
        <f t="shared" si="0"/>
        <v>2.0052641723593417E-2</v>
      </c>
    </row>
    <row r="71" spans="2:5" ht="13.9" customHeight="1" x14ac:dyDescent="0.25">
      <c r="B71" s="29">
        <f t="shared" si="3"/>
        <v>0.87801152737752219</v>
      </c>
      <c r="C71" s="30">
        <f t="shared" si="2"/>
        <v>0.10592116059999336</v>
      </c>
      <c r="D71" s="30">
        <f t="shared" si="1"/>
        <v>1.0387370456559548</v>
      </c>
      <c r="E71" s="30">
        <f t="shared" si="0"/>
        <v>2.0283659873596298E-2</v>
      </c>
    </row>
    <row r="72" spans="2:5" ht="13.9" customHeight="1" x14ac:dyDescent="0.25">
      <c r="B72" s="29">
        <f t="shared" si="3"/>
        <v>0.8880115273775222</v>
      </c>
      <c r="C72" s="30">
        <f t="shared" si="2"/>
        <v>0.1047283702213279</v>
      </c>
      <c r="D72" s="30">
        <f t="shared" si="1"/>
        <v>1.0270397082494962</v>
      </c>
      <c r="E72" s="30">
        <f t="shared" si="0"/>
        <v>2.0514678023599187E-2</v>
      </c>
    </row>
    <row r="73" spans="2:5" ht="13.9" customHeight="1" x14ac:dyDescent="0.25">
      <c r="B73" s="29">
        <f t="shared" si="3"/>
        <v>0.89801152737752221</v>
      </c>
      <c r="C73" s="30">
        <f t="shared" si="2"/>
        <v>0.10356214498892839</v>
      </c>
      <c r="D73" s="30">
        <f t="shared" ref="D73:D136" si="4">C73*9.8067</f>
        <v>1.0156028872629239</v>
      </c>
      <c r="E73" s="30">
        <f t="shared" ref="E73:E136" si="5">((B73^2)/(4*PI()^2))*D73</f>
        <v>2.0745696173602068E-2</v>
      </c>
    </row>
    <row r="74" spans="2:5" ht="13.9" customHeight="1" x14ac:dyDescent="0.25">
      <c r="B74" s="29">
        <f t="shared" si="3"/>
        <v>0.90801152737752222</v>
      </c>
      <c r="C74" s="30">
        <f t="shared" si="2"/>
        <v>0.10242160721086702</v>
      </c>
      <c r="D74" s="30">
        <f t="shared" si="4"/>
        <v>1.0044179754348095</v>
      </c>
      <c r="E74" s="30">
        <f t="shared" si="5"/>
        <v>2.0976714323604956E-2</v>
      </c>
    </row>
    <row r="75" spans="2:5" ht="13.9" customHeight="1" x14ac:dyDescent="0.25">
      <c r="B75" s="29">
        <f t="shared" si="3"/>
        <v>0.91801152737752223</v>
      </c>
      <c r="C75" s="30">
        <f t="shared" si="2"/>
        <v>0.10130591743839265</v>
      </c>
      <c r="D75" s="30">
        <f t="shared" si="4"/>
        <v>0.9934767405430851</v>
      </c>
      <c r="E75" s="30">
        <f t="shared" si="5"/>
        <v>2.1207732473607844E-2</v>
      </c>
    </row>
    <row r="76" spans="2:5" ht="13.9" customHeight="1" x14ac:dyDescent="0.25">
      <c r="B76" s="29">
        <f t="shared" si="3"/>
        <v>0.92801152737752224</v>
      </c>
      <c r="C76" s="30">
        <f t="shared" si="2"/>
        <v>0.10021427240544059</v>
      </c>
      <c r="D76" s="30">
        <f t="shared" si="4"/>
        <v>0.98277130519843414</v>
      </c>
      <c r="E76" s="30">
        <f t="shared" si="5"/>
        <v>2.1438750623610729E-2</v>
      </c>
    </row>
    <row r="77" spans="2:5" ht="13.9" customHeight="1" x14ac:dyDescent="0.25">
      <c r="B77" s="29">
        <f t="shared" si="3"/>
        <v>0.93801152737752225</v>
      </c>
      <c r="C77" s="30">
        <f t="shared" ref="C77:C140" si="6">IF(B77&lt;6,$C$5/B77,6*$C$5/B77^2)</f>
        <v>9.9145903099941562E-2</v>
      </c>
      <c r="D77" s="30">
        <f t="shared" si="4"/>
        <v>0.97229412793019687</v>
      </c>
      <c r="E77" s="30">
        <f t="shared" si="5"/>
        <v>2.1669768773613613E-2</v>
      </c>
    </row>
    <row r="78" spans="2:5" ht="13.9" customHeight="1" x14ac:dyDescent="0.25">
      <c r="B78" s="29">
        <f t="shared" ref="B78:B141" si="7">B77+0.01</f>
        <v>0.94801152737752226</v>
      </c>
      <c r="C78" s="30">
        <f t="shared" si="6"/>
        <v>9.8100072957198373E-2</v>
      </c>
      <c r="D78" s="30">
        <f t="shared" si="4"/>
        <v>0.96203798546935726</v>
      </c>
      <c r="E78" s="30">
        <f t="shared" si="5"/>
        <v>2.1900786923616501E-2</v>
      </c>
    </row>
    <row r="79" spans="2:5" ht="13.9" customHeight="1" x14ac:dyDescent="0.25">
      <c r="B79" s="29">
        <f t="shared" si="7"/>
        <v>0.95801152737752227</v>
      </c>
      <c r="C79" s="30">
        <f t="shared" si="6"/>
        <v>9.707607616641091E-2</v>
      </c>
      <c r="D79" s="30">
        <f t="shared" si="4"/>
        <v>0.95199595614114185</v>
      </c>
      <c r="E79" s="30">
        <f t="shared" si="5"/>
        <v>2.2131805073619386E-2</v>
      </c>
    </row>
    <row r="80" spans="2:5" ht="13.9" customHeight="1" x14ac:dyDescent="0.25">
      <c r="B80" s="29">
        <f t="shared" si="7"/>
        <v>0.96801152737752227</v>
      </c>
      <c r="C80" s="30">
        <f t="shared" si="6"/>
        <v>9.6073236082167252E-2</v>
      </c>
      <c r="D80" s="30">
        <f t="shared" si="4"/>
        <v>0.94216140428698947</v>
      </c>
      <c r="E80" s="30">
        <f t="shared" si="5"/>
        <v>2.236282322362227E-2</v>
      </c>
    </row>
    <row r="81" spans="2:5" ht="13.9" customHeight="1" x14ac:dyDescent="0.25">
      <c r="B81" s="29">
        <f t="shared" si="7"/>
        <v>0.97801152737752228</v>
      </c>
      <c r="C81" s="30">
        <f t="shared" si="6"/>
        <v>9.5090903733388271E-2</v>
      </c>
      <c r="D81" s="30">
        <f t="shared" si="4"/>
        <v>0.93252796564221874</v>
      </c>
      <c r="E81" s="30">
        <f t="shared" si="5"/>
        <v>2.2593841373625155E-2</v>
      </c>
    </row>
    <row r="82" spans="2:5" ht="13.9" customHeight="1" x14ac:dyDescent="0.25">
      <c r="B82" s="29">
        <f t="shared" si="7"/>
        <v>0.98801152737752229</v>
      </c>
      <c r="C82" s="30">
        <f t="shared" si="6"/>
        <v>9.4128456422821069E-2</v>
      </c>
      <c r="D82" s="30">
        <f t="shared" si="4"/>
        <v>0.92308953360167934</v>
      </c>
      <c r="E82" s="30">
        <f t="shared" si="5"/>
        <v>2.282485952362804E-2</v>
      </c>
    </row>
    <row r="83" spans="2:5" ht="13.9" customHeight="1" x14ac:dyDescent="0.25">
      <c r="B83" s="29">
        <f t="shared" si="7"/>
        <v>0.9980115273775223</v>
      </c>
      <c r="C83" s="30">
        <f t="shared" si="6"/>
        <v>9.3185296410730201E-2</v>
      </c>
      <c r="D83" s="30">
        <f t="shared" si="4"/>
        <v>0.91384024631110783</v>
      </c>
      <c r="E83" s="30">
        <f t="shared" si="5"/>
        <v>2.3055877673630928E-2</v>
      </c>
    </row>
    <row r="84" spans="2:5" ht="13.9" customHeight="1" x14ac:dyDescent="0.25">
      <c r="B84" s="29">
        <f t="shared" si="7"/>
        <v>1.0080115273775223</v>
      </c>
      <c r="C84" s="30">
        <f t="shared" si="6"/>
        <v>9.2260849676939732E-2</v>
      </c>
      <c r="D84" s="30">
        <f t="shared" si="4"/>
        <v>0.90477447452684479</v>
      </c>
      <c r="E84" s="30">
        <f t="shared" si="5"/>
        <v>2.3286895823633816E-2</v>
      </c>
    </row>
    <row r="85" spans="2:5" ht="13.9" customHeight="1" x14ac:dyDescent="0.25">
      <c r="B85" s="29">
        <f t="shared" si="7"/>
        <v>1.0180115273775223</v>
      </c>
      <c r="C85" s="30">
        <f t="shared" si="6"/>
        <v>9.1354564755838571E-2</v>
      </c>
      <c r="D85" s="30">
        <f t="shared" si="4"/>
        <v>0.89588681019108207</v>
      </c>
      <c r="E85" s="30">
        <f t="shared" si="5"/>
        <v>2.3517913973636694E-2</v>
      </c>
    </row>
    <row r="86" spans="2:5" ht="13.9" customHeight="1" x14ac:dyDescent="0.25">
      <c r="B86" s="29">
        <f t="shared" si="7"/>
        <v>1.0280115273775223</v>
      </c>
      <c r="C86" s="30">
        <f t="shared" si="6"/>
        <v>9.0465911639380961E-2</v>
      </c>
      <c r="D86" s="30">
        <f t="shared" si="4"/>
        <v>0.88717205567391721</v>
      </c>
      <c r="E86" s="30">
        <f t="shared" si="5"/>
        <v>2.3748932123639582E-2</v>
      </c>
    </row>
    <row r="87" spans="2:5" ht="13.9" customHeight="1" x14ac:dyDescent="0.25">
      <c r="B87" s="29">
        <f t="shared" si="7"/>
        <v>1.0380115273775223</v>
      </c>
      <c r="C87" s="30">
        <f t="shared" si="6"/>
        <v>8.9594380743496418E-2</v>
      </c>
      <c r="D87" s="30">
        <f t="shared" si="4"/>
        <v>0.87862521363724622</v>
      </c>
      <c r="E87" s="30">
        <f t="shared" si="5"/>
        <v>2.3979950273642466E-2</v>
      </c>
    </row>
    <row r="88" spans="2:5" ht="13.9" customHeight="1" x14ac:dyDescent="0.25">
      <c r="B88" s="29">
        <f t="shared" si="7"/>
        <v>1.0480115273775223</v>
      </c>
      <c r="C88" s="30">
        <f t="shared" si="6"/>
        <v>8.8739481933674244E-2</v>
      </c>
      <c r="D88" s="30">
        <f t="shared" si="4"/>
        <v>0.87024147747896319</v>
      </c>
      <c r="E88" s="30">
        <f t="shared" si="5"/>
        <v>2.4210968423645354E-2</v>
      </c>
    </row>
    <row r="89" spans="2:5" ht="13.9" customHeight="1" x14ac:dyDescent="0.25">
      <c r="B89" s="29">
        <f t="shared" si="7"/>
        <v>1.0580115273775224</v>
      </c>
      <c r="C89" s="30">
        <f t="shared" si="6"/>
        <v>8.7900743605807144E-2</v>
      </c>
      <c r="D89" s="30">
        <f t="shared" si="4"/>
        <v>0.86201622231906883</v>
      </c>
      <c r="E89" s="30">
        <f t="shared" si="5"/>
        <v>2.4441986573648242E-2</v>
      </c>
    </row>
    <row r="90" spans="2:5" ht="13.9" customHeight="1" x14ac:dyDescent="0.25">
      <c r="B90" s="29">
        <f t="shared" si="7"/>
        <v>1.0680115273775224</v>
      </c>
      <c r="C90" s="30">
        <f t="shared" si="6"/>
        <v>8.7077711818672368E-2</v>
      </c>
      <c r="D90" s="30">
        <f t="shared" si="4"/>
        <v>0.85394499649217426</v>
      </c>
      <c r="E90" s="30">
        <f t="shared" si="5"/>
        <v>2.467300472365113E-2</v>
      </c>
    </row>
    <row r="91" spans="2:5" ht="13.9" customHeight="1" x14ac:dyDescent="0.25">
      <c r="B91" s="29">
        <f t="shared" si="7"/>
        <v>1.0780115273775224</v>
      </c>
      <c r="C91" s="30">
        <f t="shared" si="6"/>
        <v>8.6269949474697183E-2</v>
      </c>
      <c r="D91" s="30">
        <f t="shared" si="4"/>
        <v>0.84602351351351279</v>
      </c>
      <c r="E91" s="30">
        <f t="shared" si="5"/>
        <v>2.4904022873654008E-2</v>
      </c>
    </row>
    <row r="92" spans="2:5" ht="13.9" customHeight="1" x14ac:dyDescent="0.25">
      <c r="B92" s="29">
        <f t="shared" si="7"/>
        <v>1.0880115273775224</v>
      </c>
      <c r="C92" s="30">
        <f t="shared" si="6"/>
        <v>8.5477035545902358E-2</v>
      </c>
      <c r="D92" s="30">
        <f t="shared" si="4"/>
        <v>0.8382476444880006</v>
      </c>
      <c r="E92" s="30">
        <f t="shared" si="5"/>
        <v>2.51350410236569E-2</v>
      </c>
    </row>
    <row r="93" spans="2:5" ht="13.9" customHeight="1" x14ac:dyDescent="0.25">
      <c r="B93" s="29">
        <f t="shared" si="7"/>
        <v>1.0980115273775224</v>
      </c>
      <c r="C93" s="30">
        <f t="shared" si="6"/>
        <v>8.4698564342143193E-2</v>
      </c>
      <c r="D93" s="30">
        <f t="shared" si="4"/>
        <v>0.83061341093409558</v>
      </c>
      <c r="E93" s="30">
        <f t="shared" si="5"/>
        <v>2.5366059173659788E-2</v>
      </c>
    </row>
    <row r="94" spans="2:5" ht="13.9" customHeight="1" x14ac:dyDescent="0.25">
      <c r="B94" s="29">
        <f t="shared" si="7"/>
        <v>1.1080115273775224</v>
      </c>
      <c r="C94" s="30">
        <f t="shared" si="6"/>
        <v>8.3934144818976222E-2</v>
      </c>
      <c r="D94" s="30">
        <f t="shared" si="4"/>
        <v>0.82311697799625405</v>
      </c>
      <c r="E94" s="30">
        <f t="shared" si="5"/>
        <v>2.5597077323662669E-2</v>
      </c>
    </row>
    <row r="95" spans="2:5" ht="13.9" customHeight="1" x14ac:dyDescent="0.25">
      <c r="B95" s="29">
        <f t="shared" si="7"/>
        <v>1.1180115273775224</v>
      </c>
      <c r="C95" s="30">
        <f t="shared" si="6"/>
        <v>8.318339992267039E-2</v>
      </c>
      <c r="D95" s="30">
        <f t="shared" si="4"/>
        <v>0.81575464802165165</v>
      </c>
      <c r="E95" s="30">
        <f t="shared" si="5"/>
        <v>2.5828095473665554E-2</v>
      </c>
    </row>
    <row r="96" spans="2:5" ht="13.9" customHeight="1" x14ac:dyDescent="0.25">
      <c r="B96" s="29">
        <f t="shared" si="7"/>
        <v>1.1280115273775224</v>
      </c>
      <c r="C96" s="30">
        <f t="shared" si="6"/>
        <v>8.2445965970057683E-2</v>
      </c>
      <c r="D96" s="30">
        <f t="shared" si="4"/>
        <v>0.80852285447856465</v>
      </c>
      <c r="E96" s="30">
        <f t="shared" si="5"/>
        <v>2.6059113623668445E-2</v>
      </c>
    </row>
    <row r="97" spans="2:5" ht="13.9" customHeight="1" x14ac:dyDescent="0.25">
      <c r="B97" s="29">
        <f t="shared" si="7"/>
        <v>1.1380115273775224</v>
      </c>
      <c r="C97" s="30">
        <f t="shared" si="6"/>
        <v>8.1721492061080245E-2</v>
      </c>
      <c r="D97" s="30">
        <f t="shared" si="4"/>
        <v>0.80141815619539558</v>
      </c>
      <c r="E97" s="30">
        <f t="shared" si="5"/>
        <v>2.629013177367133E-2</v>
      </c>
    </row>
    <row r="98" spans="2:5" ht="13.9" customHeight="1" x14ac:dyDescent="0.25">
      <c r="B98" s="29">
        <f t="shared" si="7"/>
        <v>1.1480115273775224</v>
      </c>
      <c r="C98" s="30">
        <f t="shared" si="6"/>
        <v>8.1009639522040308E-2</v>
      </c>
      <c r="D98" s="30">
        <f t="shared" si="4"/>
        <v>0.79443723190079263</v>
      </c>
      <c r="E98" s="30">
        <f t="shared" si="5"/>
        <v>2.6521149923674214E-2</v>
      </c>
    </row>
    <row r="99" spans="2:5" ht="13.9" customHeight="1" x14ac:dyDescent="0.25">
      <c r="B99" s="29">
        <f t="shared" si="7"/>
        <v>1.1580115273775224</v>
      </c>
      <c r="C99" s="30">
        <f t="shared" si="6"/>
        <v>8.0310081377696976E-2</v>
      </c>
      <c r="D99" s="30">
        <f t="shared" si="4"/>
        <v>0.78757687504666085</v>
      </c>
      <c r="E99" s="30">
        <f t="shared" si="5"/>
        <v>2.6752168073677095E-2</v>
      </c>
    </row>
    <row r="100" spans="2:5" ht="13.9" customHeight="1" x14ac:dyDescent="0.25">
      <c r="B100" s="29">
        <f t="shared" si="7"/>
        <v>1.1680115273775225</v>
      </c>
      <c r="C100" s="30">
        <f t="shared" si="6"/>
        <v>7.9622501850481073E-2</v>
      </c>
      <c r="D100" s="30">
        <f t="shared" si="4"/>
        <v>0.78083398889711264</v>
      </c>
      <c r="E100" s="30">
        <f t="shared" si="5"/>
        <v>2.6983186223679987E-2</v>
      </c>
    </row>
    <row r="101" spans="2:5" ht="13.9" customHeight="1" x14ac:dyDescent="0.25">
      <c r="B101" s="29">
        <f t="shared" si="7"/>
        <v>1.1780115273775225</v>
      </c>
      <c r="C101" s="30">
        <f t="shared" si="6"/>
        <v>7.8946595885216575E-2</v>
      </c>
      <c r="D101" s="30">
        <f t="shared" si="4"/>
        <v>0.77420558186755328</v>
      </c>
      <c r="E101" s="30">
        <f t="shared" si="5"/>
        <v>2.7214204373682872E-2</v>
      </c>
    </row>
    <row r="102" spans="2:5" ht="13.9" customHeight="1" x14ac:dyDescent="0.25">
      <c r="B102" s="29">
        <f t="shared" si="7"/>
        <v>1.1880115273775225</v>
      </c>
      <c r="C102" s="30">
        <f t="shared" si="6"/>
        <v>7.8282068697845861E-2</v>
      </c>
      <c r="D102" s="30">
        <f t="shared" si="4"/>
        <v>0.76768876309916489</v>
      </c>
      <c r="E102" s="30">
        <f t="shared" si="5"/>
        <v>2.7445222523685749E-2</v>
      </c>
    </row>
    <row r="103" spans="2:5" ht="13.9" customHeight="1" x14ac:dyDescent="0.25">
      <c r="B103" s="29">
        <f t="shared" si="7"/>
        <v>1.1980115273775225</v>
      </c>
      <c r="C103" s="30">
        <f t="shared" si="6"/>
        <v>7.7628635346756097E-2</v>
      </c>
      <c r="D103" s="30">
        <f t="shared" si="4"/>
        <v>0.76128073825503295</v>
      </c>
      <c r="E103" s="30">
        <f t="shared" si="5"/>
        <v>2.7676240673688644E-2</v>
      </c>
    </row>
    <row r="104" spans="2:5" ht="13.9" customHeight="1" x14ac:dyDescent="0.25">
      <c r="B104" s="29">
        <f t="shared" si="7"/>
        <v>1.2080115273775225</v>
      </c>
      <c r="C104" s="30">
        <f t="shared" si="6"/>
        <v>7.6986020325397142E-2</v>
      </c>
      <c r="D104" s="30">
        <f t="shared" si="4"/>
        <v>0.75497880552507213</v>
      </c>
      <c r="E104" s="30">
        <f t="shared" si="5"/>
        <v>2.7907258823691525E-2</v>
      </c>
    </row>
    <row r="105" spans="2:5" ht="13.9" customHeight="1" x14ac:dyDescent="0.25">
      <c r="B105" s="29">
        <f t="shared" si="7"/>
        <v>1.2180115273775225</v>
      </c>
      <c r="C105" s="30">
        <f t="shared" si="6"/>
        <v>7.6353957174967416E-2</v>
      </c>
      <c r="D105" s="30">
        <f t="shared" si="4"/>
        <v>0.74878035182775293</v>
      </c>
      <c r="E105" s="30">
        <f t="shared" si="5"/>
        <v>2.8138276973694414E-2</v>
      </c>
    </row>
    <row r="106" spans="2:5" ht="13.9" customHeight="1" x14ac:dyDescent="0.25">
      <c r="B106" s="29">
        <f t="shared" si="7"/>
        <v>1.2280115273775225</v>
      </c>
      <c r="C106" s="30">
        <f t="shared" si="6"/>
        <v>7.5732188116023599E-2</v>
      </c>
      <c r="D106" s="30">
        <f t="shared" si="4"/>
        <v>0.74268284919740857</v>
      </c>
      <c r="E106" s="30">
        <f t="shared" si="5"/>
        <v>2.8369295123697298E-2</v>
      </c>
    </row>
    <row r="107" spans="2:5" ht="13.9" customHeight="1" x14ac:dyDescent="0.25">
      <c r="B107" s="29">
        <f t="shared" si="7"/>
        <v>1.2380115273775225</v>
      </c>
      <c r="C107" s="30">
        <f t="shared" si="6"/>
        <v>7.5120463697944492E-2</v>
      </c>
      <c r="D107" s="30">
        <f t="shared" si="4"/>
        <v>0.73668385134663217</v>
      </c>
      <c r="E107" s="30">
        <f t="shared" si="5"/>
        <v>2.8600313273700179E-2</v>
      </c>
    </row>
    <row r="108" spans="2:5" ht="13.9" customHeight="1" x14ac:dyDescent="0.25">
      <c r="B108" s="29">
        <f t="shared" si="7"/>
        <v>1.2480115273775225</v>
      </c>
      <c r="C108" s="30">
        <f t="shared" si="6"/>
        <v>7.4518542465247251E-2</v>
      </c>
      <c r="D108" s="30">
        <f t="shared" si="4"/>
        <v>0.73078099039394018</v>
      </c>
      <c r="E108" s="30">
        <f t="shared" si="5"/>
        <v>2.8831331423703067E-2</v>
      </c>
    </row>
    <row r="109" spans="2:5" ht="13.9" customHeight="1" x14ac:dyDescent="0.25">
      <c r="B109" s="29">
        <f t="shared" si="7"/>
        <v>1.2580115273775225</v>
      </c>
      <c r="C109" s="30">
        <f t="shared" si="6"/>
        <v>7.392619063981852E-2</v>
      </c>
      <c r="D109" s="30">
        <f t="shared" si="4"/>
        <v>0.72497197374750821</v>
      </c>
      <c r="E109" s="30">
        <f t="shared" si="5"/>
        <v>2.9062349573705955E-2</v>
      </c>
    </row>
    <row r="110" spans="2:5" ht="13.9" customHeight="1" x14ac:dyDescent="0.25">
      <c r="B110" s="29">
        <f t="shared" si="7"/>
        <v>1.2680115273775225</v>
      </c>
      <c r="C110" s="30">
        <f t="shared" si="6"/>
        <v>7.3343181818181766E-2</v>
      </c>
      <c r="D110" s="30">
        <f t="shared" si="4"/>
        <v>0.71925458113636309</v>
      </c>
      <c r="E110" s="30">
        <f t="shared" si="5"/>
        <v>2.929336772370884E-2</v>
      </c>
    </row>
    <row r="111" spans="2:5" ht="13.9" customHeight="1" x14ac:dyDescent="0.25">
      <c r="B111" s="29">
        <f t="shared" si="7"/>
        <v>1.2780115273775225</v>
      </c>
      <c r="C111" s="30">
        <f t="shared" si="6"/>
        <v>7.276929668297738E-2</v>
      </c>
      <c r="D111" s="30">
        <f t="shared" si="4"/>
        <v>0.71362666178095424</v>
      </c>
      <c r="E111" s="30">
        <f t="shared" si="5"/>
        <v>2.9524385873711728E-2</v>
      </c>
    </row>
    <row r="112" spans="2:5" ht="13.9" customHeight="1" x14ac:dyDescent="0.25">
      <c r="B112" s="29">
        <f t="shared" si="7"/>
        <v>1.2880115273775226</v>
      </c>
      <c r="C112" s="30">
        <f t="shared" si="6"/>
        <v>7.220432272788288E-2</v>
      </c>
      <c r="D112" s="30">
        <f t="shared" si="4"/>
        <v>0.70808613169552903</v>
      </c>
      <c r="E112" s="30">
        <f t="shared" si="5"/>
        <v>2.9755404023714613E-2</v>
      </c>
    </row>
    <row r="113" spans="2:5" ht="13.9" customHeight="1" x14ac:dyDescent="0.25">
      <c r="B113" s="29">
        <f t="shared" si="7"/>
        <v>1.2980115273775226</v>
      </c>
      <c r="C113" s="30">
        <f t="shared" si="6"/>
        <v>7.164805399524872E-2</v>
      </c>
      <c r="D113" s="30">
        <f t="shared" si="4"/>
        <v>0.70263097111520556</v>
      </c>
      <c r="E113" s="30">
        <f t="shared" si="5"/>
        <v>2.9986422173717494E-2</v>
      </c>
    </row>
    <row r="114" spans="2:5" ht="13.9" customHeight="1" x14ac:dyDescent="0.25">
      <c r="B114" s="29">
        <f t="shared" si="7"/>
        <v>1.3080115273775226</v>
      </c>
      <c r="C114" s="30">
        <f t="shared" si="6"/>
        <v>7.1100290825768866E-2</v>
      </c>
      <c r="D114" s="30">
        <f t="shared" si="4"/>
        <v>0.69725922204106749</v>
      </c>
      <c r="E114" s="30">
        <f t="shared" si="5"/>
        <v>3.0217440323720382E-2</v>
      </c>
    </row>
    <row r="115" spans="2:5" ht="13.9" customHeight="1" x14ac:dyDescent="0.25">
      <c r="B115" s="29">
        <f t="shared" si="7"/>
        <v>1.3180115273775226</v>
      </c>
      <c r="C115" s="30">
        <f t="shared" si="6"/>
        <v>7.0560839619547344E-2</v>
      </c>
      <c r="D115" s="30">
        <f t="shared" si="4"/>
        <v>0.69196898589701494</v>
      </c>
      <c r="E115" s="30">
        <f t="shared" si="5"/>
        <v>3.0448458473723274E-2</v>
      </c>
    </row>
    <row r="116" spans="2:5" ht="13.9" customHeight="1" x14ac:dyDescent="0.25">
      <c r="B116" s="29">
        <f t="shared" si="7"/>
        <v>1.3280115273775226</v>
      </c>
      <c r="C116" s="30">
        <f t="shared" si="6"/>
        <v>7.0029512607959671E-2</v>
      </c>
      <c r="D116" s="30">
        <f t="shared" si="4"/>
        <v>0.68675842129247811</v>
      </c>
      <c r="E116" s="30">
        <f t="shared" si="5"/>
        <v>3.0679476623726155E-2</v>
      </c>
    </row>
    <row r="117" spans="2:5" ht="13.9" customHeight="1" x14ac:dyDescent="0.25">
      <c r="B117" s="29">
        <f t="shared" si="7"/>
        <v>1.3380115273775226</v>
      </c>
      <c r="C117" s="30">
        <f t="shared" si="6"/>
        <v>6.9506127635744847E-2</v>
      </c>
      <c r="D117" s="30">
        <f t="shared" si="4"/>
        <v>0.68162574188545899</v>
      </c>
      <c r="E117" s="30">
        <f t="shared" si="5"/>
        <v>3.0910494773729039E-2</v>
      </c>
    </row>
    <row r="118" spans="2:5" ht="13.9" customHeight="1" x14ac:dyDescent="0.25">
      <c r="B118" s="29">
        <f t="shared" si="7"/>
        <v>1.3480115273775226</v>
      </c>
      <c r="C118" s="30">
        <f t="shared" si="6"/>
        <v>6.8990507952796251E-2</v>
      </c>
      <c r="D118" s="30">
        <f t="shared" si="4"/>
        <v>0.67656921434068695</v>
      </c>
      <c r="E118" s="30">
        <f t="shared" si="5"/>
        <v>3.1141512923731924E-2</v>
      </c>
    </row>
    <row r="119" spans="2:5" ht="13.9" customHeight="1" x14ac:dyDescent="0.25">
      <c r="B119" s="29">
        <f t="shared" si="7"/>
        <v>1.3580115273775226</v>
      </c>
      <c r="C119" s="30">
        <f t="shared" si="6"/>
        <v>6.848248201515178E-2</v>
      </c>
      <c r="D119" s="30">
        <f t="shared" si="4"/>
        <v>0.67158715637798894</v>
      </c>
      <c r="E119" s="30">
        <f t="shared" si="5"/>
        <v>3.1372531073734812E-2</v>
      </c>
    </row>
    <row r="120" spans="2:5" ht="13.9" customHeight="1" x14ac:dyDescent="0.25">
      <c r="B120" s="29">
        <f t="shared" si="7"/>
        <v>1.3680115273775226</v>
      </c>
      <c r="C120" s="30">
        <f t="shared" si="6"/>
        <v>6.79818832947124E-2</v>
      </c>
      <c r="D120" s="30">
        <f t="shared" si="4"/>
        <v>0.66667793490625604</v>
      </c>
      <c r="E120" s="30">
        <f t="shared" si="5"/>
        <v>3.1603549223737697E-2</v>
      </c>
    </row>
    <row r="121" spans="2:5" ht="13.9" customHeight="1" x14ac:dyDescent="0.25">
      <c r="B121" s="29">
        <f t="shared" si="7"/>
        <v>1.3780115273775226</v>
      </c>
      <c r="C121" s="30">
        <f t="shared" si="6"/>
        <v>6.7488550097245692E-2</v>
      </c>
      <c r="D121" s="30">
        <f t="shared" si="4"/>
        <v>0.66183996423865932</v>
      </c>
      <c r="E121" s="30">
        <f t="shared" si="5"/>
        <v>3.1834567373740581E-2</v>
      </c>
    </row>
    <row r="122" spans="2:5" ht="13.9" customHeight="1" x14ac:dyDescent="0.25">
      <c r="B122" s="29">
        <f t="shared" si="7"/>
        <v>1.3880115273775226</v>
      </c>
      <c r="C122" s="30">
        <f t="shared" si="6"/>
        <v>6.7002325388256734E-2</v>
      </c>
      <c r="D122" s="30">
        <f t="shared" si="4"/>
        <v>0.65707170438501727</v>
      </c>
      <c r="E122" s="30">
        <f t="shared" si="5"/>
        <v>3.2065585523743466E-2</v>
      </c>
    </row>
    <row r="123" spans="2:5" ht="13.9" customHeight="1" x14ac:dyDescent="0.25">
      <c r="B123" s="29">
        <f t="shared" si="7"/>
        <v>1.3980115273775227</v>
      </c>
      <c r="C123" s="30">
        <f t="shared" si="6"/>
        <v>6.6523056626332122E-2</v>
      </c>
      <c r="D123" s="30">
        <f t="shared" si="4"/>
        <v>0.65237165941745112</v>
      </c>
      <c r="E123" s="30">
        <f t="shared" si="5"/>
        <v>3.229660367374635E-2</v>
      </c>
    </row>
    <row r="124" spans="2:5" ht="13.9" customHeight="1" x14ac:dyDescent="0.25">
      <c r="B124" s="29">
        <f t="shared" si="7"/>
        <v>1.4080115273775227</v>
      </c>
      <c r="C124" s="30">
        <f t="shared" si="6"/>
        <v>6.6050595603585852E-2</v>
      </c>
      <c r="D124" s="30">
        <f t="shared" si="4"/>
        <v>0.64773837590568528</v>
      </c>
      <c r="E124" s="30">
        <f t="shared" si="5"/>
        <v>3.2527621823749235E-2</v>
      </c>
    </row>
    <row r="125" spans="2:5" ht="13.9" customHeight="1" x14ac:dyDescent="0.25">
      <c r="B125" s="29">
        <f t="shared" si="7"/>
        <v>1.4180115273775227</v>
      </c>
      <c r="C125" s="30">
        <f t="shared" si="6"/>
        <v>6.5584798292856364E-2</v>
      </c>
      <c r="D125" s="30">
        <f t="shared" si="4"/>
        <v>0.64317044141855451</v>
      </c>
      <c r="E125" s="30">
        <f t="shared" si="5"/>
        <v>3.2758639973752127E-2</v>
      </c>
    </row>
    <row r="126" spans="2:5" ht="13.9" customHeight="1" x14ac:dyDescent="0.25">
      <c r="B126" s="29">
        <f t="shared" si="7"/>
        <v>1.4280115273775227</v>
      </c>
      <c r="C126" s="30">
        <f t="shared" si="6"/>
        <v>6.5125524701323809E-2</v>
      </c>
      <c r="D126" s="30">
        <f t="shared" si="4"/>
        <v>0.63866648308847218</v>
      </c>
      <c r="E126" s="30">
        <f t="shared" si="5"/>
        <v>3.2989658123755011E-2</v>
      </c>
    </row>
    <row r="127" spans="2:5" ht="13.9" customHeight="1" x14ac:dyDescent="0.25">
      <c r="B127" s="29">
        <f t="shared" si="7"/>
        <v>1.4380115273775227</v>
      </c>
      <c r="C127" s="30">
        <f t="shared" si="6"/>
        <v>6.467263873023503E-2</v>
      </c>
      <c r="D127" s="30">
        <f t="shared" si="4"/>
        <v>0.63422516623579583</v>
      </c>
      <c r="E127" s="30">
        <f t="shared" si="5"/>
        <v>3.3220676273757903E-2</v>
      </c>
    </row>
    <row r="128" spans="2:5" ht="13.9" customHeight="1" x14ac:dyDescent="0.25">
      <c r="B128" s="29">
        <f t="shared" si="7"/>
        <v>1.4480115273775227</v>
      </c>
      <c r="C128" s="30">
        <f t="shared" si="6"/>
        <v>6.4226008040440985E-2</v>
      </c>
      <c r="D128" s="30">
        <f t="shared" si="4"/>
        <v>0.6298451930501926</v>
      </c>
      <c r="E128" s="30">
        <f t="shared" si="5"/>
        <v>3.3451694423760787E-2</v>
      </c>
    </row>
    <row r="129" spans="2:5" ht="13.9" customHeight="1" x14ac:dyDescent="0.25">
      <c r="B129" s="29">
        <f t="shared" si="7"/>
        <v>1.4580115273775227</v>
      </c>
      <c r="C129" s="30">
        <f t="shared" si="6"/>
        <v>6.3785503923467629E-2</v>
      </c>
      <c r="D129" s="30">
        <f t="shared" si="4"/>
        <v>0.62552530132626993</v>
      </c>
      <c r="E129" s="30">
        <f t="shared" si="5"/>
        <v>3.3682712573763672E-2</v>
      </c>
    </row>
    <row r="130" spans="2:5" ht="13.9" customHeight="1" x14ac:dyDescent="0.25">
      <c r="B130" s="29">
        <f t="shared" si="7"/>
        <v>1.4680115273775227</v>
      </c>
      <c r="C130" s="30">
        <f t="shared" si="6"/>
        <v>6.3351001177856248E-2</v>
      </c>
      <c r="D130" s="30">
        <f t="shared" si="4"/>
        <v>0.6212642632508828</v>
      </c>
      <c r="E130" s="30">
        <f t="shared" si="5"/>
        <v>3.391373072376655E-2</v>
      </c>
    </row>
    <row r="131" spans="2:5" ht="13.9" customHeight="1" x14ac:dyDescent="0.25">
      <c r="B131" s="29">
        <f t="shared" si="7"/>
        <v>1.4780115273775227</v>
      </c>
      <c r="C131" s="30">
        <f t="shared" si="6"/>
        <v>6.2922377990523873E-2</v>
      </c>
      <c r="D131" s="30">
        <f t="shared" si="4"/>
        <v>0.61706088423967043</v>
      </c>
      <c r="E131" s="30">
        <f t="shared" si="5"/>
        <v>3.4144748873769441E-2</v>
      </c>
    </row>
    <row r="132" spans="2:5" ht="13.9" customHeight="1" x14ac:dyDescent="0.25">
      <c r="B132" s="29">
        <f t="shared" si="7"/>
        <v>1.4880115273775227</v>
      </c>
      <c r="C132" s="30">
        <f t="shared" si="6"/>
        <v>6.2499515822907338E-2</v>
      </c>
      <c r="D132" s="30">
        <f t="shared" si="4"/>
        <v>0.61291400182050537</v>
      </c>
      <c r="E132" s="30">
        <f t="shared" si="5"/>
        <v>3.4375767023772326E-2</v>
      </c>
    </row>
    <row r="133" spans="2:5" ht="13.9" customHeight="1" x14ac:dyDescent="0.25">
      <c r="B133" s="29">
        <f t="shared" si="7"/>
        <v>1.4980115273775227</v>
      </c>
      <c r="C133" s="30">
        <f t="shared" si="6"/>
        <v>6.2082299301667872E-2</v>
      </c>
      <c r="D133" s="30">
        <f t="shared" si="4"/>
        <v>0.60882248456166632</v>
      </c>
      <c r="E133" s="30">
        <f t="shared" si="5"/>
        <v>3.4606785173775217E-2</v>
      </c>
    </row>
    <row r="134" spans="2:5" ht="13.9" customHeight="1" x14ac:dyDescent="0.25">
      <c r="B134" s="29">
        <f t="shared" si="7"/>
        <v>1.5080115273775228</v>
      </c>
      <c r="C134" s="30">
        <f t="shared" si="6"/>
        <v>6.1670616113744026E-2</v>
      </c>
      <c r="D134" s="30">
        <f t="shared" si="4"/>
        <v>0.60478523104265347</v>
      </c>
      <c r="E134" s="30">
        <f t="shared" si="5"/>
        <v>3.4837803323778095E-2</v>
      </c>
    </row>
    <row r="135" spans="2:5" ht="13.9" customHeight="1" x14ac:dyDescent="0.25">
      <c r="B135" s="29">
        <f t="shared" si="7"/>
        <v>1.5180115273775228</v>
      </c>
      <c r="C135" s="30">
        <f t="shared" si="6"/>
        <v>6.1264356905552875E-2</v>
      </c>
      <c r="D135" s="30">
        <f t="shared" si="4"/>
        <v>0.60080116886568535</v>
      </c>
      <c r="E135" s="30">
        <f t="shared" si="5"/>
        <v>3.5068821473780987E-2</v>
      </c>
    </row>
    <row r="136" spans="2:5" ht="13.9" customHeight="1" x14ac:dyDescent="0.25">
      <c r="B136" s="29">
        <f t="shared" si="7"/>
        <v>1.5280115273775228</v>
      </c>
      <c r="C136" s="30">
        <f t="shared" si="6"/>
        <v>6.08634151861491E-2</v>
      </c>
      <c r="D136" s="30">
        <f t="shared" si="4"/>
        <v>0.5968692537060083</v>
      </c>
      <c r="E136" s="30">
        <f t="shared" si="5"/>
        <v>3.5299839623783864E-2</v>
      </c>
    </row>
    <row r="137" spans="2:5" ht="13.9" customHeight="1" x14ac:dyDescent="0.25">
      <c r="B137" s="29">
        <f t="shared" si="7"/>
        <v>1.5380115273775228</v>
      </c>
      <c r="C137" s="30">
        <f t="shared" si="6"/>
        <v>6.0467687234162106E-2</v>
      </c>
      <c r="D137" s="30">
        <f t="shared" ref="D137:D200" si="8">C137*9.8067</f>
        <v>0.59298846839925745</v>
      </c>
      <c r="E137" s="30">
        <f t="shared" ref="E137:E200" si="9">((B137^2)/(4*PI()^2))*D137</f>
        <v>3.5530857773786756E-2</v>
      </c>
    </row>
    <row r="138" spans="2:5" ht="13.9" customHeight="1" x14ac:dyDescent="0.25">
      <c r="B138" s="29">
        <f t="shared" si="7"/>
        <v>1.5480115273775228</v>
      </c>
      <c r="C138" s="30">
        <f t="shared" si="6"/>
        <v>6.0077072008340116E-2</v>
      </c>
      <c r="D138" s="30">
        <f t="shared" si="8"/>
        <v>0.58915782206418899</v>
      </c>
      <c r="E138" s="30">
        <f t="shared" si="9"/>
        <v>3.5761875923789647E-2</v>
      </c>
    </row>
    <row r="139" spans="2:5" ht="13.9" customHeight="1" x14ac:dyDescent="0.25">
      <c r="B139" s="29">
        <f t="shared" si="7"/>
        <v>1.5580115273775228</v>
      </c>
      <c r="C139" s="30">
        <f t="shared" si="6"/>
        <v>5.969147106153927E-2</v>
      </c>
      <c r="D139" s="30">
        <f t="shared" si="8"/>
        <v>0.58537634925919713</v>
      </c>
      <c r="E139" s="30">
        <f t="shared" si="9"/>
        <v>3.5992894073792525E-2</v>
      </c>
    </row>
    <row r="140" spans="2:5" ht="13.9" customHeight="1" x14ac:dyDescent="0.25">
      <c r="B140" s="29">
        <f t="shared" si="7"/>
        <v>1.5680115273775228</v>
      </c>
      <c r="C140" s="30">
        <f t="shared" si="6"/>
        <v>5.9310788458003999E-2</v>
      </c>
      <c r="D140" s="30">
        <f t="shared" si="8"/>
        <v>0.58164310917110773</v>
      </c>
      <c r="E140" s="30">
        <f t="shared" si="9"/>
        <v>3.622391222379541E-2</v>
      </c>
    </row>
    <row r="141" spans="2:5" ht="13.9" customHeight="1" x14ac:dyDescent="0.25">
      <c r="B141" s="29">
        <f t="shared" si="7"/>
        <v>1.5780115273775228</v>
      </c>
      <c r="C141" s="30">
        <f t="shared" ref="C141:C204" si="10">IF(B141&lt;6,$C$5/B141,6*$C$5/B141^2)</f>
        <v>5.8934930693792527E-2</v>
      </c>
      <c r="D141" s="30">
        <f t="shared" si="8"/>
        <v>0.57795718483481517</v>
      </c>
      <c r="E141" s="30">
        <f t="shared" si="9"/>
        <v>3.6454930373798301E-2</v>
      </c>
    </row>
    <row r="142" spans="2:5" ht="13.9" customHeight="1" x14ac:dyDescent="0.25">
      <c r="B142" s="29">
        <f t="shared" ref="B142:B205" si="11">B141+0.01</f>
        <v>1.5880115273775228</v>
      </c>
      <c r="C142" s="30">
        <f t="shared" si="10"/>
        <v>5.8563806620209012E-2</v>
      </c>
      <c r="D142" s="30">
        <f t="shared" si="8"/>
        <v>0.57431768238240366</v>
      </c>
      <c r="E142" s="30">
        <f t="shared" si="9"/>
        <v>3.6685948523801179E-2</v>
      </c>
    </row>
    <row r="143" spans="2:5" ht="13.9" customHeight="1" x14ac:dyDescent="0.25">
      <c r="B143" s="29">
        <f t="shared" si="11"/>
        <v>1.5980115273775228</v>
      </c>
      <c r="C143" s="30">
        <f t="shared" si="10"/>
        <v>5.8197327370110505E-2</v>
      </c>
      <c r="D143" s="30">
        <f t="shared" si="8"/>
        <v>0.57072373032046264</v>
      </c>
      <c r="E143" s="30">
        <f t="shared" si="9"/>
        <v>3.6916966673804064E-2</v>
      </c>
    </row>
    <row r="144" spans="2:5" ht="13.9" customHeight="1" x14ac:dyDescent="0.25">
      <c r="B144" s="29">
        <f t="shared" si="11"/>
        <v>1.6080115273775228</v>
      </c>
      <c r="C144" s="30">
        <f t="shared" si="10"/>
        <v>5.7835406286963646E-2</v>
      </c>
      <c r="D144" s="30">
        <f t="shared" si="8"/>
        <v>0.56717447883436634</v>
      </c>
      <c r="E144" s="30">
        <f t="shared" si="9"/>
        <v>3.7147984823806955E-2</v>
      </c>
    </row>
    <row r="145" spans="2:5" ht="13.9" customHeight="1" x14ac:dyDescent="0.25">
      <c r="B145" s="29">
        <f t="shared" si="11"/>
        <v>1.6180115273775229</v>
      </c>
      <c r="C145" s="30">
        <f t="shared" si="10"/>
        <v>5.7477958856532146E-2</v>
      </c>
      <c r="D145" s="30">
        <f t="shared" si="8"/>
        <v>0.56366909911835372</v>
      </c>
      <c r="E145" s="30">
        <f t="shared" si="9"/>
        <v>3.7379002973809833E-2</v>
      </c>
    </row>
    <row r="146" spans="2:5" ht="13.9" customHeight="1" x14ac:dyDescent="0.25">
      <c r="B146" s="29">
        <f t="shared" si="11"/>
        <v>1.6280115273775229</v>
      </c>
      <c r="C146" s="30">
        <f t="shared" si="10"/>
        <v>5.712490264108188E-2</v>
      </c>
      <c r="D146" s="30">
        <f t="shared" si="8"/>
        <v>0.56020678273029767</v>
      </c>
      <c r="E146" s="30">
        <f t="shared" si="9"/>
        <v>3.7610021123812724E-2</v>
      </c>
    </row>
    <row r="147" spans="2:5" ht="13.9" customHeight="1" x14ac:dyDescent="0.25">
      <c r="B147" s="29">
        <f t="shared" si="11"/>
        <v>1.6380115273775229</v>
      </c>
      <c r="C147" s="30">
        <f t="shared" si="10"/>
        <v>5.6776157215996013E-2</v>
      </c>
      <c r="D147" s="30">
        <f t="shared" si="8"/>
        <v>0.55678674097010805</v>
      </c>
      <c r="E147" s="30">
        <f t="shared" si="9"/>
        <v>3.7841039273815609E-2</v>
      </c>
    </row>
    <row r="148" spans="2:5" ht="13.9" customHeight="1" x14ac:dyDescent="0.25">
      <c r="B148" s="29">
        <f t="shared" si="11"/>
        <v>1.6480115273775229</v>
      </c>
      <c r="C148" s="30">
        <f t="shared" si="10"/>
        <v>5.6431644108697887E-2</v>
      </c>
      <c r="D148" s="30">
        <f t="shared" si="8"/>
        <v>0.55340820428076754</v>
      </c>
      <c r="E148" s="30">
        <f t="shared" si="9"/>
        <v>3.8072057423818494E-2</v>
      </c>
    </row>
    <row r="149" spans="2:5" ht="13.9" customHeight="1" x14ac:dyDescent="0.25">
      <c r="B149" s="29">
        <f t="shared" si="11"/>
        <v>1.6580115273775229</v>
      </c>
      <c r="C149" s="30">
        <f t="shared" si="10"/>
        <v>5.6091286739784078E-2</v>
      </c>
      <c r="D149" s="30">
        <f t="shared" si="8"/>
        <v>0.55007042167104048</v>
      </c>
      <c r="E149" s="30">
        <f t="shared" si="9"/>
        <v>3.8303075573821385E-2</v>
      </c>
    </row>
    <row r="150" spans="2:5" ht="13.9" customHeight="1" x14ac:dyDescent="0.25">
      <c r="B150" s="29">
        <f t="shared" si="11"/>
        <v>1.6680115273775229</v>
      </c>
      <c r="C150" s="30">
        <f t="shared" si="10"/>
        <v>5.5755010366275011E-2</v>
      </c>
      <c r="D150" s="30">
        <f t="shared" si="8"/>
        <v>0.5467726601589491</v>
      </c>
      <c r="E150" s="30">
        <f t="shared" si="9"/>
        <v>3.853409372382427E-2</v>
      </c>
    </row>
    <row r="151" spans="2:5" ht="13.9" customHeight="1" x14ac:dyDescent="0.25">
      <c r="B151" s="29">
        <f t="shared" si="11"/>
        <v>1.6780115273775229</v>
      </c>
      <c r="C151" s="30">
        <f t="shared" si="10"/>
        <v>5.5422742026894699E-2</v>
      </c>
      <c r="D151" s="30">
        <f t="shared" si="8"/>
        <v>0.54351420423514818</v>
      </c>
      <c r="E151" s="30">
        <f t="shared" si="9"/>
        <v>3.8765111873827154E-2</v>
      </c>
    </row>
    <row r="152" spans="2:5" ht="13.9" customHeight="1" x14ac:dyDescent="0.25">
      <c r="B152" s="29">
        <f t="shared" si="11"/>
        <v>1.6880115273775229</v>
      </c>
      <c r="C152" s="30">
        <f t="shared" si="10"/>
        <v>5.5094410489295552E-2</v>
      </c>
      <c r="D152" s="30">
        <f t="shared" si="8"/>
        <v>0.54029435534537462</v>
      </c>
      <c r="E152" s="30">
        <f t="shared" si="9"/>
        <v>3.8996130023830039E-2</v>
      </c>
    </row>
    <row r="153" spans="2:5" ht="13.9" customHeight="1" x14ac:dyDescent="0.25">
      <c r="B153" s="29">
        <f t="shared" si="11"/>
        <v>1.6980115273775229</v>
      </c>
      <c r="C153" s="30">
        <f t="shared" si="10"/>
        <v>5.4769946199147969E-2</v>
      </c>
      <c r="D153" s="30">
        <f t="shared" si="8"/>
        <v>0.53711243139118436</v>
      </c>
      <c r="E153" s="30">
        <f t="shared" si="9"/>
        <v>3.9227148173832924E-2</v>
      </c>
    </row>
    <row r="154" spans="2:5" ht="13.9" customHeight="1" x14ac:dyDescent="0.25">
      <c r="B154" s="29">
        <f t="shared" si="11"/>
        <v>1.7080115273775229</v>
      </c>
      <c r="C154" s="30">
        <f t="shared" si="10"/>
        <v>5.444928123101838E-2</v>
      </c>
      <c r="D154" s="30">
        <f t="shared" si="8"/>
        <v>0.53396776624822795</v>
      </c>
      <c r="E154" s="30">
        <f t="shared" si="9"/>
        <v>3.9458166323835815E-2</v>
      </c>
    </row>
    <row r="155" spans="2:5" ht="13.9" customHeight="1" x14ac:dyDescent="0.25">
      <c r="B155" s="29">
        <f t="shared" si="11"/>
        <v>1.7180115273775229</v>
      </c>
      <c r="C155" s="30">
        <f t="shared" si="10"/>
        <v>5.4132349240962802E-2</v>
      </c>
      <c r="D155" s="30">
        <f t="shared" si="8"/>
        <v>0.53085970930134985</v>
      </c>
      <c r="E155" s="30">
        <f t="shared" si="9"/>
        <v>3.9689184473838693E-2</v>
      </c>
    </row>
    <row r="156" spans="2:5" ht="13.9" customHeight="1" x14ac:dyDescent="0.25">
      <c r="B156" s="29">
        <f t="shared" si="11"/>
        <v>1.7280115273775229</v>
      </c>
      <c r="C156" s="30">
        <f t="shared" si="10"/>
        <v>5.3819085420766445E-2</v>
      </c>
      <c r="D156" s="30">
        <f t="shared" si="8"/>
        <v>0.52778762499583021</v>
      </c>
      <c r="E156" s="30">
        <f t="shared" si="9"/>
        <v>3.9920202623841577E-2</v>
      </c>
    </row>
    <row r="157" spans="2:5" ht="13.9" customHeight="1" x14ac:dyDescent="0.25">
      <c r="B157" s="29">
        <f t="shared" si="11"/>
        <v>1.738011527377523</v>
      </c>
      <c r="C157" s="30">
        <f t="shared" si="10"/>
        <v>5.3509426453763081E-2</v>
      </c>
      <c r="D157" s="30">
        <f t="shared" si="8"/>
        <v>0.52475089240411832</v>
      </c>
      <c r="E157" s="30">
        <f t="shared" si="9"/>
        <v>4.0151220773844462E-2</v>
      </c>
    </row>
    <row r="158" spans="2:5" ht="13.9" customHeight="1" x14ac:dyDescent="0.25">
      <c r="B158" s="29">
        <f t="shared" si="11"/>
        <v>1.748011527377523</v>
      </c>
      <c r="C158" s="30">
        <f t="shared" si="10"/>
        <v>5.3203310472170889E-2</v>
      </c>
      <c r="D158" s="30">
        <f t="shared" si="8"/>
        <v>0.52174890480743819</v>
      </c>
      <c r="E158" s="30">
        <f t="shared" si="9"/>
        <v>4.0382238923847354E-2</v>
      </c>
    </row>
    <row r="159" spans="2:5" ht="13.9" customHeight="1" x14ac:dyDescent="0.25">
      <c r="B159" s="29">
        <f t="shared" si="11"/>
        <v>1.758011527377523</v>
      </c>
      <c r="C159" s="30">
        <f t="shared" si="10"/>
        <v>5.2900677015884426E-2</v>
      </c>
      <c r="D159" s="30">
        <f t="shared" si="8"/>
        <v>0.51878106929167378</v>
      </c>
      <c r="E159" s="30">
        <f t="shared" si="9"/>
        <v>4.0613257073850245E-2</v>
      </c>
    </row>
    <row r="160" spans="2:5" ht="13.9" customHeight="1" x14ac:dyDescent="0.25">
      <c r="B160" s="29">
        <f t="shared" si="11"/>
        <v>1.768011527377523</v>
      </c>
      <c r="C160" s="30">
        <f t="shared" si="10"/>
        <v>5.2601466992664998E-2</v>
      </c>
      <c r="D160" s="30">
        <f t="shared" si="8"/>
        <v>0.51584680635696778</v>
      </c>
      <c r="E160" s="30">
        <f t="shared" si="9"/>
        <v>4.084427522385313E-2</v>
      </c>
    </row>
    <row r="161" spans="2:5" ht="13.9" customHeight="1" x14ac:dyDescent="0.25">
      <c r="B161" s="29">
        <f t="shared" si="11"/>
        <v>1.778011527377523</v>
      </c>
      <c r="C161" s="30">
        <f t="shared" si="10"/>
        <v>5.2305622639674497E-2</v>
      </c>
      <c r="D161" s="30">
        <f t="shared" si="8"/>
        <v>0.51294554954049587</v>
      </c>
      <c r="E161" s="30">
        <f t="shared" si="9"/>
        <v>4.1075293373856014E-2</v>
      </c>
    </row>
    <row r="162" spans="2:5" ht="13.9" customHeight="1" x14ac:dyDescent="0.25">
      <c r="B162" s="29">
        <f t="shared" si="11"/>
        <v>1.788011527377523</v>
      </c>
      <c r="C162" s="30">
        <f t="shared" si="10"/>
        <v>5.2013087486300007E-2</v>
      </c>
      <c r="D162" s="30">
        <f t="shared" si="8"/>
        <v>0.51007674505189826</v>
      </c>
      <c r="E162" s="30">
        <f t="shared" si="9"/>
        <v>4.1306311523858899E-2</v>
      </c>
    </row>
    <row r="163" spans="2:5" ht="13.9" customHeight="1" x14ac:dyDescent="0.25">
      <c r="B163" s="29">
        <f t="shared" si="11"/>
        <v>1.798011527377523</v>
      </c>
      <c r="C163" s="30">
        <f t="shared" si="10"/>
        <v>5.1723806318218934E-2</v>
      </c>
      <c r="D163" s="30">
        <f t="shared" si="8"/>
        <v>0.50723985142087757</v>
      </c>
      <c r="E163" s="30">
        <f t="shared" si="9"/>
        <v>4.1537329673861777E-2</v>
      </c>
    </row>
    <row r="164" spans="2:5" ht="13.9" customHeight="1" x14ac:dyDescent="0.25">
      <c r="B164" s="29">
        <f t="shared" si="11"/>
        <v>1.808011527377523</v>
      </c>
      <c r="C164" s="30">
        <f t="shared" si="10"/>
        <v>5.1437725142656723E-2</v>
      </c>
      <c r="D164" s="30">
        <f t="shared" si="8"/>
        <v>0.50443433915649161</v>
      </c>
      <c r="E164" s="30">
        <f t="shared" si="9"/>
        <v>4.1768347823864668E-2</v>
      </c>
    </row>
    <row r="165" spans="2:5" ht="13.9" customHeight="1" x14ac:dyDescent="0.25">
      <c r="B165" s="29">
        <f t="shared" si="11"/>
        <v>1.818011527377523</v>
      </c>
      <c r="C165" s="30">
        <f t="shared" si="10"/>
        <v>5.1154791154791115E-2</v>
      </c>
      <c r="D165" s="30">
        <f t="shared" si="8"/>
        <v>0.50165969041768999</v>
      </c>
      <c r="E165" s="30">
        <f t="shared" si="9"/>
        <v>4.1999365973867553E-2</v>
      </c>
    </row>
    <row r="166" spans="2:5" ht="13.9" customHeight="1" x14ac:dyDescent="0.25">
      <c r="B166" s="29">
        <f t="shared" si="11"/>
        <v>1.828011527377523</v>
      </c>
      <c r="C166" s="30">
        <f t="shared" si="10"/>
        <v>5.0874952705259137E-2</v>
      </c>
      <c r="D166" s="30">
        <f t="shared" si="8"/>
        <v>0.49891539869466472</v>
      </c>
      <c r="E166" s="30">
        <f t="shared" si="9"/>
        <v>4.2230384123870437E-2</v>
      </c>
    </row>
    <row r="167" spans="2:5" ht="13.9" customHeight="1" x14ac:dyDescent="0.25">
      <c r="B167" s="29">
        <f t="shared" si="11"/>
        <v>1.838011527377523</v>
      </c>
      <c r="C167" s="30">
        <f t="shared" si="10"/>
        <v>5.0598159268724775E-2</v>
      </c>
      <c r="D167" s="30">
        <f t="shared" si="8"/>
        <v>0.49620096850060325</v>
      </c>
      <c r="E167" s="30">
        <f t="shared" si="9"/>
        <v>4.2461402273873329E-2</v>
      </c>
    </row>
    <row r="168" spans="2:5" ht="13.9" customHeight="1" x14ac:dyDescent="0.25">
      <c r="B168" s="29">
        <f t="shared" si="11"/>
        <v>1.8480115273775231</v>
      </c>
      <c r="C168" s="30">
        <f t="shared" si="10"/>
        <v>5.0324361413467196E-2</v>
      </c>
      <c r="D168" s="30">
        <f t="shared" si="8"/>
        <v>0.49351591507344872</v>
      </c>
      <c r="E168" s="30">
        <f t="shared" si="9"/>
        <v>4.2692420423876207E-2</v>
      </c>
    </row>
    <row r="169" spans="2:5" ht="13.9" customHeight="1" x14ac:dyDescent="0.25">
      <c r="B169" s="29">
        <f t="shared" si="11"/>
        <v>1.8580115273775231</v>
      </c>
      <c r="C169" s="30">
        <f t="shared" si="10"/>
        <v>5.0053510771951013E-2</v>
      </c>
      <c r="D169" s="30">
        <f t="shared" si="8"/>
        <v>0.49085976408729198</v>
      </c>
      <c r="E169" s="30">
        <f t="shared" si="9"/>
        <v>4.2923438573879098E-2</v>
      </c>
    </row>
    <row r="170" spans="2:5" ht="13.9" customHeight="1" x14ac:dyDescent="0.25">
      <c r="B170" s="29">
        <f t="shared" si="11"/>
        <v>1.8680115273775231</v>
      </c>
      <c r="C170" s="30">
        <f t="shared" si="10"/>
        <v>4.9785560012341828E-2</v>
      </c>
      <c r="D170" s="30">
        <f t="shared" si="8"/>
        <v>0.48823205137303255</v>
      </c>
      <c r="E170" s="30">
        <f t="shared" si="9"/>
        <v>4.3154456723881976E-2</v>
      </c>
    </row>
    <row r="171" spans="2:5" ht="13.9" customHeight="1" x14ac:dyDescent="0.25">
      <c r="B171" s="29">
        <f t="shared" si="11"/>
        <v>1.8780115273775231</v>
      </c>
      <c r="C171" s="30">
        <f t="shared" si="10"/>
        <v>4.9520462810931871E-2</v>
      </c>
      <c r="D171" s="30">
        <f t="shared" si="8"/>
        <v>0.48563232264796558</v>
      </c>
      <c r="E171" s="30">
        <f t="shared" si="9"/>
        <v>4.3385474873884868E-2</v>
      </c>
    </row>
    <row r="172" spans="2:5" ht="13.9" customHeight="1" x14ac:dyDescent="0.25">
      <c r="B172" s="29">
        <f t="shared" si="11"/>
        <v>1.8880115273775231</v>
      </c>
      <c r="C172" s="30">
        <f t="shared" si="10"/>
        <v>4.9258173825441849E-2</v>
      </c>
      <c r="D172" s="30">
        <f t="shared" si="8"/>
        <v>0.48306013325396052</v>
      </c>
      <c r="E172" s="30">
        <f t="shared" si="9"/>
        <v>4.3616493023887752E-2</v>
      </c>
    </row>
    <row r="173" spans="2:5" ht="13.9" customHeight="1" x14ac:dyDescent="0.25">
      <c r="B173" s="29">
        <f t="shared" si="11"/>
        <v>1.8980115273775231</v>
      </c>
      <c r="C173" s="30">
        <f t="shared" si="10"/>
        <v>4.8998648669166846E-2</v>
      </c>
      <c r="D173" s="30">
        <f t="shared" si="8"/>
        <v>0.48051504790391847</v>
      </c>
      <c r="E173" s="30">
        <f t="shared" si="9"/>
        <v>4.3847511173890637E-2</v>
      </c>
    </row>
    <row r="174" spans="2:5" ht="13.9" customHeight="1" x14ac:dyDescent="0.25">
      <c r="B174" s="29">
        <f t="shared" si="11"/>
        <v>1.9080115273775231</v>
      </c>
      <c r="C174" s="30">
        <f t="shared" si="10"/>
        <v>4.8741843885935193E-2</v>
      </c>
      <c r="D174" s="30">
        <f t="shared" si="8"/>
        <v>0.4779966404362006</v>
      </c>
      <c r="E174" s="30">
        <f t="shared" si="9"/>
        <v>4.4078529323893514E-2</v>
      </c>
    </row>
    <row r="175" spans="2:5" ht="13.9" customHeight="1" x14ac:dyDescent="0.25">
      <c r="B175" s="29">
        <f t="shared" si="11"/>
        <v>1.9180115273775231</v>
      </c>
      <c r="C175" s="30">
        <f t="shared" si="10"/>
        <v>4.8487716925850764E-2</v>
      </c>
      <c r="D175" s="30">
        <f t="shared" si="8"/>
        <v>0.47550449357674068</v>
      </c>
      <c r="E175" s="30">
        <f t="shared" si="9"/>
        <v>4.4309547473896413E-2</v>
      </c>
    </row>
    <row r="176" spans="2:5" ht="13.9" customHeight="1" x14ac:dyDescent="0.25">
      <c r="B176" s="29">
        <f t="shared" si="11"/>
        <v>1.9280115273775231</v>
      </c>
      <c r="C176" s="30">
        <f t="shared" si="10"/>
        <v>4.8236226121790043E-2</v>
      </c>
      <c r="D176" s="30">
        <f t="shared" si="8"/>
        <v>0.4730381987085584</v>
      </c>
      <c r="E176" s="30">
        <f t="shared" si="9"/>
        <v>4.4540565623899298E-2</v>
      </c>
    </row>
    <row r="177" spans="2:5" ht="13.9" customHeight="1" x14ac:dyDescent="0.25">
      <c r="B177" s="29">
        <f t="shared" si="11"/>
        <v>1.9380115273775231</v>
      </c>
      <c r="C177" s="30">
        <f t="shared" si="10"/>
        <v>4.7987330666626977E-2</v>
      </c>
      <c r="D177" s="30">
        <f t="shared" si="8"/>
        <v>0.47059735564841076</v>
      </c>
      <c r="E177" s="30">
        <f t="shared" si="9"/>
        <v>4.4771583773902182E-2</v>
      </c>
    </row>
    <row r="178" spans="2:5" ht="13.9" customHeight="1" x14ac:dyDescent="0.25">
      <c r="B178" s="29">
        <f t="shared" si="11"/>
        <v>1.9480115273775231</v>
      </c>
      <c r="C178" s="30">
        <f t="shared" si="10"/>
        <v>4.7740990591159202E-2</v>
      </c>
      <c r="D178" s="30">
        <f t="shared" si="8"/>
        <v>0.46818157243032094</v>
      </c>
      <c r="E178" s="30">
        <f t="shared" si="9"/>
        <v>4.5002601923905074E-2</v>
      </c>
    </row>
    <row r="179" spans="2:5" ht="13.9" customHeight="1" x14ac:dyDescent="0.25">
      <c r="B179" s="29">
        <f t="shared" si="11"/>
        <v>1.9580115273775232</v>
      </c>
      <c r="C179" s="30">
        <f t="shared" si="10"/>
        <v>4.7497166742710761E-2</v>
      </c>
      <c r="D179" s="30">
        <f t="shared" si="8"/>
        <v>0.46579046509574157</v>
      </c>
      <c r="E179" s="30">
        <f t="shared" si="9"/>
        <v>4.5233620073907944E-2</v>
      </c>
    </row>
    <row r="180" spans="2:5" ht="13.9" customHeight="1" x14ac:dyDescent="0.25">
      <c r="B180" s="29">
        <f t="shared" si="11"/>
        <v>1.9680115273775232</v>
      </c>
      <c r="C180" s="30">
        <f t="shared" si="10"/>
        <v>4.7255820764387134E-2</v>
      </c>
      <c r="D180" s="30">
        <f t="shared" si="8"/>
        <v>0.46342365749011527</v>
      </c>
      <c r="E180" s="30">
        <f t="shared" si="9"/>
        <v>4.5464638223910836E-2</v>
      </c>
    </row>
    <row r="181" spans="2:5" ht="13.9" customHeight="1" x14ac:dyDescent="0.25">
      <c r="B181" s="29">
        <f t="shared" si="11"/>
        <v>1.9780115273775232</v>
      </c>
      <c r="C181" s="30">
        <f t="shared" si="10"/>
        <v>4.7016915074959531E-2</v>
      </c>
      <c r="D181" s="30">
        <f t="shared" si="8"/>
        <v>0.46108078106560563</v>
      </c>
      <c r="E181" s="30">
        <f t="shared" si="9"/>
        <v>4.5695656373913728E-2</v>
      </c>
    </row>
    <row r="182" spans="2:5" ht="13.9" customHeight="1" x14ac:dyDescent="0.25">
      <c r="B182" s="29">
        <f t="shared" si="11"/>
        <v>1.9880115273775232</v>
      </c>
      <c r="C182" s="30">
        <f t="shared" si="10"/>
        <v>4.6780412849356336E-2</v>
      </c>
      <c r="D182" s="30">
        <f t="shared" si="8"/>
        <v>0.45876147468978273</v>
      </c>
      <c r="E182" s="30">
        <f t="shared" si="9"/>
        <v>4.5926674523916605E-2</v>
      </c>
    </row>
    <row r="183" spans="2:5" ht="13.9" customHeight="1" x14ac:dyDescent="0.25">
      <c r="B183" s="29">
        <f t="shared" si="11"/>
        <v>1.9980115273775232</v>
      </c>
      <c r="C183" s="30">
        <f t="shared" si="10"/>
        <v>4.6546277999740336E-2</v>
      </c>
      <c r="D183" s="30">
        <f t="shared" si="8"/>
        <v>0.45646538446005352</v>
      </c>
      <c r="E183" s="30">
        <f t="shared" si="9"/>
        <v>4.615769267391949E-2</v>
      </c>
    </row>
    <row r="184" spans="2:5" ht="13.9" customHeight="1" x14ac:dyDescent="0.25">
      <c r="B184" s="29">
        <f t="shared" si="11"/>
        <v>2.0080115273775232</v>
      </c>
      <c r="C184" s="30">
        <f t="shared" si="10"/>
        <v>4.6314475157151432E-2</v>
      </c>
      <c r="D184" s="30">
        <f t="shared" si="8"/>
        <v>0.45419216352363689</v>
      </c>
      <c r="E184" s="30">
        <f t="shared" si="9"/>
        <v>4.6388710823922374E-2</v>
      </c>
    </row>
    <row r="185" spans="2:5" ht="13.9" customHeight="1" x14ac:dyDescent="0.25">
      <c r="B185" s="29">
        <f t="shared" si="11"/>
        <v>2.018011527377523</v>
      </c>
      <c r="C185" s="30">
        <f t="shared" si="10"/>
        <v>4.6084969653695081E-2</v>
      </c>
      <c r="D185" s="30">
        <f t="shared" si="8"/>
        <v>0.45194147190289152</v>
      </c>
      <c r="E185" s="30">
        <f t="shared" si="9"/>
        <v>4.6619728973925266E-2</v>
      </c>
    </row>
    <row r="186" spans="2:5" ht="13.9" customHeight="1" x14ac:dyDescent="0.25">
      <c r="B186" s="29">
        <f t="shared" si="11"/>
        <v>2.0280115273775228</v>
      </c>
      <c r="C186" s="30">
        <f t="shared" si="10"/>
        <v>4.5857727505257746E-2</v>
      </c>
      <c r="D186" s="30">
        <f t="shared" si="8"/>
        <v>0.44971297632581109</v>
      </c>
      <c r="E186" s="30">
        <f t="shared" si="9"/>
        <v>4.6850747123928137E-2</v>
      </c>
    </row>
    <row r="187" spans="2:5" ht="13.9" customHeight="1" x14ac:dyDescent="0.25">
      <c r="B187" s="29">
        <f t="shared" si="11"/>
        <v>2.0380115273775226</v>
      </c>
      <c r="C187" s="30">
        <f t="shared" si="10"/>
        <v>4.5632715394731238E-2</v>
      </c>
      <c r="D187" s="30">
        <f t="shared" si="8"/>
        <v>0.44750635006151079</v>
      </c>
      <c r="E187" s="30">
        <f t="shared" si="9"/>
        <v>4.7081765273931021E-2</v>
      </c>
    </row>
    <row r="188" spans="2:5" ht="13.9" customHeight="1" x14ac:dyDescent="0.25">
      <c r="B188" s="29">
        <f t="shared" si="11"/>
        <v>2.0480115273775223</v>
      </c>
      <c r="C188" s="30">
        <f t="shared" si="10"/>
        <v>4.5409900655728461E-2</v>
      </c>
      <c r="D188" s="30">
        <f t="shared" si="8"/>
        <v>0.44532127276053224</v>
      </c>
      <c r="E188" s="30">
        <f t="shared" si="9"/>
        <v>4.7312783423933892E-2</v>
      </c>
    </row>
    <row r="189" spans="2:5" ht="13.9" customHeight="1" x14ac:dyDescent="0.25">
      <c r="B189" s="29">
        <f t="shared" si="11"/>
        <v>2.0580115273775221</v>
      </c>
      <c r="C189" s="30">
        <f t="shared" si="10"/>
        <v>4.5189251256773963E-2</v>
      </c>
      <c r="D189" s="30">
        <f t="shared" si="8"/>
        <v>0.4431574302998052</v>
      </c>
      <c r="E189" s="30">
        <f t="shared" si="9"/>
        <v>4.7543801573936784E-2</v>
      </c>
    </row>
    <row r="190" spans="2:5" ht="13.9" customHeight="1" x14ac:dyDescent="0.25">
      <c r="B190" s="29">
        <f t="shared" si="11"/>
        <v>2.0680115273775219</v>
      </c>
      <c r="C190" s="30">
        <f t="shared" si="10"/>
        <v>4.4970735785953168E-2</v>
      </c>
      <c r="D190" s="30">
        <f t="shared" si="8"/>
        <v>0.44101451463210689</v>
      </c>
      <c r="E190" s="30">
        <f t="shared" si="9"/>
        <v>4.7774819723939661E-2</v>
      </c>
    </row>
    <row r="191" spans="2:5" ht="13.9" customHeight="1" x14ac:dyDescent="0.25">
      <c r="B191" s="29">
        <f t="shared" si="11"/>
        <v>2.0780115273775217</v>
      </c>
      <c r="C191" s="30">
        <f t="shared" si="10"/>
        <v>4.4754323436004821E-2</v>
      </c>
      <c r="D191" s="30">
        <f t="shared" si="8"/>
        <v>0.43889222363986846</v>
      </c>
      <c r="E191" s="30">
        <f t="shared" si="9"/>
        <v>4.8005837873942546E-2</v>
      </c>
    </row>
    <row r="192" spans="2:5" ht="13.9" customHeight="1" x14ac:dyDescent="0.25">
      <c r="B192" s="29">
        <f t="shared" si="11"/>
        <v>2.0880115273775215</v>
      </c>
      <c r="C192" s="30">
        <f t="shared" si="10"/>
        <v>4.4539983989841832E-2</v>
      </c>
      <c r="D192" s="30">
        <f t="shared" si="8"/>
        <v>0.43679026099318186</v>
      </c>
      <c r="E192" s="30">
        <f t="shared" si="9"/>
        <v>4.8236856023945417E-2</v>
      </c>
    </row>
    <row r="193" spans="2:5" ht="13.9" customHeight="1" x14ac:dyDescent="0.25">
      <c r="B193" s="29">
        <f t="shared" si="11"/>
        <v>2.0980115273775213</v>
      </c>
      <c r="C193" s="30">
        <f t="shared" si="10"/>
        <v>4.4327687806486181E-2</v>
      </c>
      <c r="D193" s="30">
        <f t="shared" si="8"/>
        <v>0.43470833601186798</v>
      </c>
      <c r="E193" s="30">
        <f t="shared" si="9"/>
        <v>4.8467874173948301E-2</v>
      </c>
    </row>
    <row r="194" spans="2:5" ht="13.9" customHeight="1" x14ac:dyDescent="0.25">
      <c r="B194" s="29">
        <f t="shared" si="11"/>
        <v>2.1080115273775211</v>
      </c>
      <c r="C194" s="30">
        <f t="shared" si="10"/>
        <v>4.4117405807404177E-2</v>
      </c>
      <c r="D194" s="30">
        <f t="shared" si="8"/>
        <v>0.43264616353147051</v>
      </c>
      <c r="E194" s="30">
        <f t="shared" si="9"/>
        <v>4.8698892323951179E-2</v>
      </c>
    </row>
    <row r="195" spans="2:5" ht="13.9" customHeight="1" x14ac:dyDescent="0.25">
      <c r="B195" s="29">
        <f t="shared" si="11"/>
        <v>2.1180115273775209</v>
      </c>
      <c r="C195" s="30">
        <f t="shared" si="10"/>
        <v>4.3909109463228804E-2</v>
      </c>
      <c r="D195" s="30">
        <f t="shared" si="8"/>
        <v>0.43060346377304587</v>
      </c>
      <c r="E195" s="30">
        <f t="shared" si="9"/>
        <v>4.8929910473954057E-2</v>
      </c>
    </row>
    <row r="196" spans="2:5" ht="13.9" customHeight="1" x14ac:dyDescent="0.25">
      <c r="B196" s="29">
        <f t="shared" si="11"/>
        <v>2.1280115273775206</v>
      </c>
      <c r="C196" s="30">
        <f t="shared" si="10"/>
        <v>4.3702770780856444E-2</v>
      </c>
      <c r="D196" s="30">
        <f t="shared" si="8"/>
        <v>0.42857996221662487</v>
      </c>
      <c r="E196" s="30">
        <f t="shared" si="9"/>
        <v>4.9160928623956948E-2</v>
      </c>
    </row>
    <row r="197" spans="2:5" ht="13.9" customHeight="1" x14ac:dyDescent="0.25">
      <c r="B197" s="29">
        <f t="shared" si="11"/>
        <v>2.1380115273775204</v>
      </c>
      <c r="C197" s="30">
        <f t="shared" si="10"/>
        <v>4.3498362290905687E-2</v>
      </c>
      <c r="D197" s="30">
        <f t="shared" si="8"/>
        <v>0.42657538947822476</v>
      </c>
      <c r="E197" s="30">
        <f t="shared" si="9"/>
        <v>4.9391946773959826E-2</v>
      </c>
    </row>
    <row r="198" spans="2:5" ht="13.9" customHeight="1" x14ac:dyDescent="0.25">
      <c r="B198" s="29">
        <f t="shared" si="11"/>
        <v>2.1480115273775202</v>
      </c>
      <c r="C198" s="30">
        <f t="shared" si="10"/>
        <v>4.3295857035526485E-2</v>
      </c>
      <c r="D198" s="30">
        <f t="shared" si="8"/>
        <v>0.42458948119029755</v>
      </c>
      <c r="E198" s="30">
        <f t="shared" si="9"/>
        <v>4.962296492396271E-2</v>
      </c>
    </row>
    <row r="199" spans="2:5" ht="13.9" customHeight="1" x14ac:dyDescent="0.25">
      <c r="B199" s="29">
        <f t="shared" si="11"/>
        <v>2.15801152737752</v>
      </c>
      <c r="C199" s="30">
        <f t="shared" si="10"/>
        <v>4.3095228556548244E-2</v>
      </c>
      <c r="D199" s="30">
        <f t="shared" si="8"/>
        <v>0.42262197788550165</v>
      </c>
      <c r="E199" s="30">
        <f t="shared" si="9"/>
        <v>4.9853983073965588E-2</v>
      </c>
    </row>
    <row r="200" spans="2:5" ht="13.9" customHeight="1" x14ac:dyDescent="0.25">
      <c r="B200" s="29">
        <f t="shared" si="11"/>
        <v>2.1680115273775198</v>
      </c>
      <c r="C200" s="30">
        <f t="shared" si="10"/>
        <v>4.2896450883955904E-2</v>
      </c>
      <c r="D200" s="30">
        <f t="shared" si="8"/>
        <v>0.42067262488369034</v>
      </c>
      <c r="E200" s="30">
        <f t="shared" si="9"/>
        <v>5.0085001223968466E-2</v>
      </c>
    </row>
    <row r="201" spans="2:5" ht="13.9" customHeight="1" x14ac:dyDescent="0.25">
      <c r="B201" s="29">
        <f t="shared" si="11"/>
        <v>2.1780115273775196</v>
      </c>
      <c r="C201" s="30">
        <f t="shared" si="10"/>
        <v>4.2699498524683473E-2</v>
      </c>
      <c r="D201" s="30">
        <f t="shared" ref="D201:D264" si="12">C201*9.8067</f>
        <v>0.4187411721820134</v>
      </c>
      <c r="E201" s="30">
        <f t="shared" ref="E201:E264" si="13">((B201^2)/(4*PI()^2))*D201</f>
        <v>5.031601937397135E-2</v>
      </c>
    </row>
    <row r="202" spans="2:5" ht="13.9" customHeight="1" x14ac:dyDescent="0.25">
      <c r="B202" s="29">
        <f t="shared" si="11"/>
        <v>2.1880115273775194</v>
      </c>
      <c r="C202" s="30">
        <f t="shared" si="10"/>
        <v>4.2504346451714914E-2</v>
      </c>
      <c r="D202" s="30">
        <f t="shared" si="12"/>
        <v>0.41682737434803263</v>
      </c>
      <c r="E202" s="30">
        <f t="shared" si="13"/>
        <v>5.0547037523974228E-2</v>
      </c>
    </row>
    <row r="203" spans="2:5" ht="13.9" customHeight="1" x14ac:dyDescent="0.25">
      <c r="B203" s="29">
        <f t="shared" si="11"/>
        <v>2.1980115273775191</v>
      </c>
      <c r="C203" s="30">
        <f t="shared" si="10"/>
        <v>4.2310970093482496E-2</v>
      </c>
      <c r="D203" s="30">
        <f t="shared" si="12"/>
        <v>0.41493099041575476</v>
      </c>
      <c r="E203" s="30">
        <f t="shared" si="13"/>
        <v>5.0778055673977106E-2</v>
      </c>
    </row>
    <row r="204" spans="2:5" ht="13.9" customHeight="1" x14ac:dyDescent="0.25">
      <c r="B204" s="29">
        <f t="shared" si="11"/>
        <v>2.2080115273775189</v>
      </c>
      <c r="C204" s="30">
        <f t="shared" si="10"/>
        <v>4.2119345323553263E-2</v>
      </c>
      <c r="D204" s="30">
        <f t="shared" si="12"/>
        <v>0.41305178378448976</v>
      </c>
      <c r="E204" s="30">
        <f t="shared" si="13"/>
        <v>5.100907382397999E-2</v>
      </c>
    </row>
    <row r="205" spans="2:5" ht="13.9" customHeight="1" x14ac:dyDescent="0.25">
      <c r="B205" s="29">
        <f t="shared" si="11"/>
        <v>2.2180115273775187</v>
      </c>
      <c r="C205" s="30">
        <f t="shared" ref="C205:C268" si="14">IF(B205&lt;6,$C$5/B205,6*$C$5/B205^2)</f>
        <v>4.192944845059448E-2</v>
      </c>
      <c r="D205" s="30">
        <f t="shared" si="12"/>
        <v>0.41118952212044485</v>
      </c>
      <c r="E205" s="30">
        <f t="shared" si="13"/>
        <v>5.1240091973982875E-2</v>
      </c>
    </row>
    <row r="206" spans="2:5" ht="13.9" customHeight="1" x14ac:dyDescent="0.25">
      <c r="B206" s="29">
        <f t="shared" ref="B206:B269" si="15">B205+0.01</f>
        <v>2.2280115273775185</v>
      </c>
      <c r="C206" s="30">
        <f t="shared" si="14"/>
        <v>4.1741256208609329E-2</v>
      </c>
      <c r="D206" s="30">
        <f t="shared" si="12"/>
        <v>0.40934397726096905</v>
      </c>
      <c r="E206" s="30">
        <f t="shared" si="13"/>
        <v>5.1471110123985753E-2</v>
      </c>
    </row>
    <row r="207" spans="2:5" ht="13.9" customHeight="1" x14ac:dyDescent="0.25">
      <c r="B207" s="29">
        <f t="shared" si="15"/>
        <v>2.2380115273775183</v>
      </c>
      <c r="C207" s="30">
        <f t="shared" si="14"/>
        <v>4.1554745747434355E-2</v>
      </c>
      <c r="D207" s="30">
        <f t="shared" si="12"/>
        <v>0.40751492512136445</v>
      </c>
      <c r="E207" s="30">
        <f t="shared" si="13"/>
        <v>5.170212827398863E-2</v>
      </c>
    </row>
    <row r="208" spans="2:5" ht="13.9" customHeight="1" x14ac:dyDescent="0.25">
      <c r="B208" s="29">
        <f t="shared" si="15"/>
        <v>2.2480115273775181</v>
      </c>
      <c r="C208" s="30">
        <f t="shared" si="14"/>
        <v>4.1369894623490562E-2</v>
      </c>
      <c r="D208" s="30">
        <f t="shared" si="12"/>
        <v>0.40570214560418488</v>
      </c>
      <c r="E208" s="30">
        <f t="shared" si="13"/>
        <v>5.1933146423991515E-2</v>
      </c>
    </row>
    <row r="209" spans="2:5" ht="13.9" customHeight="1" x14ac:dyDescent="0.25">
      <c r="B209" s="29">
        <f t="shared" si="15"/>
        <v>2.2580115273775179</v>
      </c>
      <c r="C209" s="30">
        <f t="shared" si="14"/>
        <v>4.1186680790780257E-2</v>
      </c>
      <c r="D209" s="30">
        <f t="shared" si="12"/>
        <v>0.40390542251094474</v>
      </c>
      <c r="E209" s="30">
        <f t="shared" si="13"/>
        <v>5.2164164573994407E-2</v>
      </c>
    </row>
    <row r="210" spans="2:5" ht="13.9" customHeight="1" x14ac:dyDescent="0.25">
      <c r="B210" s="29">
        <f t="shared" si="15"/>
        <v>2.2680115273775177</v>
      </c>
      <c r="C210" s="30">
        <f t="shared" si="14"/>
        <v>4.1005082592122051E-2</v>
      </c>
      <c r="D210" s="30">
        <f t="shared" si="12"/>
        <v>0.40212454345616327</v>
      </c>
      <c r="E210" s="30">
        <f t="shared" si="13"/>
        <v>5.239518272399727E-2</v>
      </c>
    </row>
    <row r="211" spans="2:5" ht="13.9" customHeight="1" x14ac:dyDescent="0.25">
      <c r="B211" s="29">
        <f t="shared" si="15"/>
        <v>2.2780115273775174</v>
      </c>
      <c r="C211" s="30">
        <f t="shared" si="14"/>
        <v>4.0825078750616799E-2</v>
      </c>
      <c r="D211" s="30">
        <f t="shared" si="12"/>
        <v>0.40035929978367374</v>
      </c>
      <c r="E211" s="30">
        <f t="shared" si="13"/>
        <v>5.2626200874000155E-2</v>
      </c>
    </row>
    <row r="212" spans="2:5" ht="13.9" customHeight="1" x14ac:dyDescent="0.25">
      <c r="B212" s="29">
        <f t="shared" si="15"/>
        <v>2.2880115273775172</v>
      </c>
      <c r="C212" s="30">
        <f t="shared" si="14"/>
        <v>4.0646648361337204E-2</v>
      </c>
      <c r="D212" s="30">
        <f t="shared" si="12"/>
        <v>0.39860948648512551</v>
      </c>
      <c r="E212" s="30">
        <f t="shared" si="13"/>
        <v>5.2857219024003033E-2</v>
      </c>
    </row>
    <row r="213" spans="2:5" ht="13.9" customHeight="1" x14ac:dyDescent="0.25">
      <c r="B213" s="29">
        <f t="shared" si="15"/>
        <v>2.298011527377517</v>
      </c>
      <c r="C213" s="30">
        <f t="shared" si="14"/>
        <v>4.046977088323455E-2</v>
      </c>
      <c r="D213" s="30">
        <f t="shared" si="12"/>
        <v>0.39687490212061621</v>
      </c>
      <c r="E213" s="30">
        <f t="shared" si="13"/>
        <v>5.308823717400591E-2</v>
      </c>
    </row>
    <row r="214" spans="2:5" ht="13.9" customHeight="1" x14ac:dyDescent="0.25">
      <c r="B214" s="29">
        <f t="shared" si="15"/>
        <v>2.3080115273775168</v>
      </c>
      <c r="C214" s="30">
        <f t="shared" si="14"/>
        <v>4.0294426131255702E-2</v>
      </c>
      <c r="D214" s="30">
        <f t="shared" si="12"/>
        <v>0.39515534874138525</v>
      </c>
      <c r="E214" s="30">
        <f t="shared" si="13"/>
        <v>5.3319255324008795E-2</v>
      </c>
    </row>
    <row r="215" spans="2:5" ht="13.9" customHeight="1" x14ac:dyDescent="0.25">
      <c r="B215" s="29">
        <f t="shared" si="15"/>
        <v>2.3180115273775166</v>
      </c>
      <c r="C215" s="30">
        <f t="shared" si="14"/>
        <v>4.0120594268664225E-2</v>
      </c>
      <c r="D215" s="30">
        <f t="shared" si="12"/>
        <v>0.39345063181450945</v>
      </c>
      <c r="E215" s="30">
        <f t="shared" si="13"/>
        <v>5.3550273474011686E-2</v>
      </c>
    </row>
    <row r="216" spans="2:5" ht="13.9" customHeight="1" x14ac:dyDescent="0.25">
      <c r="B216" s="29">
        <f t="shared" si="15"/>
        <v>2.3280115273775164</v>
      </c>
      <c r="C216" s="30">
        <f t="shared" si="14"/>
        <v>3.99482557995594E-2</v>
      </c>
      <c r="D216" s="30">
        <f t="shared" si="12"/>
        <v>0.39176056014953914</v>
      </c>
      <c r="E216" s="30">
        <f t="shared" si="13"/>
        <v>5.3781291624014557E-2</v>
      </c>
    </row>
    <row r="217" spans="2:5" ht="13.9" customHeight="1" x14ac:dyDescent="0.25">
      <c r="B217" s="29">
        <f t="shared" si="15"/>
        <v>2.3380115273775162</v>
      </c>
      <c r="C217" s="30">
        <f t="shared" si="14"/>
        <v>3.9777391561587196E-2</v>
      </c>
      <c r="D217" s="30">
        <f t="shared" si="12"/>
        <v>0.39008494582701714</v>
      </c>
      <c r="E217" s="30">
        <f t="shared" si="13"/>
        <v>5.4012309774017435E-2</v>
      </c>
    </row>
    <row r="218" spans="2:5" ht="13.9" customHeight="1" x14ac:dyDescent="0.25">
      <c r="B218" s="29">
        <f t="shared" si="15"/>
        <v>2.348011527377516</v>
      </c>
      <c r="C218" s="30">
        <f t="shared" si="14"/>
        <v>3.9607982718837545E-2</v>
      </c>
      <c r="D218" s="30">
        <f t="shared" si="12"/>
        <v>0.38842360412882415</v>
      </c>
      <c r="E218" s="30">
        <f t="shared" si="13"/>
        <v>5.4243327924020326E-2</v>
      </c>
    </row>
    <row r="219" spans="2:5" ht="13.9" customHeight="1" x14ac:dyDescent="0.25">
      <c r="B219" s="29">
        <f t="shared" si="15"/>
        <v>2.3580115273775157</v>
      </c>
      <c r="C219" s="30">
        <f t="shared" si="14"/>
        <v>3.944001075492231E-2</v>
      </c>
      <c r="D219" s="30">
        <f t="shared" si="12"/>
        <v>0.3867763534702966</v>
      </c>
      <c r="E219" s="30">
        <f t="shared" si="13"/>
        <v>5.4474346074023204E-2</v>
      </c>
    </row>
    <row r="220" spans="2:5" ht="13.9" customHeight="1" x14ac:dyDescent="0.25">
      <c r="B220" s="29">
        <f t="shared" si="15"/>
        <v>2.3680115273775155</v>
      </c>
      <c r="C220" s="30">
        <f t="shared" si="14"/>
        <v>3.9273457466228651E-2</v>
      </c>
      <c r="D220" s="30">
        <f t="shared" si="12"/>
        <v>0.38514301533406448</v>
      </c>
      <c r="E220" s="30">
        <f t="shared" si="13"/>
        <v>5.4705364224026075E-2</v>
      </c>
    </row>
    <row r="221" spans="2:5" ht="13.9" customHeight="1" x14ac:dyDescent="0.25">
      <c r="B221" s="29">
        <f t="shared" si="15"/>
        <v>2.3780115273775153</v>
      </c>
      <c r="C221" s="30">
        <f t="shared" si="14"/>
        <v>3.9108304955342642E-2</v>
      </c>
      <c r="D221" s="30">
        <f t="shared" si="12"/>
        <v>0.38352341420555863</v>
      </c>
      <c r="E221" s="30">
        <f t="shared" si="13"/>
        <v>5.4936382374028959E-2</v>
      </c>
    </row>
    <row r="222" spans="2:5" ht="13.9" customHeight="1" x14ac:dyDescent="0.25">
      <c r="B222" s="29">
        <f t="shared" si="15"/>
        <v>2.3880115273775151</v>
      </c>
      <c r="C222" s="30">
        <f t="shared" si="14"/>
        <v>3.8944535624638066E-2</v>
      </c>
      <c r="D222" s="30">
        <f t="shared" si="12"/>
        <v>0.3819173775101381</v>
      </c>
      <c r="E222" s="30">
        <f t="shared" si="13"/>
        <v>5.5167400524031844E-2</v>
      </c>
    </row>
    <row r="223" spans="2:5" ht="13.9" customHeight="1" x14ac:dyDescent="0.25">
      <c r="B223" s="29">
        <f t="shared" si="15"/>
        <v>2.3980115273775149</v>
      </c>
      <c r="C223" s="30">
        <f t="shared" si="14"/>
        <v>3.8782132170025706E-2</v>
      </c>
      <c r="D223" s="30">
        <f t="shared" si="12"/>
        <v>0.38032473555179108</v>
      </c>
      <c r="E223" s="30">
        <f t="shared" si="13"/>
        <v>5.5398418674034715E-2</v>
      </c>
    </row>
    <row r="224" spans="2:5" ht="13.9" customHeight="1" x14ac:dyDescent="0.25">
      <c r="B224" s="29">
        <f t="shared" si="15"/>
        <v>2.4080115273775147</v>
      </c>
      <c r="C224" s="30">
        <f t="shared" si="14"/>
        <v>3.8621077574858297E-2</v>
      </c>
      <c r="D224" s="30">
        <f t="shared" si="12"/>
        <v>0.37874532145336282</v>
      </c>
      <c r="E224" s="30">
        <f t="shared" si="13"/>
        <v>5.5629436824037606E-2</v>
      </c>
    </row>
    <row r="225" spans="2:5" ht="13.9" customHeight="1" x14ac:dyDescent="0.25">
      <c r="B225" s="29">
        <f t="shared" si="15"/>
        <v>2.4180115273775145</v>
      </c>
      <c r="C225" s="30">
        <f t="shared" si="14"/>
        <v>3.8461355103986766E-2</v>
      </c>
      <c r="D225" s="30">
        <f t="shared" si="12"/>
        <v>0.37717897109826698</v>
      </c>
      <c r="E225" s="30">
        <f t="shared" si="13"/>
        <v>5.5860454974040477E-2</v>
      </c>
    </row>
    <row r="226" spans="2:5" ht="13.9" customHeight="1" x14ac:dyDescent="0.25">
      <c r="B226" s="29">
        <f t="shared" si="15"/>
        <v>2.4280115273775142</v>
      </c>
      <c r="C226" s="30">
        <f t="shared" si="14"/>
        <v>3.8302948297963366E-2</v>
      </c>
      <c r="D226" s="30">
        <f t="shared" si="12"/>
        <v>0.37562552307363734</v>
      </c>
      <c r="E226" s="30">
        <f t="shared" si="13"/>
        <v>5.6091473124043362E-2</v>
      </c>
    </row>
    <row r="227" spans="2:5" ht="13.9" customHeight="1" x14ac:dyDescent="0.25">
      <c r="B227" s="29">
        <f t="shared" si="15"/>
        <v>2.438011527377514</v>
      </c>
      <c r="C227" s="30">
        <f t="shared" si="14"/>
        <v>3.8145840967387441E-2</v>
      </c>
      <c r="D227" s="30">
        <f t="shared" si="12"/>
        <v>0.37408481861487841</v>
      </c>
      <c r="E227" s="30">
        <f t="shared" si="13"/>
        <v>5.6322491274046239E-2</v>
      </c>
    </row>
    <row r="228" spans="2:5" ht="13.9" customHeight="1" x14ac:dyDescent="0.25">
      <c r="B228" s="29">
        <f t="shared" si="15"/>
        <v>2.4480115273775138</v>
      </c>
      <c r="C228" s="30">
        <f t="shared" si="14"/>
        <v>3.7990017187389757E-2</v>
      </c>
      <c r="D228" s="30">
        <f t="shared" si="12"/>
        <v>0.37255670155157511</v>
      </c>
      <c r="E228" s="30">
        <f t="shared" si="13"/>
        <v>5.6553509424049124E-2</v>
      </c>
    </row>
    <row r="229" spans="2:5" ht="13.9" customHeight="1" x14ac:dyDescent="0.25">
      <c r="B229" s="29">
        <f t="shared" si="15"/>
        <v>2.4580115273775136</v>
      </c>
      <c r="C229" s="30">
        <f t="shared" si="14"/>
        <v>3.7835461292251536E-2</v>
      </c>
      <c r="D229" s="30">
        <f t="shared" si="12"/>
        <v>0.37104101825472313</v>
      </c>
      <c r="E229" s="30">
        <f t="shared" si="13"/>
        <v>5.6784527574052002E-2</v>
      </c>
    </row>
    <row r="230" spans="2:5" ht="13.9" customHeight="1" x14ac:dyDescent="0.25">
      <c r="B230" s="29">
        <f t="shared" si="15"/>
        <v>2.4680115273775134</v>
      </c>
      <c r="C230" s="30">
        <f t="shared" si="14"/>
        <v>3.7682157870154262E-2</v>
      </c>
      <c r="D230" s="30">
        <f t="shared" si="12"/>
        <v>0.36953761758524178</v>
      </c>
      <c r="E230" s="30">
        <f t="shared" si="13"/>
        <v>5.7015545724054886E-2</v>
      </c>
    </row>
    <row r="231" spans="2:5" ht="13.9" customHeight="1" x14ac:dyDescent="0.25">
      <c r="B231" s="29">
        <f t="shared" si="15"/>
        <v>2.4780115273775132</v>
      </c>
      <c r="C231" s="30">
        <f t="shared" si="14"/>
        <v>3.7530091758056577E-2</v>
      </c>
      <c r="D231" s="30">
        <f t="shared" si="12"/>
        <v>0.36804635084373344</v>
      </c>
      <c r="E231" s="30">
        <f t="shared" si="13"/>
        <v>5.7246563874057778E-2</v>
      </c>
    </row>
    <row r="232" spans="2:5" ht="13.9" customHeight="1" x14ac:dyDescent="0.25">
      <c r="B232" s="29">
        <f t="shared" si="15"/>
        <v>2.488011527377513</v>
      </c>
      <c r="C232" s="30">
        <f t="shared" si="14"/>
        <v>3.7379248036694825E-2</v>
      </c>
      <c r="D232" s="30">
        <f t="shared" si="12"/>
        <v>0.36656707172145508</v>
      </c>
      <c r="E232" s="30">
        <f t="shared" si="13"/>
        <v>5.7477582024060628E-2</v>
      </c>
    </row>
    <row r="233" spans="2:5" ht="13.9" customHeight="1" x14ac:dyDescent="0.25">
      <c r="B233" s="29">
        <f t="shared" si="15"/>
        <v>2.4980115273775128</v>
      </c>
      <c r="C233" s="30">
        <f t="shared" si="14"/>
        <v>3.7229612025703573E-2</v>
      </c>
      <c r="D233" s="30">
        <f t="shared" si="12"/>
        <v>0.36509963625246722</v>
      </c>
      <c r="E233" s="30">
        <f t="shared" si="13"/>
        <v>5.7708600174063526E-2</v>
      </c>
    </row>
    <row r="234" spans="2:5" ht="13.9" customHeight="1" x14ac:dyDescent="0.25">
      <c r="B234" s="29">
        <f t="shared" si="15"/>
        <v>2.5080115273775125</v>
      </c>
      <c r="C234" s="30">
        <f t="shared" si="14"/>
        <v>3.7081169278852917E-2</v>
      </c>
      <c r="D234" s="30">
        <f t="shared" si="12"/>
        <v>0.36364390276692687</v>
      </c>
      <c r="E234" s="30">
        <f t="shared" si="13"/>
        <v>5.7939618324066411E-2</v>
      </c>
    </row>
    <row r="235" spans="2:5" ht="13.9" customHeight="1" x14ac:dyDescent="0.25">
      <c r="B235" s="29">
        <f t="shared" si="15"/>
        <v>2.5180115273775123</v>
      </c>
      <c r="C235" s="30">
        <f t="shared" si="14"/>
        <v>3.6933905579399275E-2</v>
      </c>
      <c r="D235" s="30">
        <f t="shared" si="12"/>
        <v>0.36219973184549487</v>
      </c>
      <c r="E235" s="30">
        <f t="shared" si="13"/>
        <v>5.8170636474069282E-2</v>
      </c>
    </row>
    <row r="236" spans="2:5" ht="13.9" customHeight="1" x14ac:dyDescent="0.25">
      <c r="B236" s="29">
        <f t="shared" si="15"/>
        <v>2.5280115273775121</v>
      </c>
      <c r="C236" s="30">
        <f t="shared" si="14"/>
        <v>3.6787806935546521E-2</v>
      </c>
      <c r="D236" s="30">
        <f t="shared" si="12"/>
        <v>0.36076698627482406</v>
      </c>
      <c r="E236" s="30">
        <f t="shared" si="13"/>
        <v>5.8401654624072166E-2</v>
      </c>
    </row>
    <row r="237" spans="2:5" ht="13.9" customHeight="1" x14ac:dyDescent="0.25">
      <c r="B237" s="29">
        <f t="shared" si="15"/>
        <v>2.5380115273775119</v>
      </c>
      <c r="C237" s="30">
        <f t="shared" si="14"/>
        <v>3.6642859576014403E-2</v>
      </c>
      <c r="D237" s="30">
        <f t="shared" si="12"/>
        <v>0.35934553100410044</v>
      </c>
      <c r="E237" s="30">
        <f t="shared" si="13"/>
        <v>5.8632672774075058E-2</v>
      </c>
    </row>
    <row r="238" spans="2:5" ht="13.9" customHeight="1" x14ac:dyDescent="0.25">
      <c r="B238" s="29">
        <f t="shared" si="15"/>
        <v>2.5480115273775117</v>
      </c>
      <c r="C238" s="30">
        <f t="shared" si="14"/>
        <v>3.6499049945711327E-2</v>
      </c>
      <c r="D238" s="30">
        <f t="shared" si="12"/>
        <v>0.35793523310260728</v>
      </c>
      <c r="E238" s="30">
        <f t="shared" si="13"/>
        <v>5.8863690924077942E-2</v>
      </c>
    </row>
    <row r="239" spans="2:5" ht="13.9" customHeight="1" x14ac:dyDescent="0.25">
      <c r="B239" s="29">
        <f t="shared" si="15"/>
        <v>2.5580115273775115</v>
      </c>
      <c r="C239" s="30">
        <f t="shared" si="14"/>
        <v>3.6356364701508652E-2</v>
      </c>
      <c r="D239" s="30">
        <f t="shared" si="12"/>
        <v>0.35653596171828489</v>
      </c>
      <c r="E239" s="30">
        <f t="shared" si="13"/>
        <v>5.9094709074080813E-2</v>
      </c>
    </row>
    <row r="240" spans="2:5" ht="13.9" customHeight="1" x14ac:dyDescent="0.25">
      <c r="B240" s="29">
        <f t="shared" si="15"/>
        <v>2.5680115273775113</v>
      </c>
      <c r="C240" s="30">
        <f t="shared" si="14"/>
        <v>3.621479070811371E-2</v>
      </c>
      <c r="D240" s="30">
        <f t="shared" si="12"/>
        <v>0.35514758803725871</v>
      </c>
      <c r="E240" s="30">
        <f t="shared" si="13"/>
        <v>5.9325727224083684E-2</v>
      </c>
    </row>
    <row r="241" spans="2:5" ht="13.9" customHeight="1" x14ac:dyDescent="0.25">
      <c r="B241" s="29">
        <f t="shared" si="15"/>
        <v>2.578011527377511</v>
      </c>
      <c r="C241" s="30">
        <f t="shared" si="14"/>
        <v>3.6074315034038851E-2</v>
      </c>
      <c r="D241" s="30">
        <f t="shared" si="12"/>
        <v>0.35376998524430875</v>
      </c>
      <c r="E241" s="30">
        <f t="shared" si="13"/>
        <v>5.9556745374086575E-2</v>
      </c>
    </row>
    <row r="242" spans="2:5" ht="13.9" customHeight="1" x14ac:dyDescent="0.25">
      <c r="B242" s="29">
        <f t="shared" si="15"/>
        <v>2.5880115273775108</v>
      </c>
      <c r="C242" s="30">
        <f t="shared" si="14"/>
        <v>3.5934924947663947E-2</v>
      </c>
      <c r="D242" s="30">
        <f t="shared" si="12"/>
        <v>0.35240302848425603</v>
      </c>
      <c r="E242" s="30">
        <f t="shared" si="13"/>
        <v>5.9787763524089453E-2</v>
      </c>
    </row>
    <row r="243" spans="2:5" ht="13.9" customHeight="1" x14ac:dyDescent="0.25">
      <c r="B243" s="29">
        <f t="shared" si="15"/>
        <v>2.5980115273775106</v>
      </c>
      <c r="C243" s="30">
        <f t="shared" si="14"/>
        <v>3.5796607913389906E-2</v>
      </c>
      <c r="D243" s="30">
        <f t="shared" si="12"/>
        <v>0.35104659482424078</v>
      </c>
      <c r="E243" s="30">
        <f t="shared" si="13"/>
        <v>6.0018781674092324E-2</v>
      </c>
    </row>
    <row r="244" spans="2:5" ht="13.9" customHeight="1" x14ac:dyDescent="0.25">
      <c r="B244" s="29">
        <f t="shared" si="15"/>
        <v>2.6080115273775104</v>
      </c>
      <c r="C244" s="30">
        <f t="shared" si="14"/>
        <v>3.5659351587880549E-2</v>
      </c>
      <c r="D244" s="30">
        <f t="shared" si="12"/>
        <v>0.34970056321686815</v>
      </c>
      <c r="E244" s="30">
        <f t="shared" si="13"/>
        <v>6.0249799824095208E-2</v>
      </c>
    </row>
    <row r="245" spans="2:5" ht="13.9" customHeight="1" x14ac:dyDescent="0.25">
      <c r="B245" s="29">
        <f t="shared" si="15"/>
        <v>2.6180115273775102</v>
      </c>
      <c r="C245" s="30">
        <f t="shared" si="14"/>
        <v>3.5523143816390712E-2</v>
      </c>
      <c r="D245" s="30">
        <f t="shared" si="12"/>
        <v>0.34836481446419876</v>
      </c>
      <c r="E245" s="30">
        <f t="shared" si="13"/>
        <v>6.0480817974098093E-2</v>
      </c>
    </row>
    <row r="246" spans="2:5" ht="13.9" customHeight="1" x14ac:dyDescent="0.25">
      <c r="B246" s="29">
        <f t="shared" si="15"/>
        <v>2.62801152737751</v>
      </c>
      <c r="C246" s="30">
        <f t="shared" si="14"/>
        <v>3.5387972629178158E-2</v>
      </c>
      <c r="D246" s="30">
        <f t="shared" si="12"/>
        <v>0.34703923118256141</v>
      </c>
      <c r="E246" s="30">
        <f t="shared" si="13"/>
        <v>6.0711836124100978E-2</v>
      </c>
    </row>
    <row r="247" spans="2:5" ht="13.9" customHeight="1" x14ac:dyDescent="0.25">
      <c r="B247" s="29">
        <f t="shared" si="15"/>
        <v>2.6380115273775098</v>
      </c>
      <c r="C247" s="30">
        <f t="shared" si="14"/>
        <v>3.5253826237997075E-2</v>
      </c>
      <c r="D247" s="30">
        <f t="shared" si="12"/>
        <v>0.34572369776816592</v>
      </c>
      <c r="E247" s="30">
        <f t="shared" si="13"/>
        <v>6.0942854274103848E-2</v>
      </c>
    </row>
    <row r="248" spans="2:5" ht="13.9" customHeight="1" x14ac:dyDescent="0.25">
      <c r="B248" s="29">
        <f t="shared" si="15"/>
        <v>2.6480115273775096</v>
      </c>
      <c r="C248" s="30">
        <f t="shared" si="14"/>
        <v>3.5120693032671076E-2</v>
      </c>
      <c r="D248" s="30">
        <f t="shared" si="12"/>
        <v>0.34441810036349541</v>
      </c>
      <c r="E248" s="30">
        <f t="shared" si="13"/>
        <v>6.1173872424106733E-2</v>
      </c>
    </row>
    <row r="249" spans="2:5" ht="13.9" customHeight="1" x14ac:dyDescent="0.25">
      <c r="B249" s="29">
        <f t="shared" si="15"/>
        <v>2.6580115273775093</v>
      </c>
      <c r="C249" s="30">
        <f t="shared" si="14"/>
        <v>3.4988561577743486E-2</v>
      </c>
      <c r="D249" s="30">
        <f t="shared" si="12"/>
        <v>0.34312232682445704</v>
      </c>
      <c r="E249" s="30">
        <f t="shared" si="13"/>
        <v>6.1404890574109618E-2</v>
      </c>
    </row>
    <row r="250" spans="2:5" ht="13.9" customHeight="1" x14ac:dyDescent="0.25">
      <c r="B250" s="29">
        <f t="shared" si="15"/>
        <v>2.6680115273775091</v>
      </c>
      <c r="C250" s="30">
        <f t="shared" si="14"/>
        <v>3.4857420609203014E-2</v>
      </c>
      <c r="D250" s="30">
        <f t="shared" si="12"/>
        <v>0.34183626668827116</v>
      </c>
      <c r="E250" s="30">
        <f t="shared" si="13"/>
        <v>6.1635908724112488E-2</v>
      </c>
    </row>
    <row r="251" spans="2:5" ht="13.9" customHeight="1" x14ac:dyDescent="0.25">
      <c r="B251" s="29">
        <f t="shared" si="15"/>
        <v>2.6780115273775089</v>
      </c>
      <c r="C251" s="30">
        <f t="shared" si="14"/>
        <v>3.4727259031282785E-2</v>
      </c>
      <c r="D251" s="30">
        <f t="shared" si="12"/>
        <v>0.34055981114208089</v>
      </c>
      <c r="E251" s="30">
        <f t="shared" si="13"/>
        <v>6.186692687411538E-2</v>
      </c>
    </row>
    <row r="252" spans="2:5" ht="13.9" customHeight="1" x14ac:dyDescent="0.25">
      <c r="B252" s="29">
        <f t="shared" si="15"/>
        <v>2.6880115273775087</v>
      </c>
      <c r="C252" s="30">
        <f t="shared" si="14"/>
        <v>3.4598065913330783E-2</v>
      </c>
      <c r="D252" s="30">
        <f t="shared" si="12"/>
        <v>0.33929285299226097</v>
      </c>
      <c r="E252" s="30">
        <f t="shared" si="13"/>
        <v>6.2097945024118258E-2</v>
      </c>
    </row>
    <row r="253" spans="2:5" ht="13.9" customHeight="1" x14ac:dyDescent="0.25">
      <c r="B253" s="29">
        <f t="shared" si="15"/>
        <v>2.6980115273775085</v>
      </c>
      <c r="C253" s="30">
        <f t="shared" si="14"/>
        <v>3.4469830486749932E-2</v>
      </c>
      <c r="D253" s="30">
        <f t="shared" si="12"/>
        <v>0.33803528663441051</v>
      </c>
      <c r="E253" s="30">
        <f t="shared" si="13"/>
        <v>6.2328963174121128E-2</v>
      </c>
    </row>
    <row r="254" spans="2:5" ht="13.9" customHeight="1" x14ac:dyDescent="0.25">
      <c r="B254" s="29">
        <f t="shared" si="15"/>
        <v>2.7080115273775083</v>
      </c>
      <c r="C254" s="30">
        <f t="shared" si="14"/>
        <v>3.4342542142005959E-2</v>
      </c>
      <c r="D254" s="30">
        <f t="shared" si="12"/>
        <v>0.33678700802400979</v>
      </c>
      <c r="E254" s="30">
        <f t="shared" si="13"/>
        <v>6.255998132412402E-2</v>
      </c>
    </row>
    <row r="255" spans="2:5" ht="13.9" customHeight="1" x14ac:dyDescent="0.25">
      <c r="B255" s="29">
        <f t="shared" si="15"/>
        <v>2.7180115273775081</v>
      </c>
      <c r="C255" s="30">
        <f t="shared" si="14"/>
        <v>3.421619042570128E-2</v>
      </c>
      <c r="D255" s="30">
        <f t="shared" si="12"/>
        <v>0.33554791464772471</v>
      </c>
      <c r="E255" s="30">
        <f t="shared" si="13"/>
        <v>6.2790999474126905E-2</v>
      </c>
    </row>
    <row r="256" spans="2:5" ht="13.9" customHeight="1" x14ac:dyDescent="0.25">
      <c r="B256" s="29">
        <f t="shared" si="15"/>
        <v>2.7280115273775078</v>
      </c>
      <c r="C256" s="30">
        <f t="shared" si="14"/>
        <v>3.40907650377133E-2</v>
      </c>
      <c r="D256" s="30">
        <f t="shared" si="12"/>
        <v>0.33431790549534302</v>
      </c>
      <c r="E256" s="30">
        <f t="shared" si="13"/>
        <v>6.3022017624129775E-2</v>
      </c>
    </row>
    <row r="257" spans="2:5" ht="13.9" customHeight="1" x14ac:dyDescent="0.25">
      <c r="B257" s="29">
        <f t="shared" si="15"/>
        <v>2.7380115273775076</v>
      </c>
      <c r="C257" s="30">
        <f t="shared" si="14"/>
        <v>3.3966255828395381E-2</v>
      </c>
      <c r="D257" s="30">
        <f t="shared" si="12"/>
        <v>0.33309688103232493</v>
      </c>
      <c r="E257" s="30">
        <f t="shared" si="13"/>
        <v>6.325303577413266E-2</v>
      </c>
    </row>
    <row r="258" spans="2:5" ht="13.9" customHeight="1" x14ac:dyDescent="0.25">
      <c r="B258" s="29">
        <f t="shared" si="15"/>
        <v>2.7480115273775074</v>
      </c>
      <c r="C258" s="30">
        <f t="shared" si="14"/>
        <v>3.3842652795838923E-2</v>
      </c>
      <c r="D258" s="30">
        <f t="shared" si="12"/>
        <v>0.33188474317295352</v>
      </c>
      <c r="E258" s="30">
        <f t="shared" si="13"/>
        <v>6.3484053924135531E-2</v>
      </c>
    </row>
    <row r="259" spans="2:5" ht="13.9" customHeight="1" x14ac:dyDescent="0.25">
      <c r="B259" s="29">
        <f t="shared" si="15"/>
        <v>2.7580115273775072</v>
      </c>
      <c r="C259" s="30">
        <f t="shared" si="14"/>
        <v>3.3719946083195063E-2</v>
      </c>
      <c r="D259" s="30">
        <f t="shared" si="12"/>
        <v>0.33068139525406898</v>
      </c>
      <c r="E259" s="30">
        <f t="shared" si="13"/>
        <v>6.3715072074138415E-2</v>
      </c>
    </row>
    <row r="260" spans="2:5" ht="13.9" customHeight="1" x14ac:dyDescent="0.25">
      <c r="B260" s="29">
        <f t="shared" si="15"/>
        <v>2.768011527377507</v>
      </c>
      <c r="C260" s="30">
        <f t="shared" si="14"/>
        <v>3.3598125976054313E-2</v>
      </c>
      <c r="D260" s="30">
        <f t="shared" si="12"/>
        <v>0.32948674200937184</v>
      </c>
      <c r="E260" s="30">
        <f t="shared" si="13"/>
        <v>6.39460902241413E-2</v>
      </c>
    </row>
    <row r="261" spans="2:5" ht="13.9" customHeight="1" x14ac:dyDescent="0.25">
      <c r="B261" s="29">
        <f t="shared" si="15"/>
        <v>2.7780115273775068</v>
      </c>
      <c r="C261" s="30">
        <f t="shared" si="14"/>
        <v>3.3477182899882954E-2</v>
      </c>
      <c r="D261" s="30">
        <f t="shared" si="12"/>
        <v>0.32830068954428215</v>
      </c>
      <c r="E261" s="30">
        <f t="shared" si="13"/>
        <v>6.4177108374144184E-2</v>
      </c>
    </row>
    <row r="262" spans="2:5" ht="13.9" customHeight="1" x14ac:dyDescent="0.25">
      <c r="B262" s="29">
        <f t="shared" si="15"/>
        <v>2.7880115273775066</v>
      </c>
      <c r="C262" s="30">
        <f t="shared" si="14"/>
        <v>3.3357107417514444E-2</v>
      </c>
      <c r="D262" s="30">
        <f t="shared" si="12"/>
        <v>0.32712314531133885</v>
      </c>
      <c r="E262" s="30">
        <f t="shared" si="13"/>
        <v>6.4408126524147055E-2</v>
      </c>
    </row>
    <row r="263" spans="2:5" ht="13.9" customHeight="1" x14ac:dyDescent="0.25">
      <c r="B263" s="29">
        <f t="shared" si="15"/>
        <v>2.7980115273775064</v>
      </c>
      <c r="C263" s="30">
        <f t="shared" si="14"/>
        <v>3.3237890226694725E-2</v>
      </c>
      <c r="D263" s="30">
        <f t="shared" si="12"/>
        <v>0.32595401808612712</v>
      </c>
      <c r="E263" s="30">
        <f t="shared" si="13"/>
        <v>6.463914467414994E-2</v>
      </c>
    </row>
    <row r="264" spans="2:5" ht="13.9" customHeight="1" x14ac:dyDescent="0.25">
      <c r="B264" s="29">
        <f t="shared" si="15"/>
        <v>2.8080115273775061</v>
      </c>
      <c r="C264" s="30">
        <f t="shared" si="14"/>
        <v>3.3119522157679937E-2</v>
      </c>
      <c r="D264" s="30">
        <f t="shared" si="12"/>
        <v>0.32479321794371979</v>
      </c>
      <c r="E264" s="30">
        <f t="shared" si="13"/>
        <v>6.4870162824152824E-2</v>
      </c>
    </row>
    <row r="265" spans="2:5" ht="13.9" customHeight="1" x14ac:dyDescent="0.25">
      <c r="B265" s="29">
        <f t="shared" si="15"/>
        <v>2.8180115273775059</v>
      </c>
      <c r="C265" s="30">
        <f t="shared" si="14"/>
        <v>3.3001994170885292E-2</v>
      </c>
      <c r="D265" s="30">
        <f t="shared" ref="D265:D328" si="16">C265*9.8067</f>
        <v>0.32364065623562077</v>
      </c>
      <c r="E265" s="30">
        <f t="shared" ref="E265:E328" si="17">((B265^2)/(4*PI()^2))*D265</f>
        <v>6.5101180974155709E-2</v>
      </c>
    </row>
    <row r="266" spans="2:5" ht="13.9" customHeight="1" x14ac:dyDescent="0.25">
      <c r="B266" s="29">
        <f t="shared" si="15"/>
        <v>2.8280115273775057</v>
      </c>
      <c r="C266" s="30">
        <f t="shared" si="14"/>
        <v>3.2885297354583808E-2</v>
      </c>
      <c r="D266" s="30">
        <f t="shared" si="16"/>
        <v>0.32249624556719703</v>
      </c>
      <c r="E266" s="30">
        <f t="shared" si="17"/>
        <v>6.5332199124158594E-2</v>
      </c>
    </row>
    <row r="267" spans="2:5" ht="13.9" customHeight="1" x14ac:dyDescent="0.25">
      <c r="B267" s="29">
        <f t="shared" si="15"/>
        <v>2.8380115273775055</v>
      </c>
      <c r="C267" s="30">
        <f t="shared" si="14"/>
        <v>3.2769422922653745E-2</v>
      </c>
      <c r="D267" s="30">
        <f t="shared" si="16"/>
        <v>0.32135989977558843</v>
      </c>
      <c r="E267" s="30">
        <f t="shared" si="17"/>
        <v>6.5563217274161451E-2</v>
      </c>
    </row>
    <row r="268" spans="2:5" ht="13.9" customHeight="1" x14ac:dyDescent="0.25">
      <c r="B268" s="29">
        <f t="shared" si="15"/>
        <v>2.8480115273775053</v>
      </c>
      <c r="C268" s="30">
        <f t="shared" si="14"/>
        <v>3.2654362212373451E-2</v>
      </c>
      <c r="D268" s="30">
        <f t="shared" si="16"/>
        <v>0.32023153390808268</v>
      </c>
      <c r="E268" s="30">
        <f t="shared" si="17"/>
        <v>6.5794235424164335E-2</v>
      </c>
    </row>
    <row r="269" spans="2:5" ht="13.9" customHeight="1" x14ac:dyDescent="0.25">
      <c r="B269" s="29">
        <f t="shared" si="15"/>
        <v>2.8580115273775051</v>
      </c>
      <c r="C269" s="30">
        <f t="shared" ref="C269:C332" si="18">IF(B269&lt;6,$C$5/B269,6*$C$5/B269^2)</f>
        <v>3.2540106682262496E-2</v>
      </c>
      <c r="D269" s="30">
        <f t="shared" si="16"/>
        <v>0.31911106420094359</v>
      </c>
      <c r="E269" s="30">
        <f t="shared" si="17"/>
        <v>6.602525357416722E-2</v>
      </c>
    </row>
    <row r="270" spans="2:5" ht="13.9" customHeight="1" x14ac:dyDescent="0.25">
      <c r="B270" s="29">
        <f t="shared" ref="B270:B333" si="19">B269+0.01</f>
        <v>2.8680115273775049</v>
      </c>
      <c r="C270" s="30">
        <f t="shared" si="18"/>
        <v>3.2426647909968034E-2</v>
      </c>
      <c r="D270" s="30">
        <f t="shared" si="16"/>
        <v>0.31799840805868351</v>
      </c>
      <c r="E270" s="30">
        <f t="shared" si="17"/>
        <v>6.6256271724170104E-2</v>
      </c>
    </row>
    <row r="271" spans="2:5" ht="13.9" customHeight="1" x14ac:dyDescent="0.25">
      <c r="B271" s="29">
        <f t="shared" si="19"/>
        <v>2.8780115273775047</v>
      </c>
      <c r="C271" s="30">
        <f t="shared" si="18"/>
        <v>3.231397759019515E-2</v>
      </c>
      <c r="D271" s="30">
        <f t="shared" si="16"/>
        <v>0.31689348403376677</v>
      </c>
      <c r="E271" s="30">
        <f t="shared" si="17"/>
        <v>6.6487289874172989E-2</v>
      </c>
    </row>
    <row r="272" spans="2:5" ht="13.9" customHeight="1" x14ac:dyDescent="0.25">
      <c r="B272" s="29">
        <f t="shared" si="19"/>
        <v>2.8880115273775044</v>
      </c>
      <c r="C272" s="30">
        <f t="shared" si="18"/>
        <v>3.2202087532680258E-2</v>
      </c>
      <c r="D272" s="30">
        <f t="shared" si="16"/>
        <v>0.31579621180673545</v>
      </c>
      <c r="E272" s="30">
        <f t="shared" si="17"/>
        <v>6.6718308024175874E-2</v>
      </c>
    </row>
    <row r="273" spans="2:5" ht="13.9" customHeight="1" x14ac:dyDescent="0.25">
      <c r="B273" s="29">
        <f t="shared" si="19"/>
        <v>2.8980115273775042</v>
      </c>
      <c r="C273" s="30">
        <f t="shared" si="18"/>
        <v>3.2090969660206435E-2</v>
      </c>
      <c r="D273" s="30">
        <f t="shared" si="16"/>
        <v>0.31470651216674644</v>
      </c>
      <c r="E273" s="30">
        <f t="shared" si="17"/>
        <v>6.6949326174178758E-2</v>
      </c>
    </row>
    <row r="274" spans="2:5" ht="13.9" customHeight="1" x14ac:dyDescent="0.25">
      <c r="B274" s="29">
        <f t="shared" si="19"/>
        <v>2.908011527377504</v>
      </c>
      <c r="C274" s="30">
        <f t="shared" si="18"/>
        <v>3.1980616006659725E-2</v>
      </c>
      <c r="D274" s="30">
        <f t="shared" si="16"/>
        <v>0.31362430699250993</v>
      </c>
      <c r="E274" s="30">
        <f t="shared" si="17"/>
        <v>6.7180344324181643E-2</v>
      </c>
    </row>
    <row r="275" spans="2:5" ht="13.9" customHeight="1" x14ac:dyDescent="0.25">
      <c r="B275" s="29">
        <f t="shared" si="19"/>
        <v>2.9180115273775038</v>
      </c>
      <c r="C275" s="30">
        <f t="shared" si="18"/>
        <v>3.1871018715125377E-2</v>
      </c>
      <c r="D275" s="30">
        <f t="shared" si="16"/>
        <v>0.31254951923362001</v>
      </c>
      <c r="E275" s="30">
        <f t="shared" si="17"/>
        <v>6.7411362474184514E-2</v>
      </c>
    </row>
    <row r="276" spans="2:5" ht="13.9" customHeight="1" x14ac:dyDescent="0.25">
      <c r="B276" s="29">
        <f t="shared" si="19"/>
        <v>2.9280115273775036</v>
      </c>
      <c r="C276" s="30">
        <f t="shared" si="18"/>
        <v>3.1762170036023107E-2</v>
      </c>
      <c r="D276" s="30">
        <f t="shared" si="16"/>
        <v>0.31148207289226776</v>
      </c>
      <c r="E276" s="30">
        <f t="shared" si="17"/>
        <v>6.7642380624187384E-2</v>
      </c>
    </row>
    <row r="277" spans="2:5" ht="13.9" customHeight="1" x14ac:dyDescent="0.25">
      <c r="B277" s="29">
        <f t="shared" si="19"/>
        <v>2.9380115273775034</v>
      </c>
      <c r="C277" s="30">
        <f t="shared" si="18"/>
        <v>3.1654062325280487E-2</v>
      </c>
      <c r="D277" s="30">
        <f t="shared" si="16"/>
        <v>0.31042189300532813</v>
      </c>
      <c r="E277" s="30">
        <f t="shared" si="17"/>
        <v>6.7873398774190269E-2</v>
      </c>
    </row>
    <row r="278" spans="2:5" ht="13.9" customHeight="1" x14ac:dyDescent="0.25">
      <c r="B278" s="29">
        <f t="shared" si="19"/>
        <v>2.9480115273775032</v>
      </c>
      <c r="C278" s="30">
        <f t="shared" si="18"/>
        <v>3.1546688042543403E-2</v>
      </c>
      <c r="D278" s="30">
        <f t="shared" si="16"/>
        <v>0.30936890562681035</v>
      </c>
      <c r="E278" s="30">
        <f t="shared" si="17"/>
        <v>6.810441692419314E-2</v>
      </c>
    </row>
    <row r="279" spans="2:5" ht="13.9" customHeight="1" x14ac:dyDescent="0.25">
      <c r="B279" s="29">
        <f t="shared" si="19"/>
        <v>2.9580115273775029</v>
      </c>
      <c r="C279" s="30">
        <f t="shared" si="18"/>
        <v>3.1440039749422957E-2</v>
      </c>
      <c r="D279" s="30">
        <f t="shared" si="16"/>
        <v>0.30832303781066611</v>
      </c>
      <c r="E279" s="30">
        <f t="shared" si="17"/>
        <v>6.8335435074196038E-2</v>
      </c>
    </row>
    <row r="280" spans="2:5" ht="13.9" customHeight="1" x14ac:dyDescent="0.25">
      <c r="B280" s="29">
        <f t="shared" si="19"/>
        <v>2.9680115273775027</v>
      </c>
      <c r="C280" s="30">
        <f t="shared" si="18"/>
        <v>3.1334110107777653E-2</v>
      </c>
      <c r="D280" s="30">
        <f t="shared" si="16"/>
        <v>0.30728421759394309</v>
      </c>
      <c r="E280" s="30">
        <f t="shared" si="17"/>
        <v>6.8566453224198923E-2</v>
      </c>
    </row>
    <row r="281" spans="2:5" ht="13.9" customHeight="1" x14ac:dyDescent="0.25">
      <c r="B281" s="29">
        <f t="shared" si="19"/>
        <v>2.9780115273775025</v>
      </c>
      <c r="C281" s="30">
        <f t="shared" si="18"/>
        <v>3.1228891878030334E-2</v>
      </c>
      <c r="D281" s="30">
        <f t="shared" si="16"/>
        <v>0.30625237398028005</v>
      </c>
      <c r="E281" s="30">
        <f t="shared" si="17"/>
        <v>6.8797471374201793E-2</v>
      </c>
    </row>
    <row r="282" spans="2:5" ht="13.9" customHeight="1" x14ac:dyDescent="0.25">
      <c r="B282" s="29">
        <f t="shared" si="19"/>
        <v>2.9880115273775023</v>
      </c>
      <c r="C282" s="30">
        <f t="shared" si="18"/>
        <v>3.1124377917518816E-2</v>
      </c>
      <c r="D282" s="30">
        <f t="shared" si="16"/>
        <v>0.30522743692373178</v>
      </c>
      <c r="E282" s="30">
        <f t="shared" si="17"/>
        <v>6.9028489524204678E-2</v>
      </c>
    </row>
    <row r="283" spans="2:5" ht="13.9" customHeight="1" x14ac:dyDescent="0.25">
      <c r="B283" s="29">
        <f t="shared" si="19"/>
        <v>2.9980115273775021</v>
      </c>
      <c r="C283" s="30">
        <f t="shared" si="18"/>
        <v>3.1020561178879573E-2</v>
      </c>
      <c r="D283" s="30">
        <f t="shared" si="16"/>
        <v>0.30420933731291827</v>
      </c>
      <c r="E283" s="30">
        <f t="shared" si="17"/>
        <v>6.9259507674207549E-2</v>
      </c>
    </row>
    <row r="284" spans="2:5" ht="13.9" customHeight="1" x14ac:dyDescent="0.25">
      <c r="B284" s="29">
        <f t="shared" si="19"/>
        <v>3.0080115273775019</v>
      </c>
      <c r="C284" s="30">
        <f t="shared" si="18"/>
        <v>3.091743470846367E-2</v>
      </c>
      <c r="D284" s="30">
        <f t="shared" si="16"/>
        <v>0.30319800695549065</v>
      </c>
      <c r="E284" s="30">
        <f t="shared" si="17"/>
        <v>6.9490525824210433E-2</v>
      </c>
    </row>
    <row r="285" spans="2:5" ht="13.9" customHeight="1" x14ac:dyDescent="0.25">
      <c r="B285" s="29">
        <f t="shared" si="19"/>
        <v>3.0180115273775017</v>
      </c>
      <c r="C285" s="30">
        <f t="shared" si="18"/>
        <v>3.081499164478416E-2</v>
      </c>
      <c r="D285" s="30">
        <f t="shared" si="16"/>
        <v>0.30219337856290479</v>
      </c>
      <c r="E285" s="30">
        <f t="shared" si="17"/>
        <v>6.9721543974213318E-2</v>
      </c>
    </row>
    <row r="286" spans="2:5" ht="13.9" customHeight="1" x14ac:dyDescent="0.25">
      <c r="B286" s="29">
        <f t="shared" si="19"/>
        <v>3.0280115273775015</v>
      </c>
      <c r="C286" s="30">
        <f t="shared" si="18"/>
        <v>3.0713225216994267E-2</v>
      </c>
      <c r="D286" s="30">
        <f t="shared" si="16"/>
        <v>0.30119538573549764</v>
      </c>
      <c r="E286" s="30">
        <f t="shared" si="17"/>
        <v>6.9952562124216189E-2</v>
      </c>
    </row>
    <row r="287" spans="2:5" ht="13.9" customHeight="1" x14ac:dyDescent="0.25">
      <c r="B287" s="29">
        <f t="shared" si="19"/>
        <v>3.0380115273775012</v>
      </c>
      <c r="C287" s="30">
        <f t="shared" si="18"/>
        <v>3.0612128743395608E-2</v>
      </c>
      <c r="D287" s="30">
        <f t="shared" si="16"/>
        <v>0.30020396294785767</v>
      </c>
      <c r="E287" s="30">
        <f t="shared" si="17"/>
        <v>7.0183580274219073E-2</v>
      </c>
    </row>
    <row r="288" spans="2:5" ht="13.9" customHeight="1" x14ac:dyDescent="0.25">
      <c r="B288" s="29">
        <f t="shared" si="19"/>
        <v>3.048011527377501</v>
      </c>
      <c r="C288" s="30">
        <f t="shared" si="18"/>
        <v>3.0511695629975813E-2</v>
      </c>
      <c r="D288" s="30">
        <f t="shared" si="16"/>
        <v>0.29921904553448381</v>
      </c>
      <c r="E288" s="30">
        <f t="shared" si="17"/>
        <v>7.0414598424221958E-2</v>
      </c>
    </row>
    <row r="289" spans="2:5" ht="13.9" customHeight="1" x14ac:dyDescent="0.25">
      <c r="B289" s="29">
        <f t="shared" si="19"/>
        <v>3.0580115273775008</v>
      </c>
      <c r="C289" s="30">
        <f t="shared" si="18"/>
        <v>3.0411919368974791E-2</v>
      </c>
      <c r="D289" s="30">
        <f t="shared" si="16"/>
        <v>0.29824056967572504</v>
      </c>
      <c r="E289" s="30">
        <f t="shared" si="17"/>
        <v>7.0645616574224829E-2</v>
      </c>
    </row>
    <row r="290" spans="2:5" ht="13.9" customHeight="1" x14ac:dyDescent="0.25">
      <c r="B290" s="29">
        <f t="shared" si="19"/>
        <v>3.0680115273775006</v>
      </c>
      <c r="C290" s="30">
        <f t="shared" si="18"/>
        <v>3.0312793537479073E-2</v>
      </c>
      <c r="D290" s="30">
        <f t="shared" si="16"/>
        <v>0.29726847238399601</v>
      </c>
      <c r="E290" s="30">
        <f t="shared" si="17"/>
        <v>7.0876634724227727E-2</v>
      </c>
    </row>
    <row r="291" spans="2:5" ht="13.9" customHeight="1" x14ac:dyDescent="0.25">
      <c r="B291" s="29">
        <f t="shared" si="19"/>
        <v>3.0780115273775004</v>
      </c>
      <c r="C291" s="30">
        <f t="shared" si="18"/>
        <v>3.0214311796043537E-2</v>
      </c>
      <c r="D291" s="30">
        <f t="shared" si="16"/>
        <v>0.29630269149026012</v>
      </c>
      <c r="E291" s="30">
        <f t="shared" si="17"/>
        <v>7.1107652874230598E-2</v>
      </c>
    </row>
    <row r="292" spans="2:5" ht="13.9" customHeight="1" x14ac:dyDescent="0.25">
      <c r="B292" s="29">
        <f t="shared" si="19"/>
        <v>3.0880115273775002</v>
      </c>
      <c r="C292" s="30">
        <f t="shared" si="18"/>
        <v>3.0116467887339925E-2</v>
      </c>
      <c r="D292" s="30">
        <f t="shared" si="16"/>
        <v>0.29534316563077639</v>
      </c>
      <c r="E292" s="30">
        <f t="shared" si="17"/>
        <v>7.1338671024233469E-2</v>
      </c>
    </row>
    <row r="293" spans="2:5" ht="13.9" customHeight="1" x14ac:dyDescent="0.25">
      <c r="B293" s="29">
        <f t="shared" si="19"/>
        <v>3.0980115273775</v>
      </c>
      <c r="C293" s="30">
        <f t="shared" si="18"/>
        <v>3.0019255634831512E-2</v>
      </c>
      <c r="D293" s="30">
        <f t="shared" si="16"/>
        <v>0.29438983423410214</v>
      </c>
      <c r="E293" s="30">
        <f t="shared" si="17"/>
        <v>7.1569689174236353E-2</v>
      </c>
    </row>
    <row r="294" spans="2:5" ht="13.9" customHeight="1" x14ac:dyDescent="0.25">
      <c r="B294" s="29">
        <f t="shared" si="19"/>
        <v>3.1080115273774997</v>
      </c>
      <c r="C294" s="30">
        <f t="shared" si="18"/>
        <v>2.9922668941473395E-2</v>
      </c>
      <c r="D294" s="30">
        <f t="shared" si="16"/>
        <v>0.29344263750834715</v>
      </c>
      <c r="E294" s="30">
        <f t="shared" si="17"/>
        <v>7.1800707324239238E-2</v>
      </c>
    </row>
    <row r="295" spans="2:5" ht="13.9" customHeight="1" x14ac:dyDescent="0.25">
      <c r="B295" s="29">
        <f t="shared" si="19"/>
        <v>3.1180115273774995</v>
      </c>
      <c r="C295" s="30">
        <f t="shared" si="18"/>
        <v>2.9826701788437753E-2</v>
      </c>
      <c r="D295" s="30">
        <f t="shared" si="16"/>
        <v>0.2925015164286725</v>
      </c>
      <c r="E295" s="30">
        <f t="shared" si="17"/>
        <v>7.2031725474242123E-2</v>
      </c>
    </row>
    <row r="296" spans="2:5" ht="13.9" customHeight="1" x14ac:dyDescent="0.25">
      <c r="B296" s="29">
        <f t="shared" si="19"/>
        <v>3.1280115273774993</v>
      </c>
      <c r="C296" s="30">
        <f t="shared" si="18"/>
        <v>2.97313482338636E-2</v>
      </c>
      <c r="D296" s="30">
        <f t="shared" si="16"/>
        <v>0.29156641272503014</v>
      </c>
      <c r="E296" s="30">
        <f t="shared" si="17"/>
        <v>7.2262743624245007E-2</v>
      </c>
    </row>
    <row r="297" spans="2:5" ht="13.9" customHeight="1" x14ac:dyDescent="0.25">
      <c r="B297" s="29">
        <f t="shared" si="19"/>
        <v>3.1380115273774991</v>
      </c>
      <c r="C297" s="30">
        <f t="shared" si="18"/>
        <v>2.9636602411630405E-2</v>
      </c>
      <c r="D297" s="30">
        <f t="shared" si="16"/>
        <v>0.29063726887013586</v>
      </c>
      <c r="E297" s="30">
        <f t="shared" si="17"/>
        <v>7.2493761774247878E-2</v>
      </c>
    </row>
    <row r="298" spans="2:5" ht="13.9" customHeight="1" x14ac:dyDescent="0.25">
      <c r="B298" s="29">
        <f t="shared" si="19"/>
        <v>3.1480115273774989</v>
      </c>
      <c r="C298" s="30">
        <f t="shared" si="18"/>
        <v>2.9542458530155108E-2</v>
      </c>
      <c r="D298" s="30">
        <f t="shared" si="16"/>
        <v>0.2897140280676721</v>
      </c>
      <c r="E298" s="30">
        <f t="shared" si="17"/>
        <v>7.2724779924250763E-2</v>
      </c>
    </row>
    <row r="299" spans="2:5" ht="13.9" customHeight="1" x14ac:dyDescent="0.25">
      <c r="B299" s="29">
        <f t="shared" si="19"/>
        <v>3.1580115273774987</v>
      </c>
      <c r="C299" s="30">
        <f t="shared" si="18"/>
        <v>2.944891087121199E-2</v>
      </c>
      <c r="D299" s="30">
        <f t="shared" si="16"/>
        <v>0.28879663424071461</v>
      </c>
      <c r="E299" s="30">
        <f t="shared" si="17"/>
        <v>7.2955798074253647E-2</v>
      </c>
    </row>
    <row r="300" spans="2:5" ht="13.9" customHeight="1" x14ac:dyDescent="0.25">
      <c r="B300" s="29">
        <f t="shared" si="19"/>
        <v>3.1680115273774985</v>
      </c>
      <c r="C300" s="30">
        <f t="shared" si="18"/>
        <v>2.935595378877489E-2</v>
      </c>
      <c r="D300" s="30">
        <f t="shared" si="16"/>
        <v>0.28788503202037868</v>
      </c>
      <c r="E300" s="30">
        <f t="shared" si="17"/>
        <v>7.3186816224256518E-2</v>
      </c>
    </row>
    <row r="301" spans="2:5" ht="13.9" customHeight="1" x14ac:dyDescent="0.25">
      <c r="B301" s="29">
        <f t="shared" si="19"/>
        <v>3.1780115273774983</v>
      </c>
      <c r="C301" s="30">
        <f t="shared" si="18"/>
        <v>2.9263581707881278E-2</v>
      </c>
      <c r="D301" s="30">
        <f t="shared" si="16"/>
        <v>0.28697916673467933</v>
      </c>
      <c r="E301" s="30">
        <f t="shared" si="17"/>
        <v>7.3417834374259403E-2</v>
      </c>
    </row>
    <row r="302" spans="2:5" ht="13.9" customHeight="1" x14ac:dyDescent="0.25">
      <c r="B302" s="29">
        <f t="shared" si="19"/>
        <v>3.188011527377498</v>
      </c>
      <c r="C302" s="30">
        <f t="shared" si="18"/>
        <v>2.9171789123517717E-2</v>
      </c>
      <c r="D302" s="30">
        <f t="shared" si="16"/>
        <v>0.28607898439760115</v>
      </c>
      <c r="E302" s="30">
        <f t="shared" si="17"/>
        <v>7.3648852524262287E-2</v>
      </c>
    </row>
    <row r="303" spans="2:5" ht="13.9" customHeight="1" x14ac:dyDescent="0.25">
      <c r="B303" s="29">
        <f t="shared" si="19"/>
        <v>3.1980115273774978</v>
      </c>
      <c r="C303" s="30">
        <f t="shared" si="18"/>
        <v>2.9080570599526217E-2</v>
      </c>
      <c r="D303" s="30">
        <f t="shared" si="16"/>
        <v>0.28518443169837371</v>
      </c>
      <c r="E303" s="30">
        <f t="shared" si="17"/>
        <v>7.3879870674265158E-2</v>
      </c>
    </row>
    <row r="304" spans="2:5" ht="13.9" customHeight="1" x14ac:dyDescent="0.25">
      <c r="B304" s="29">
        <f t="shared" si="19"/>
        <v>3.2080115273774976</v>
      </c>
      <c r="C304" s="30">
        <f t="shared" si="18"/>
        <v>2.8989920767531076E-2</v>
      </c>
      <c r="D304" s="30">
        <f t="shared" si="16"/>
        <v>0.28429545599094697</v>
      </c>
      <c r="E304" s="30">
        <f t="shared" si="17"/>
        <v>7.4110888824268029E-2</v>
      </c>
    </row>
    <row r="305" spans="2:5" ht="13.9" customHeight="1" x14ac:dyDescent="0.25">
      <c r="B305" s="29">
        <f t="shared" si="19"/>
        <v>3.2180115273774974</v>
      </c>
      <c r="C305" s="30">
        <f t="shared" si="18"/>
        <v>2.8899834325885679E-2</v>
      </c>
      <c r="D305" s="30">
        <f t="shared" si="16"/>
        <v>0.28341200528366306</v>
      </c>
      <c r="E305" s="30">
        <f t="shared" si="17"/>
        <v>7.4341906974270927E-2</v>
      </c>
    </row>
    <row r="306" spans="2:5" ht="13.9" customHeight="1" x14ac:dyDescent="0.25">
      <c r="B306" s="29">
        <f t="shared" si="19"/>
        <v>3.2280115273774972</v>
      </c>
      <c r="C306" s="30">
        <f t="shared" si="18"/>
        <v>2.8810306038638937E-2</v>
      </c>
      <c r="D306" s="30">
        <f t="shared" si="16"/>
        <v>0.28253402822912044</v>
      </c>
      <c r="E306" s="30">
        <f t="shared" si="17"/>
        <v>7.4572925124273812E-2</v>
      </c>
    </row>
    <row r="307" spans="2:5" ht="13.9" customHeight="1" x14ac:dyDescent="0.25">
      <c r="B307" s="29">
        <f t="shared" si="19"/>
        <v>3.238011527377497</v>
      </c>
      <c r="C307" s="30">
        <f t="shared" si="18"/>
        <v>2.8721330734520819E-2</v>
      </c>
      <c r="D307" s="30">
        <f t="shared" si="16"/>
        <v>0.28166147411422532</v>
      </c>
      <c r="E307" s="30">
        <f t="shared" si="17"/>
        <v>7.480394327427671E-2</v>
      </c>
    </row>
    <row r="308" spans="2:5" ht="13.9" customHeight="1" x14ac:dyDescent="0.25">
      <c r="B308" s="29">
        <f t="shared" si="19"/>
        <v>3.2480115273774968</v>
      </c>
      <c r="C308" s="30">
        <f t="shared" si="18"/>
        <v>2.8632903305946665E-2</v>
      </c>
      <c r="D308" s="30">
        <f t="shared" si="16"/>
        <v>0.28079429285042712</v>
      </c>
      <c r="E308" s="30">
        <f t="shared" si="17"/>
        <v>7.5034961424279567E-2</v>
      </c>
    </row>
    <row r="309" spans="2:5" ht="13.9" customHeight="1" x14ac:dyDescent="0.25">
      <c r="B309" s="29">
        <f t="shared" si="19"/>
        <v>3.2580115273774966</v>
      </c>
      <c r="C309" s="30">
        <f t="shared" si="18"/>
        <v>2.8545018708039813E-2</v>
      </c>
      <c r="D309" s="30">
        <f t="shared" si="16"/>
        <v>0.279932434964134</v>
      </c>
      <c r="E309" s="30">
        <f t="shared" si="17"/>
        <v>7.5265979574282438E-2</v>
      </c>
    </row>
    <row r="310" spans="2:5" ht="13.9" customHeight="1" x14ac:dyDescent="0.25">
      <c r="B310" s="29">
        <f t="shared" si="19"/>
        <v>3.2680115273774963</v>
      </c>
      <c r="C310" s="30">
        <f t="shared" si="18"/>
        <v>2.8457671957672178E-2</v>
      </c>
      <c r="D310" s="30">
        <f t="shared" si="16"/>
        <v>0.27907585158730375</v>
      </c>
      <c r="E310" s="30">
        <f t="shared" si="17"/>
        <v>7.5496997724285336E-2</v>
      </c>
    </row>
    <row r="311" spans="2:5" ht="13.9" customHeight="1" x14ac:dyDescent="0.25">
      <c r="B311" s="29">
        <f t="shared" si="19"/>
        <v>3.2780115273774961</v>
      </c>
      <c r="C311" s="30">
        <f t="shared" si="18"/>
        <v>2.8370858132522398E-2</v>
      </c>
      <c r="D311" s="30">
        <f t="shared" si="16"/>
        <v>0.2782244944482074</v>
      </c>
      <c r="E311" s="30">
        <f t="shared" si="17"/>
        <v>7.5728015874288221E-2</v>
      </c>
    </row>
    <row r="312" spans="2:5" ht="13.9" customHeight="1" x14ac:dyDescent="0.25">
      <c r="B312" s="29">
        <f t="shared" si="19"/>
        <v>3.2880115273774959</v>
      </c>
      <c r="C312" s="30">
        <f t="shared" si="18"/>
        <v>2.828457237015115E-2</v>
      </c>
      <c r="D312" s="30">
        <f t="shared" si="16"/>
        <v>0.27737831586236128</v>
      </c>
      <c r="E312" s="30">
        <f t="shared" si="17"/>
        <v>7.5959034024291092E-2</v>
      </c>
    </row>
    <row r="313" spans="2:5" ht="13.9" customHeight="1" x14ac:dyDescent="0.25">
      <c r="B313" s="29">
        <f t="shared" si="19"/>
        <v>3.2980115273774957</v>
      </c>
      <c r="C313" s="30">
        <f t="shared" si="18"/>
        <v>2.8198809867093309E-2</v>
      </c>
      <c r="D313" s="30">
        <f t="shared" si="16"/>
        <v>0.27653726872362394</v>
      </c>
      <c r="E313" s="30">
        <f t="shared" si="17"/>
        <v>7.6190052174293962E-2</v>
      </c>
    </row>
    <row r="314" spans="2:5" ht="13.9" customHeight="1" x14ac:dyDescent="0.25">
      <c r="B314" s="29">
        <f t="shared" si="19"/>
        <v>3.3080115273774955</v>
      </c>
      <c r="C314" s="30">
        <f t="shared" si="18"/>
        <v>2.8113565877966561E-2</v>
      </c>
      <c r="D314" s="30">
        <f t="shared" si="16"/>
        <v>0.27570130649545466</v>
      </c>
      <c r="E314" s="30">
        <f t="shared" si="17"/>
        <v>7.6421070324296847E-2</v>
      </c>
    </row>
    <row r="315" spans="2:5" ht="13.9" customHeight="1" x14ac:dyDescent="0.25">
      <c r="B315" s="29">
        <f t="shared" si="19"/>
        <v>3.3180115273774953</v>
      </c>
      <c r="C315" s="30">
        <f t="shared" si="18"/>
        <v>2.8028835714596131E-2</v>
      </c>
      <c r="D315" s="30">
        <f t="shared" si="16"/>
        <v>0.27487038320232987</v>
      </c>
      <c r="E315" s="30">
        <f t="shared" si="17"/>
        <v>7.6652088474299732E-2</v>
      </c>
    </row>
    <row r="316" spans="2:5" ht="13.9" customHeight="1" x14ac:dyDescent="0.25">
      <c r="B316" s="29">
        <f t="shared" si="19"/>
        <v>3.3280115273774951</v>
      </c>
      <c r="C316" s="30">
        <f t="shared" si="18"/>
        <v>2.7944614745155312E-2</v>
      </c>
      <c r="D316" s="30">
        <f t="shared" si="16"/>
        <v>0.27404445342131456</v>
      </c>
      <c r="E316" s="30">
        <f t="shared" si="17"/>
        <v>7.6883106624302602E-2</v>
      </c>
    </row>
    <row r="317" spans="2:5" ht="13.9" customHeight="1" x14ac:dyDescent="0.25">
      <c r="B317" s="29">
        <f t="shared" si="19"/>
        <v>3.3380115273774948</v>
      </c>
      <c r="C317" s="30">
        <f t="shared" si="18"/>
        <v>2.7860898393321412E-2</v>
      </c>
      <c r="D317" s="30">
        <f t="shared" si="16"/>
        <v>0.27322347227378507</v>
      </c>
      <c r="E317" s="30">
        <f t="shared" si="17"/>
        <v>7.7114124774305501E-2</v>
      </c>
    </row>
    <row r="318" spans="2:5" ht="13.9" customHeight="1" x14ac:dyDescent="0.25">
      <c r="B318" s="29">
        <f t="shared" si="19"/>
        <v>3.3480115273774946</v>
      </c>
      <c r="C318" s="30">
        <f t="shared" si="18"/>
        <v>2.7777682137446857E-2</v>
      </c>
      <c r="D318" s="30">
        <f t="shared" si="16"/>
        <v>0.27240739541730008</v>
      </c>
      <c r="E318" s="30">
        <f t="shared" si="17"/>
        <v>7.7345142924308372E-2</v>
      </c>
    </row>
    <row r="319" spans="2:5" ht="13.9" customHeight="1" x14ac:dyDescent="0.25">
      <c r="B319" s="29">
        <f t="shared" si="19"/>
        <v>3.3580115273774944</v>
      </c>
      <c r="C319" s="30">
        <f t="shared" si="18"/>
        <v>2.769496150974508E-2</v>
      </c>
      <c r="D319" s="30">
        <f t="shared" si="16"/>
        <v>0.27159617903761707</v>
      </c>
      <c r="E319" s="30">
        <f t="shared" si="17"/>
        <v>7.7576161074311256E-2</v>
      </c>
    </row>
    <row r="320" spans="2:5" ht="13.9" customHeight="1" x14ac:dyDescent="0.25">
      <c r="B320" s="29">
        <f t="shared" si="19"/>
        <v>3.3680115273774942</v>
      </c>
      <c r="C320" s="30">
        <f t="shared" si="18"/>
        <v>2.7612732095490939E-2</v>
      </c>
      <c r="D320" s="30">
        <f t="shared" si="16"/>
        <v>0.27078977984085095</v>
      </c>
      <c r="E320" s="30">
        <f t="shared" si="17"/>
        <v>7.7807179224314127E-2</v>
      </c>
    </row>
    <row r="321" spans="2:5" ht="13.9" customHeight="1" x14ac:dyDescent="0.25">
      <c r="B321" s="29">
        <f t="shared" si="19"/>
        <v>3.378011527377494</v>
      </c>
      <c r="C321" s="30">
        <f t="shared" si="18"/>
        <v>2.753098953223531E-2</v>
      </c>
      <c r="D321" s="30">
        <f t="shared" si="16"/>
        <v>0.269988155045772</v>
      </c>
      <c r="E321" s="30">
        <f t="shared" si="17"/>
        <v>7.8038197374317012E-2</v>
      </c>
    </row>
    <row r="322" spans="2:5" ht="13.9" customHeight="1" x14ac:dyDescent="0.25">
      <c r="B322" s="29">
        <f t="shared" si="19"/>
        <v>3.3880115273774938</v>
      </c>
      <c r="C322" s="30">
        <f t="shared" si="18"/>
        <v>2.7449729509033603E-2</v>
      </c>
      <c r="D322" s="30">
        <f t="shared" si="16"/>
        <v>0.2691912623762398</v>
      </c>
      <c r="E322" s="30">
        <f t="shared" si="17"/>
        <v>7.8269215524319896E-2</v>
      </c>
    </row>
    <row r="323" spans="2:5" ht="13.9" customHeight="1" x14ac:dyDescent="0.25">
      <c r="B323" s="29">
        <f t="shared" si="19"/>
        <v>3.3980115273774936</v>
      </c>
      <c r="C323" s="30">
        <f t="shared" si="18"/>
        <v>2.7368947765687907E-2</v>
      </c>
      <c r="D323" s="30">
        <f t="shared" si="16"/>
        <v>0.26839906005377157</v>
      </c>
      <c r="E323" s="30">
        <f t="shared" si="17"/>
        <v>7.8500233674322767E-2</v>
      </c>
    </row>
    <row r="324" spans="2:5" ht="13.9" customHeight="1" x14ac:dyDescent="0.25">
      <c r="B324" s="29">
        <f t="shared" si="19"/>
        <v>3.4080115273774934</v>
      </c>
      <c r="C324" s="30">
        <f t="shared" si="18"/>
        <v>2.7288640092002457E-2</v>
      </c>
      <c r="D324" s="30">
        <f t="shared" si="16"/>
        <v>0.26761150679024048</v>
      </c>
      <c r="E324" s="30">
        <f t="shared" si="17"/>
        <v>7.8731251824325638E-2</v>
      </c>
    </row>
    <row r="325" spans="2:5" ht="13.9" customHeight="1" x14ac:dyDescent="0.25">
      <c r="B325" s="29">
        <f t="shared" si="19"/>
        <v>3.4180115273774931</v>
      </c>
      <c r="C325" s="30">
        <f t="shared" si="18"/>
        <v>2.7208802327052205E-2</v>
      </c>
      <c r="D325" s="30">
        <f t="shared" si="16"/>
        <v>0.26682856178070286</v>
      </c>
      <c r="E325" s="30">
        <f t="shared" si="17"/>
        <v>7.8962269974328536E-2</v>
      </c>
    </row>
    <row r="326" spans="2:5" ht="13.9" customHeight="1" x14ac:dyDescent="0.25">
      <c r="B326" s="29">
        <f t="shared" si="19"/>
        <v>3.4280115273774929</v>
      </c>
      <c r="C326" s="30">
        <f t="shared" si="18"/>
        <v>2.7129430358464147E-2</v>
      </c>
      <c r="D326" s="30">
        <f t="shared" si="16"/>
        <v>0.26605018469635033</v>
      </c>
      <c r="E326" s="30">
        <f t="shared" si="17"/>
        <v>7.9193288124331407E-2</v>
      </c>
    </row>
    <row r="327" spans="2:5" ht="13.9" customHeight="1" x14ac:dyDescent="0.25">
      <c r="B327" s="29">
        <f t="shared" si="19"/>
        <v>3.4380115273774927</v>
      </c>
      <c r="C327" s="30">
        <f t="shared" si="18"/>
        <v>2.7050520121711222E-2</v>
      </c>
      <c r="D327" s="30">
        <f t="shared" si="16"/>
        <v>0.26527633567758541</v>
      </c>
      <c r="E327" s="30">
        <f t="shared" si="17"/>
        <v>7.9424306274334278E-2</v>
      </c>
    </row>
    <row r="328" spans="2:5" ht="13.9" customHeight="1" x14ac:dyDescent="0.25">
      <c r="B328" s="29">
        <f t="shared" si="19"/>
        <v>3.4480115273774925</v>
      </c>
      <c r="C328" s="30">
        <f t="shared" si="18"/>
        <v>2.697206759941851E-2</v>
      </c>
      <c r="D328" s="30">
        <f t="shared" si="16"/>
        <v>0.26450697532721751</v>
      </c>
      <c r="E328" s="30">
        <f t="shared" si="17"/>
        <v>7.965532442433719E-2</v>
      </c>
    </row>
    <row r="329" spans="2:5" ht="13.9" customHeight="1" x14ac:dyDescent="0.25">
      <c r="B329" s="29">
        <f t="shared" si="19"/>
        <v>3.4580115273774923</v>
      </c>
      <c r="C329" s="30">
        <f t="shared" si="18"/>
        <v>2.6894068820681433E-2</v>
      </c>
      <c r="D329" s="30">
        <f t="shared" ref="D329:D392" si="20">C329*9.8067</f>
        <v>0.26374206470377659</v>
      </c>
      <c r="E329" s="30">
        <f t="shared" ref="E329:E392" si="21">((B329^2)/(4*PI()^2))*D329</f>
        <v>7.9886342574340047E-2</v>
      </c>
    </row>
    <row r="330" spans="2:5" ht="13.9" customHeight="1" x14ac:dyDescent="0.25">
      <c r="B330" s="29">
        <f t="shared" si="19"/>
        <v>3.4680115273774921</v>
      </c>
      <c r="C330" s="30">
        <f t="shared" si="18"/>
        <v>2.6816519860395772E-2</v>
      </c>
      <c r="D330" s="30">
        <f t="shared" si="20"/>
        <v>0.26298156531494321</v>
      </c>
      <c r="E330" s="30">
        <f t="shared" si="21"/>
        <v>8.0117360724342931E-2</v>
      </c>
    </row>
    <row r="331" spans="2:5" ht="13.9" customHeight="1" x14ac:dyDescent="0.25">
      <c r="B331" s="29">
        <f t="shared" si="19"/>
        <v>3.4780115273774919</v>
      </c>
      <c r="C331" s="30">
        <f t="shared" si="18"/>
        <v>2.6739416838599248E-2</v>
      </c>
      <c r="D331" s="30">
        <f t="shared" si="20"/>
        <v>0.2622254391110912</v>
      </c>
      <c r="E331" s="30">
        <f t="shared" si="21"/>
        <v>8.0348378874345802E-2</v>
      </c>
    </row>
    <row r="332" spans="2:5" ht="13.9" customHeight="1" x14ac:dyDescent="0.25">
      <c r="B332" s="29">
        <f t="shared" si="19"/>
        <v>3.4880115273774916</v>
      </c>
      <c r="C332" s="30">
        <f t="shared" si="18"/>
        <v>2.6662755919824411E-2</v>
      </c>
      <c r="D332" s="30">
        <f t="shared" si="20"/>
        <v>0.26147364847894206</v>
      </c>
      <c r="E332" s="30">
        <f t="shared" si="21"/>
        <v>8.0579397024348715E-2</v>
      </c>
    </row>
    <row r="333" spans="2:5" ht="13.9" customHeight="1" x14ac:dyDescent="0.25">
      <c r="B333" s="29">
        <f t="shared" si="19"/>
        <v>3.4980115273774914</v>
      </c>
      <c r="C333" s="30">
        <f t="shared" ref="C333:C396" si="22">IF(B333&lt;6,$C$5/B333,6*$C$5/B333^2)</f>
        <v>2.6586533312462642E-2</v>
      </c>
      <c r="D333" s="30">
        <f t="shared" si="20"/>
        <v>0.26072615623532736</v>
      </c>
      <c r="E333" s="30">
        <f t="shared" si="21"/>
        <v>8.0810415174351585E-2</v>
      </c>
    </row>
    <row r="334" spans="2:5" ht="13.9" customHeight="1" x14ac:dyDescent="0.25">
      <c r="B334" s="29">
        <f t="shared" ref="B334:B397" si="23">B333+0.01</f>
        <v>3.5080115273774912</v>
      </c>
      <c r="C334" s="30">
        <f t="shared" si="22"/>
        <v>2.6510745268139031E-2</v>
      </c>
      <c r="D334" s="30">
        <f t="shared" si="20"/>
        <v>0.25998292562105901</v>
      </c>
      <c r="E334" s="30">
        <f t="shared" si="21"/>
        <v>8.104143332435447E-2</v>
      </c>
    </row>
    <row r="335" spans="2:5" ht="13.9" customHeight="1" x14ac:dyDescent="0.25">
      <c r="B335" s="29">
        <f t="shared" si="23"/>
        <v>3.518011527377491</v>
      </c>
      <c r="C335" s="30">
        <f t="shared" si="22"/>
        <v>2.6435388081097917E-2</v>
      </c>
      <c r="D335" s="30">
        <f t="shared" si="20"/>
        <v>0.25924392029490295</v>
      </c>
      <c r="E335" s="30">
        <f t="shared" si="21"/>
        <v>8.1272451474357355E-2</v>
      </c>
    </row>
    <row r="336" spans="2:5" ht="13.9" customHeight="1" x14ac:dyDescent="0.25">
      <c r="B336" s="29">
        <f t="shared" si="23"/>
        <v>3.5280115273774908</v>
      </c>
      <c r="C336" s="30">
        <f t="shared" si="22"/>
        <v>2.6360458087598865E-2</v>
      </c>
      <c r="D336" s="30">
        <f t="shared" si="20"/>
        <v>0.25850910432765578</v>
      </c>
      <c r="E336" s="30">
        <f t="shared" si="21"/>
        <v>8.1503469624360225E-2</v>
      </c>
    </row>
    <row r="337" spans="2:5" ht="13.9" customHeight="1" x14ac:dyDescent="0.25">
      <c r="B337" s="29">
        <f t="shared" si="23"/>
        <v>3.5380115273774906</v>
      </c>
      <c r="C337" s="30">
        <f t="shared" si="22"/>
        <v>2.628595166532291E-2</v>
      </c>
      <c r="D337" s="30">
        <f t="shared" si="20"/>
        <v>0.25777844219632218</v>
      </c>
      <c r="E337" s="30">
        <f t="shared" si="21"/>
        <v>8.1734487774363096E-2</v>
      </c>
    </row>
    <row r="338" spans="2:5" ht="13.9" customHeight="1" x14ac:dyDescent="0.25">
      <c r="B338" s="29">
        <f t="shared" si="23"/>
        <v>3.5480115273774904</v>
      </c>
      <c r="C338" s="30">
        <f t="shared" si="22"/>
        <v>2.621186523278882E-2</v>
      </c>
      <c r="D338" s="30">
        <f t="shared" si="20"/>
        <v>0.25705189877839013</v>
      </c>
      <c r="E338" s="30">
        <f t="shared" si="21"/>
        <v>8.1965505924365981E-2</v>
      </c>
    </row>
    <row r="339" spans="2:5" ht="13.9" customHeight="1" x14ac:dyDescent="0.25">
      <c r="B339" s="29">
        <f t="shared" si="23"/>
        <v>3.5580115273774902</v>
      </c>
      <c r="C339" s="30">
        <f t="shared" si="22"/>
        <v>2.6138195248779219E-2</v>
      </c>
      <c r="D339" s="30">
        <f t="shared" si="20"/>
        <v>0.25632943934620317</v>
      </c>
      <c r="E339" s="30">
        <f t="shared" si="21"/>
        <v>8.2196524074368879E-2</v>
      </c>
    </row>
    <row r="340" spans="2:5" ht="13.9" customHeight="1" x14ac:dyDescent="0.25">
      <c r="B340" s="29">
        <f t="shared" si="23"/>
        <v>3.5680115273774899</v>
      </c>
      <c r="C340" s="30">
        <f t="shared" si="22"/>
        <v>2.6064938211776339E-2</v>
      </c>
      <c r="D340" s="30">
        <f t="shared" si="20"/>
        <v>0.25561102956142701</v>
      </c>
      <c r="E340" s="30">
        <f t="shared" si="21"/>
        <v>8.2427542224371736E-2</v>
      </c>
    </row>
    <row r="341" spans="2:5" ht="13.9" customHeight="1" x14ac:dyDescent="0.25">
      <c r="B341" s="29">
        <f t="shared" si="23"/>
        <v>3.5780115273774897</v>
      </c>
      <c r="C341" s="30">
        <f t="shared" si="22"/>
        <v>2.5992090659407271E-2</v>
      </c>
      <c r="D341" s="30">
        <f t="shared" si="20"/>
        <v>0.25489663546960928</v>
      </c>
      <c r="E341" s="30">
        <f t="shared" si="21"/>
        <v>8.2658560374374621E-2</v>
      </c>
    </row>
    <row r="342" spans="2:5" ht="13.9" customHeight="1" x14ac:dyDescent="0.25">
      <c r="B342" s="29">
        <f t="shared" si="23"/>
        <v>3.5880115273774895</v>
      </c>
      <c r="C342" s="30">
        <f t="shared" si="22"/>
        <v>2.5919649167898452E-2</v>
      </c>
      <c r="D342" s="30">
        <f t="shared" si="20"/>
        <v>0.25418622349482972</v>
      </c>
      <c r="E342" s="30">
        <f t="shared" si="21"/>
        <v>8.2889578524377505E-2</v>
      </c>
    </row>
    <row r="343" spans="2:5" ht="13.9" customHeight="1" x14ac:dyDescent="0.25">
      <c r="B343" s="29">
        <f t="shared" si="23"/>
        <v>3.5980115273774893</v>
      </c>
      <c r="C343" s="30">
        <f t="shared" si="22"/>
        <v>2.5847610351539266E-2</v>
      </c>
      <c r="D343" s="30">
        <f t="shared" si="20"/>
        <v>0.25347976043444009</v>
      </c>
      <c r="E343" s="30">
        <f t="shared" si="21"/>
        <v>8.3120596674380376E-2</v>
      </c>
    </row>
    <row r="344" spans="2:5" ht="13.9" customHeight="1" x14ac:dyDescent="0.25">
      <c r="B344" s="29">
        <f>B343+0.01</f>
        <v>3.6080115273774891</v>
      </c>
      <c r="C344" s="30">
        <f t="shared" si="22"/>
        <v>2.5775970862154579E-2</v>
      </c>
      <c r="D344" s="30">
        <f t="shared" si="20"/>
        <v>0.25277721345389131</v>
      </c>
      <c r="E344" s="30">
        <f t="shared" si="21"/>
        <v>8.3351614824383274E-2</v>
      </c>
    </row>
    <row r="345" spans="2:5" ht="13.9" customHeight="1" x14ac:dyDescent="0.25">
      <c r="B345" s="29">
        <f t="shared" si="23"/>
        <v>3.6180115273774889</v>
      </c>
      <c r="C345" s="30">
        <f t="shared" si="22"/>
        <v>2.5704727388585997E-2</v>
      </c>
      <c r="D345" s="30">
        <f t="shared" si="20"/>
        <v>0.25207855008164626</v>
      </c>
      <c r="E345" s="30">
        <f t="shared" si="21"/>
        <v>8.3582632974386145E-2</v>
      </c>
    </row>
    <row r="346" spans="2:5" ht="13.9" customHeight="1" x14ac:dyDescent="0.25">
      <c r="B346" s="29">
        <f t="shared" si="23"/>
        <v>3.6280115273774887</v>
      </c>
      <c r="C346" s="30">
        <f t="shared" si="22"/>
        <v>2.563387665618172E-2</v>
      </c>
      <c r="D346" s="30">
        <f t="shared" si="20"/>
        <v>0.25138373820417725</v>
      </c>
      <c r="E346" s="30">
        <f t="shared" si="21"/>
        <v>8.3813651124389016E-2</v>
      </c>
    </row>
    <row r="347" spans="2:5" ht="13.9" customHeight="1" x14ac:dyDescent="0.25">
      <c r="B347" s="29">
        <f t="shared" si="23"/>
        <v>3.6380115273774885</v>
      </c>
      <c r="C347" s="30">
        <f t="shared" si="22"/>
        <v>2.5563415426294801E-2</v>
      </c>
      <c r="D347" s="30">
        <f t="shared" si="20"/>
        <v>0.25069274606104519</v>
      </c>
      <c r="E347" s="30">
        <f t="shared" si="21"/>
        <v>8.4044669274391887E-2</v>
      </c>
    </row>
    <row r="348" spans="2:5" ht="13.9" customHeight="1" x14ac:dyDescent="0.25">
      <c r="B348" s="29">
        <f t="shared" si="23"/>
        <v>3.6480115273774882</v>
      </c>
      <c r="C348" s="30">
        <f t="shared" si="22"/>
        <v>2.5493340495789656E-2</v>
      </c>
      <c r="D348" s="30">
        <f t="shared" si="20"/>
        <v>0.25000554224006039</v>
      </c>
      <c r="E348" s="30">
        <f t="shared" si="21"/>
        <v>8.4275687424394785E-2</v>
      </c>
    </row>
    <row r="349" spans="2:5" ht="13.9" customHeight="1" x14ac:dyDescent="0.25">
      <c r="B349" s="29">
        <f t="shared" si="23"/>
        <v>3.658011527377488</v>
      </c>
      <c r="C349" s="30">
        <f t="shared" si="22"/>
        <v>2.5423648696556684E-2</v>
      </c>
      <c r="D349" s="30">
        <f t="shared" si="20"/>
        <v>0.24932209567252242</v>
      </c>
      <c r="E349" s="30">
        <f t="shared" si="21"/>
        <v>8.450670557439767E-2</v>
      </c>
    </row>
    <row r="350" spans="2:5" ht="13.9" customHeight="1" x14ac:dyDescent="0.25">
      <c r="B350" s="29">
        <f t="shared" si="23"/>
        <v>3.6680115273774878</v>
      </c>
      <c r="C350" s="30">
        <f t="shared" si="22"/>
        <v>2.5354336895034801E-2</v>
      </c>
      <c r="D350" s="30">
        <f t="shared" si="20"/>
        <v>0.24864237562853778</v>
      </c>
      <c r="E350" s="30">
        <f t="shared" si="21"/>
        <v>8.473772372440054E-2</v>
      </c>
    </row>
    <row r="351" spans="2:5" ht="13.9" customHeight="1" x14ac:dyDescent="0.25">
      <c r="B351" s="29">
        <f t="shared" si="23"/>
        <v>3.6780115273774876</v>
      </c>
      <c r="C351" s="30">
        <f t="shared" si="22"/>
        <v>2.5285401991741792E-2</v>
      </c>
      <c r="D351" s="30">
        <f t="shared" si="20"/>
        <v>0.24796635171241421</v>
      </c>
      <c r="E351" s="30">
        <f t="shared" si="21"/>
        <v>8.4968741874403425E-2</v>
      </c>
    </row>
    <row r="352" spans="2:5" ht="13.9" customHeight="1" x14ac:dyDescent="0.25">
      <c r="B352" s="29">
        <f t="shared" si="23"/>
        <v>3.6880115273774874</v>
      </c>
      <c r="C352" s="30">
        <f t="shared" si="22"/>
        <v>2.5216840920812274E-2</v>
      </c>
      <c r="D352" s="30">
        <f t="shared" si="20"/>
        <v>0.24729399385812972</v>
      </c>
      <c r="E352" s="30">
        <f t="shared" si="21"/>
        <v>8.5199760024406324E-2</v>
      </c>
    </row>
    <row r="353" spans="2:5" ht="13.9" customHeight="1" x14ac:dyDescent="0.25">
      <c r="B353" s="29">
        <f t="shared" si="23"/>
        <v>3.6980115273774872</v>
      </c>
      <c r="C353" s="30">
        <f t="shared" si="22"/>
        <v>2.5148650649543178E-2</v>
      </c>
      <c r="D353" s="30">
        <f t="shared" si="20"/>
        <v>0.24662527232487505</v>
      </c>
      <c r="E353" s="30">
        <f t="shared" si="21"/>
        <v>8.543077817440918E-2</v>
      </c>
    </row>
    <row r="354" spans="2:5" ht="13.9" customHeight="1" x14ac:dyDescent="0.25">
      <c r="B354" s="29">
        <f t="shared" si="23"/>
        <v>3.708011527377487</v>
      </c>
      <c r="C354" s="30">
        <f t="shared" si="22"/>
        <v>2.5080828177946577E-2</v>
      </c>
      <c r="D354" s="30">
        <f t="shared" si="20"/>
        <v>0.24596015769266869</v>
      </c>
      <c r="E354" s="30">
        <f t="shared" si="21"/>
        <v>8.5661796324412065E-2</v>
      </c>
    </row>
    <row r="355" spans="2:5" ht="13.9" customHeight="1" x14ac:dyDescent="0.25">
      <c r="B355" s="29">
        <f t="shared" si="23"/>
        <v>3.7180115273774867</v>
      </c>
      <c r="C355" s="30">
        <f t="shared" si="22"/>
        <v>2.5013370538309734E-2</v>
      </c>
      <c r="D355" s="30">
        <f t="shared" si="20"/>
        <v>0.24529862085804205</v>
      </c>
      <c r="E355" s="30">
        <f t="shared" si="21"/>
        <v>8.589281447441495E-2</v>
      </c>
    </row>
    <row r="356" spans="2:5" ht="13.9" customHeight="1" x14ac:dyDescent="0.25">
      <c r="B356" s="29">
        <f t="shared" si="23"/>
        <v>3.7280115273774865</v>
      </c>
      <c r="C356" s="30">
        <f t="shared" si="22"/>
        <v>2.4946274794762219E-2</v>
      </c>
      <c r="D356" s="30">
        <f t="shared" si="20"/>
        <v>0.24464063302979464</v>
      </c>
      <c r="E356" s="30">
        <f t="shared" si="21"/>
        <v>8.6123832624417834E-2</v>
      </c>
    </row>
    <row r="357" spans="2:5" ht="13.9" customHeight="1" x14ac:dyDescent="0.25">
      <c r="B357" s="29">
        <f t="shared" si="23"/>
        <v>3.7380115273774863</v>
      </c>
      <c r="C357" s="30">
        <f t="shared" si="22"/>
        <v>2.4879538042849998E-2</v>
      </c>
      <c r="D357" s="30">
        <f t="shared" si="20"/>
        <v>0.24398616572481704</v>
      </c>
      <c r="E357" s="30">
        <f t="shared" si="21"/>
        <v>8.6354850774420705E-2</v>
      </c>
    </row>
    <row r="358" spans="2:5" ht="13.9" customHeight="1" x14ac:dyDescent="0.25">
      <c r="B358" s="29">
        <f t="shared" si="23"/>
        <v>3.7480115273774861</v>
      </c>
      <c r="C358" s="30">
        <f t="shared" si="22"/>
        <v>2.4813157409116309E-2</v>
      </c>
      <c r="D358" s="30">
        <f t="shared" si="20"/>
        <v>0.24333519076398089</v>
      </c>
      <c r="E358" s="30">
        <f t="shared" si="21"/>
        <v>8.658586892442359E-2</v>
      </c>
    </row>
    <row r="359" spans="2:5" ht="13.9" customHeight="1" x14ac:dyDescent="0.25">
      <c r="B359" s="29">
        <f t="shared" si="23"/>
        <v>3.7580115273774859</v>
      </c>
      <c r="C359" s="30">
        <f t="shared" si="22"/>
        <v>2.4747130050689254E-2</v>
      </c>
      <c r="D359" s="30">
        <f t="shared" si="20"/>
        <v>0.24268768026809429</v>
      </c>
      <c r="E359" s="30">
        <f t="shared" si="21"/>
        <v>8.681688707442646E-2</v>
      </c>
    </row>
    <row r="360" spans="2:5" ht="13.9" customHeight="1" x14ac:dyDescent="0.25">
      <c r="B360" s="29">
        <f t="shared" si="23"/>
        <v>3.7680115273774857</v>
      </c>
      <c r="C360" s="30">
        <f t="shared" si="22"/>
        <v>2.4681453154875951E-2</v>
      </c>
      <c r="D360" s="30">
        <f t="shared" si="20"/>
        <v>0.24204360665392197</v>
      </c>
      <c r="E360" s="30">
        <f t="shared" si="21"/>
        <v>8.7047905224429359E-2</v>
      </c>
    </row>
    <row r="361" spans="2:5" ht="13.9" customHeight="1" x14ac:dyDescent="0.25">
      <c r="B361" s="29">
        <f t="shared" si="23"/>
        <v>3.7780115273774855</v>
      </c>
      <c r="C361" s="30">
        <f t="shared" si="22"/>
        <v>2.4616123938763137E-2</v>
      </c>
      <c r="D361" s="30">
        <f t="shared" si="20"/>
        <v>0.24140294263026843</v>
      </c>
      <c r="E361" s="30">
        <f t="shared" si="21"/>
        <v>8.727892337443223E-2</v>
      </c>
    </row>
    <row r="362" spans="2:5" ht="13.9" customHeight="1" x14ac:dyDescent="0.25">
      <c r="B362" s="29">
        <f t="shared" si="23"/>
        <v>3.7880115273774853</v>
      </c>
      <c r="C362" s="30">
        <f t="shared" si="22"/>
        <v>2.455113964882407E-2</v>
      </c>
      <c r="D362" s="30">
        <f t="shared" si="20"/>
        <v>0.24076566119412299</v>
      </c>
      <c r="E362" s="30">
        <f t="shared" si="21"/>
        <v>8.7509941524435114E-2</v>
      </c>
    </row>
    <row r="363" spans="2:5" ht="13.9" customHeight="1" x14ac:dyDescent="0.25">
      <c r="B363" s="29">
        <f t="shared" si="23"/>
        <v>3.798011527377485</v>
      </c>
      <c r="C363" s="30">
        <f t="shared" si="22"/>
        <v>2.4486497560531683E-2</v>
      </c>
      <c r="D363" s="30">
        <f t="shared" si="20"/>
        <v>0.24013173562686604</v>
      </c>
      <c r="E363" s="30">
        <f t="shared" si="21"/>
        <v>8.7740959674437985E-2</v>
      </c>
    </row>
    <row r="364" spans="2:5" ht="13.9" customHeight="1" x14ac:dyDescent="0.25">
      <c r="B364" s="29">
        <f t="shared" si="23"/>
        <v>3.8080115273774848</v>
      </c>
      <c r="C364" s="30">
        <f t="shared" si="22"/>
        <v>2.4422194977977804E-2</v>
      </c>
      <c r="D364" s="30">
        <f t="shared" si="20"/>
        <v>0.23950113949053492</v>
      </c>
      <c r="E364" s="30">
        <f t="shared" si="21"/>
        <v>8.7971977824440883E-2</v>
      </c>
    </row>
    <row r="365" spans="2:5" ht="13.9" customHeight="1" x14ac:dyDescent="0.25">
      <c r="B365" s="29">
        <f t="shared" si="23"/>
        <v>3.8180115273774846</v>
      </c>
      <c r="C365" s="30">
        <f t="shared" si="22"/>
        <v>2.4358229233498369E-2</v>
      </c>
      <c r="D365" s="30">
        <f t="shared" si="20"/>
        <v>0.23887384662414843</v>
      </c>
      <c r="E365" s="30">
        <f t="shared" si="21"/>
        <v>8.8202995974443754E-2</v>
      </c>
    </row>
    <row r="366" spans="2:5" ht="13.9" customHeight="1" x14ac:dyDescent="0.25">
      <c r="B366" s="29">
        <f t="shared" si="23"/>
        <v>3.8280115273774844</v>
      </c>
      <c r="C366" s="30">
        <f t="shared" si="22"/>
        <v>2.4294597687304499E-2</v>
      </c>
      <c r="D366" s="30">
        <f t="shared" si="20"/>
        <v>0.23824983114008902</v>
      </c>
      <c r="E366" s="30">
        <f t="shared" si="21"/>
        <v>8.8434014124446653E-2</v>
      </c>
    </row>
    <row r="367" spans="2:5" ht="13.9" customHeight="1" x14ac:dyDescent="0.25">
      <c r="B367" s="29">
        <f t="shared" si="23"/>
        <v>3.8380115273774842</v>
      </c>
      <c r="C367" s="30">
        <f t="shared" si="22"/>
        <v>2.4231297727119377E-2</v>
      </c>
      <c r="D367" s="30">
        <f t="shared" si="20"/>
        <v>0.23762906742054157</v>
      </c>
      <c r="E367" s="30">
        <f t="shared" si="21"/>
        <v>8.8665032274449523E-2</v>
      </c>
    </row>
    <row r="368" spans="2:5" ht="13.9" customHeight="1" x14ac:dyDescent="0.25">
      <c r="B368" s="29">
        <f t="shared" si="23"/>
        <v>3.848011527377484</v>
      </c>
      <c r="C368" s="30">
        <f t="shared" si="22"/>
        <v>2.4168326767820734E-2</v>
      </c>
      <c r="D368" s="30">
        <f t="shared" si="20"/>
        <v>0.23701153011398757</v>
      </c>
      <c r="E368" s="30">
        <f t="shared" si="21"/>
        <v>8.8896050424452394E-2</v>
      </c>
    </row>
    <row r="369" spans="2:5" ht="13.9" customHeight="1" x14ac:dyDescent="0.25">
      <c r="B369" s="29">
        <f t="shared" si="23"/>
        <v>3.8580115273774838</v>
      </c>
      <c r="C369" s="30">
        <f t="shared" si="22"/>
        <v>2.4105682251088955E-2</v>
      </c>
      <c r="D369" s="30">
        <f t="shared" si="20"/>
        <v>0.23639719413175403</v>
      </c>
      <c r="E369" s="30">
        <f t="shared" si="21"/>
        <v>8.9127068574455279E-2</v>
      </c>
    </row>
    <row r="370" spans="2:5" ht="13.9" customHeight="1" x14ac:dyDescent="0.25">
      <c r="B370" s="29">
        <f t="shared" si="23"/>
        <v>3.8680115273774835</v>
      </c>
      <c r="C370" s="30">
        <f t="shared" si="22"/>
        <v>2.4043361645060584E-2</v>
      </c>
      <c r="D370" s="30">
        <f t="shared" si="20"/>
        <v>0.23578603464461562</v>
      </c>
      <c r="E370" s="30">
        <f t="shared" si="21"/>
        <v>8.9358086724458163E-2</v>
      </c>
    </row>
    <row r="371" spans="2:5" ht="13.9" customHeight="1" x14ac:dyDescent="0.25">
      <c r="B371" s="29">
        <f t="shared" si="23"/>
        <v>3.8780115273774833</v>
      </c>
      <c r="C371" s="30">
        <f t="shared" si="22"/>
        <v>2.3981362443987245E-2</v>
      </c>
      <c r="D371" s="30">
        <f t="shared" si="20"/>
        <v>0.23517802707944971</v>
      </c>
      <c r="E371" s="30">
        <f t="shared" si="21"/>
        <v>8.9589104874461034E-2</v>
      </c>
    </row>
    <row r="372" spans="2:5" ht="13.9" customHeight="1" x14ac:dyDescent="0.25">
      <c r="B372" s="29">
        <f t="shared" si="23"/>
        <v>3.8880115273774831</v>
      </c>
      <c r="C372" s="30">
        <f t="shared" si="22"/>
        <v>2.3919682167899789E-2</v>
      </c>
      <c r="D372" s="30">
        <f t="shared" si="20"/>
        <v>0.23457314711594285</v>
      </c>
      <c r="E372" s="30">
        <f t="shared" si="21"/>
        <v>8.9820123024463933E-2</v>
      </c>
    </row>
    <row r="373" spans="2:5" ht="13.9" customHeight="1" x14ac:dyDescent="0.25">
      <c r="B373" s="29">
        <f t="shared" si="23"/>
        <v>3.8980115273774829</v>
      </c>
      <c r="C373" s="30">
        <f t="shared" si="22"/>
        <v>2.3858318362277611E-2</v>
      </c>
      <c r="D373" s="30">
        <f t="shared" si="20"/>
        <v>0.23397137068334783</v>
      </c>
      <c r="E373" s="30">
        <f t="shared" si="21"/>
        <v>9.0051141174466803E-2</v>
      </c>
    </row>
    <row r="374" spans="2:5" ht="13.9" customHeight="1" x14ac:dyDescent="0.25">
      <c r="B374" s="29">
        <f t="shared" si="23"/>
        <v>3.9080115273774827</v>
      </c>
      <c r="C374" s="30">
        <f t="shared" si="22"/>
        <v>2.3797268597723086E-2</v>
      </c>
      <c r="D374" s="30">
        <f t="shared" si="20"/>
        <v>0.23337267395729097</v>
      </c>
      <c r="E374" s="30">
        <f t="shared" si="21"/>
        <v>9.0282159324469674E-2</v>
      </c>
    </row>
    <row r="375" spans="2:5" ht="13.9" customHeight="1" x14ac:dyDescent="0.25">
      <c r="B375" s="29">
        <f t="shared" si="23"/>
        <v>3.9180115273774825</v>
      </c>
      <c r="C375" s="30">
        <f t="shared" si="22"/>
        <v>2.3736530469640926E-2</v>
      </c>
      <c r="D375" s="30">
        <f t="shared" si="20"/>
        <v>0.23277703335662764</v>
      </c>
      <c r="E375" s="30">
        <f t="shared" si="21"/>
        <v>9.0513177474472559E-2</v>
      </c>
    </row>
    <row r="376" spans="2:5" ht="13.9" customHeight="1" x14ac:dyDescent="0.25">
      <c r="B376" s="29">
        <f t="shared" si="23"/>
        <v>3.9280115273774823</v>
      </c>
      <c r="C376" s="30">
        <f t="shared" si="22"/>
        <v>2.3676101597922498E-2</v>
      </c>
      <c r="D376" s="30">
        <f t="shared" si="20"/>
        <v>0.23218442554034655</v>
      </c>
      <c r="E376" s="30">
        <f t="shared" si="21"/>
        <v>9.0744195624475429E-2</v>
      </c>
    </row>
    <row r="377" spans="2:5" ht="13.9" customHeight="1" x14ac:dyDescent="0.25">
      <c r="B377" s="29">
        <f t="shared" si="23"/>
        <v>3.9380115273774821</v>
      </c>
      <c r="C377" s="30">
        <f t="shared" si="22"/>
        <v>2.3615979626634899E-2</v>
      </c>
      <c r="D377" s="30">
        <f t="shared" si="20"/>
        <v>0.23159482740452045</v>
      </c>
      <c r="E377" s="30">
        <f t="shared" si="21"/>
        <v>9.0975213774478314E-2</v>
      </c>
    </row>
    <row r="378" spans="2:5" ht="13.9" customHeight="1" x14ac:dyDescent="0.25">
      <c r="B378" s="29">
        <f t="shared" si="23"/>
        <v>3.9480115273774818</v>
      </c>
      <c r="C378" s="30">
        <f t="shared" si="22"/>
        <v>2.3556162223714799E-2</v>
      </c>
      <c r="D378" s="30">
        <f t="shared" si="20"/>
        <v>0.23100821607930391</v>
      </c>
      <c r="E378" s="30">
        <f t="shared" si="21"/>
        <v>9.1206231924481213E-2</v>
      </c>
    </row>
    <row r="379" spans="2:5" ht="13.9" customHeight="1" x14ac:dyDescent="0.25">
      <c r="B379" s="29">
        <f t="shared" si="23"/>
        <v>3.9580115273774816</v>
      </c>
      <c r="C379" s="30">
        <f t="shared" si="22"/>
        <v>2.3496647080666889E-2</v>
      </c>
      <c r="D379" s="30">
        <f t="shared" si="20"/>
        <v>0.23042456892597596</v>
      </c>
      <c r="E379" s="30">
        <f t="shared" si="21"/>
        <v>9.1437250074484069E-2</v>
      </c>
    </row>
    <row r="380" spans="2:5" ht="13.9" customHeight="1" x14ac:dyDescent="0.25">
      <c r="B380" s="29">
        <f t="shared" si="23"/>
        <v>3.9680115273774814</v>
      </c>
      <c r="C380" s="30">
        <f t="shared" si="22"/>
        <v>2.3437431912266923E-2</v>
      </c>
      <c r="D380" s="30">
        <f t="shared" si="20"/>
        <v>0.22984386353402803</v>
      </c>
      <c r="E380" s="30">
        <f t="shared" si="21"/>
        <v>9.1668268224486968E-2</v>
      </c>
    </row>
    <row r="381" spans="2:5" ht="13.9" customHeight="1" x14ac:dyDescent="0.25">
      <c r="B381" s="29">
        <f t="shared" si="23"/>
        <v>3.9780115273774812</v>
      </c>
      <c r="C381" s="30">
        <f t="shared" si="22"/>
        <v>2.3378514456269209E-2</v>
      </c>
      <c r="D381" s="30">
        <f t="shared" si="20"/>
        <v>0.22926607771829524</v>
      </c>
      <c r="E381" s="30">
        <f t="shared" si="21"/>
        <v>9.1899286374489852E-2</v>
      </c>
    </row>
    <row r="382" spans="2:5" ht="13.9" customHeight="1" x14ac:dyDescent="0.25">
      <c r="B382" s="29">
        <f t="shared" si="23"/>
        <v>3.988011527377481</v>
      </c>
      <c r="C382" s="30">
        <f t="shared" si="22"/>
        <v>2.3319892473118518E-2</v>
      </c>
      <c r="D382" s="30">
        <f t="shared" si="20"/>
        <v>0.22869118951613135</v>
      </c>
      <c r="E382" s="30">
        <f t="shared" si="21"/>
        <v>9.2130304524492723E-2</v>
      </c>
    </row>
    <row r="383" spans="2:5" ht="13.9" customHeight="1" x14ac:dyDescent="0.25">
      <c r="B383" s="29">
        <f t="shared" si="23"/>
        <v>3.9980115273774808</v>
      </c>
      <c r="C383" s="30">
        <f t="shared" si="22"/>
        <v>2.3261563745666309E-2</v>
      </c>
      <c r="D383" s="30">
        <f t="shared" si="20"/>
        <v>0.22811917718462577</v>
      </c>
      <c r="E383" s="30">
        <f t="shared" si="21"/>
        <v>9.2361322674495594E-2</v>
      </c>
    </row>
    <row r="384" spans="2:5" ht="13.9" customHeight="1" x14ac:dyDescent="0.25">
      <c r="B384" s="29">
        <f t="shared" si="23"/>
        <v>4.008011527377481</v>
      </c>
      <c r="C384" s="30">
        <f t="shared" si="22"/>
        <v>2.3203526078891219E-2</v>
      </c>
      <c r="D384" s="30">
        <f t="shared" si="20"/>
        <v>0.2275500191978625</v>
      </c>
      <c r="E384" s="30">
        <f t="shared" si="21"/>
        <v>9.2592340824498506E-2</v>
      </c>
    </row>
    <row r="385" spans="2:5" ht="13.9" customHeight="1" x14ac:dyDescent="0.25">
      <c r="B385" s="29">
        <f t="shared" si="23"/>
        <v>4.0180115273774808</v>
      </c>
      <c r="C385" s="30">
        <f t="shared" si="22"/>
        <v>2.314577729962369E-2</v>
      </c>
      <c r="D385" s="30">
        <f t="shared" si="20"/>
        <v>0.22698369424421963</v>
      </c>
      <c r="E385" s="30">
        <f t="shared" si="21"/>
        <v>9.2823358974501391E-2</v>
      </c>
    </row>
    <row r="386" spans="2:5" ht="13.9" customHeight="1" x14ac:dyDescent="0.25">
      <c r="B386" s="29">
        <f t="shared" si="23"/>
        <v>4.0280115273774806</v>
      </c>
      <c r="C386" s="30">
        <f t="shared" si="22"/>
        <v>2.3088315256274739E-2</v>
      </c>
      <c r="D386" s="30">
        <f t="shared" si="20"/>
        <v>0.22642018122370947</v>
      </c>
      <c r="E386" s="30">
        <f t="shared" si="21"/>
        <v>9.3054377124504262E-2</v>
      </c>
    </row>
    <row r="387" spans="2:5" ht="13.9" customHeight="1" x14ac:dyDescent="0.25">
      <c r="B387" s="29">
        <f t="shared" si="23"/>
        <v>4.0380115273774804</v>
      </c>
      <c r="C387" s="30">
        <f t="shared" si="22"/>
        <v>2.3031137818568737E-2</v>
      </c>
      <c r="D387" s="30">
        <f t="shared" si="20"/>
        <v>0.22585945924535802</v>
      </c>
      <c r="E387" s="30">
        <f t="shared" si="21"/>
        <v>9.3285395274507146E-2</v>
      </c>
    </row>
    <row r="388" spans="2:5" ht="13.9" customHeight="1" x14ac:dyDescent="0.25">
      <c r="B388" s="29">
        <f t="shared" si="23"/>
        <v>4.0480115273774802</v>
      </c>
      <c r="C388" s="30">
        <f t="shared" si="22"/>
        <v>2.2974242877280147E-2</v>
      </c>
      <c r="D388" s="30">
        <f t="shared" si="20"/>
        <v>0.2253015076246232</v>
      </c>
      <c r="E388" s="30">
        <f t="shared" si="21"/>
        <v>9.3516413424510017E-2</v>
      </c>
    </row>
    <row r="389" spans="2:5" ht="13.9" customHeight="1" x14ac:dyDescent="0.25">
      <c r="B389" s="29">
        <f t="shared" si="23"/>
        <v>4.0580115273774799</v>
      </c>
      <c r="C389" s="30">
        <f t="shared" si="22"/>
        <v>2.2917628343974157E-2</v>
      </c>
      <c r="D389" s="30">
        <f t="shared" si="20"/>
        <v>0.22474630588085134</v>
      </c>
      <c r="E389" s="30">
        <f t="shared" si="21"/>
        <v>9.3747431574512888E-2</v>
      </c>
    </row>
    <row r="390" spans="2:5" ht="13.9" customHeight="1" x14ac:dyDescent="0.25">
      <c r="B390" s="29">
        <f t="shared" si="23"/>
        <v>4.0680115273774797</v>
      </c>
      <c r="C390" s="30">
        <f t="shared" si="22"/>
        <v>2.2861292150751156E-2</v>
      </c>
      <c r="D390" s="30">
        <f t="shared" si="20"/>
        <v>0.22419383373477134</v>
      </c>
      <c r="E390" s="30">
        <f t="shared" si="21"/>
        <v>9.3978449724515759E-2</v>
      </c>
    </row>
    <row r="391" spans="2:5" ht="13.9" customHeight="1" x14ac:dyDescent="0.25">
      <c r="B391" s="29">
        <f t="shared" si="23"/>
        <v>4.0780115273774795</v>
      </c>
      <c r="C391" s="30">
        <f t="shared" si="22"/>
        <v>2.2805232249994936E-2</v>
      </c>
      <c r="D391" s="30">
        <f t="shared" si="20"/>
        <v>0.22364407110602533</v>
      </c>
      <c r="E391" s="30">
        <f t="shared" si="21"/>
        <v>9.4209467874518671E-2</v>
      </c>
    </row>
    <row r="392" spans="2:5" ht="13.9" customHeight="1" x14ac:dyDescent="0.25">
      <c r="B392" s="29">
        <f t="shared" si="23"/>
        <v>4.0880115273774793</v>
      </c>
      <c r="C392" s="30">
        <f t="shared" si="22"/>
        <v>2.2749446614124615E-2</v>
      </c>
      <c r="D392" s="30">
        <f t="shared" si="20"/>
        <v>0.22309699811073586</v>
      </c>
      <c r="E392" s="30">
        <f t="shared" si="21"/>
        <v>9.4440486024521542E-2</v>
      </c>
    </row>
    <row r="393" spans="2:5" ht="13.9" customHeight="1" x14ac:dyDescent="0.25">
      <c r="B393" s="29">
        <f t="shared" si="23"/>
        <v>4.0980115273774791</v>
      </c>
      <c r="C393" s="30">
        <f t="shared" si="22"/>
        <v>2.2693933235350197E-2</v>
      </c>
      <c r="D393" s="30">
        <f t="shared" ref="D393:D456" si="24">C393*9.8067</f>
        <v>0.22255259505910877</v>
      </c>
      <c r="E393" s="30">
        <f t="shared" ref="E393:E456" si="25">((B393^2)/(4*PI()^2))*D393</f>
        <v>9.4671504174524412E-2</v>
      </c>
    </row>
    <row r="394" spans="2:5" ht="13.9" customHeight="1" x14ac:dyDescent="0.25">
      <c r="B394" s="29">
        <f t="shared" si="23"/>
        <v>4.1080115273774789</v>
      </c>
      <c r="C394" s="30">
        <f t="shared" si="22"/>
        <v>2.2638690125431668E-2</v>
      </c>
      <c r="D394" s="30">
        <f t="shared" si="24"/>
        <v>0.22201084245307073</v>
      </c>
      <c r="E394" s="30">
        <f t="shared" si="25"/>
        <v>9.4902522324527297E-2</v>
      </c>
    </row>
    <row r="395" spans="2:5" ht="13.9" customHeight="1" x14ac:dyDescent="0.25">
      <c r="B395" s="29">
        <f t="shared" si="23"/>
        <v>4.1180115273774787</v>
      </c>
      <c r="C395" s="30">
        <f t="shared" si="22"/>
        <v>2.2583715315441642E-2</v>
      </c>
      <c r="D395" s="30">
        <f t="shared" si="24"/>
        <v>0.22147172098394155</v>
      </c>
      <c r="E395" s="30">
        <f t="shared" si="25"/>
        <v>9.5133540474530182E-2</v>
      </c>
    </row>
    <row r="396" spans="2:5" ht="13.9" customHeight="1" x14ac:dyDescent="0.25">
      <c r="B396" s="29">
        <f t="shared" si="23"/>
        <v>4.1280115273774785</v>
      </c>
      <c r="C396" s="30">
        <f t="shared" si="22"/>
        <v>2.2529006855531435E-2</v>
      </c>
      <c r="D396" s="30">
        <f t="shared" si="24"/>
        <v>0.22093521153014009</v>
      </c>
      <c r="E396" s="30">
        <f t="shared" si="25"/>
        <v>9.5364558624533066E-2</v>
      </c>
    </row>
    <row r="397" spans="2:5" ht="13.9" customHeight="1" x14ac:dyDescent="0.25">
      <c r="B397" s="29">
        <f t="shared" si="23"/>
        <v>4.1380115273774782</v>
      </c>
      <c r="C397" s="30">
        <f t="shared" ref="C397:C460" si="26">IF(B397&lt;6,$C$5/B397,6*$C$5/B397^2)</f>
        <v>2.2474562814700526E-2</v>
      </c>
      <c r="D397" s="30">
        <f t="shared" si="24"/>
        <v>0.22040129515492363</v>
      </c>
      <c r="E397" s="30">
        <f t="shared" si="25"/>
        <v>9.5595576774535937E-2</v>
      </c>
    </row>
    <row r="398" spans="2:5" ht="13.9" customHeight="1" x14ac:dyDescent="0.25">
      <c r="B398" s="29">
        <f t="shared" ref="B398:B461" si="27">B397+0.01</f>
        <v>4.148011527377478</v>
      </c>
      <c r="C398" s="30">
        <f t="shared" si="26"/>
        <v>2.2420381280569376E-2</v>
      </c>
      <c r="D398" s="30">
        <f t="shared" si="24"/>
        <v>0.21986995310415969</v>
      </c>
      <c r="E398" s="30">
        <f t="shared" si="25"/>
        <v>9.5826594924538835E-2</v>
      </c>
    </row>
    <row r="399" spans="2:5" ht="13.9" customHeight="1" x14ac:dyDescent="0.25">
      <c r="B399" s="29">
        <f t="shared" si="27"/>
        <v>4.1580115273774778</v>
      </c>
      <c r="C399" s="30">
        <f t="shared" si="26"/>
        <v>2.2366460359155505E-2</v>
      </c>
      <c r="D399" s="30">
        <f t="shared" si="24"/>
        <v>0.21934116680413027</v>
      </c>
      <c r="E399" s="30">
        <f t="shared" si="25"/>
        <v>9.6057613074541692E-2</v>
      </c>
    </row>
    <row r="400" spans="2:5" ht="13.9" customHeight="1" x14ac:dyDescent="0.25">
      <c r="B400" s="29">
        <f t="shared" si="27"/>
        <v>4.1680115273774776</v>
      </c>
      <c r="C400" s="30">
        <f t="shared" si="26"/>
        <v>2.2312798174652797E-2</v>
      </c>
      <c r="D400" s="30">
        <f t="shared" si="24"/>
        <v>0.21881491785936757</v>
      </c>
      <c r="E400" s="30">
        <f t="shared" si="25"/>
        <v>9.6288631224544591E-2</v>
      </c>
    </row>
    <row r="401" spans="2:5" ht="13.9" customHeight="1" x14ac:dyDescent="0.25">
      <c r="B401" s="29">
        <f t="shared" si="27"/>
        <v>4.1780115273774774</v>
      </c>
      <c r="C401" s="30">
        <f t="shared" si="26"/>
        <v>2.2259392869213974E-2</v>
      </c>
      <c r="D401" s="30">
        <f t="shared" si="24"/>
        <v>0.21829118805052067</v>
      </c>
      <c r="E401" s="30">
        <f t="shared" si="25"/>
        <v>9.6519649374547475E-2</v>
      </c>
    </row>
    <row r="402" spans="2:5" ht="13.9" customHeight="1" x14ac:dyDescent="0.25">
      <c r="B402" s="29">
        <f t="shared" si="27"/>
        <v>4.1880115273774772</v>
      </c>
      <c r="C402" s="30">
        <f t="shared" si="26"/>
        <v>2.2206242602736192E-2</v>
      </c>
      <c r="D402" s="30">
        <f t="shared" si="24"/>
        <v>0.21776995933225299</v>
      </c>
      <c r="E402" s="30">
        <f t="shared" si="25"/>
        <v>9.6750667524550346E-2</v>
      </c>
    </row>
    <row r="403" spans="2:5" ht="13.9" customHeight="1" x14ac:dyDescent="0.25">
      <c r="B403" s="29">
        <f t="shared" si="27"/>
        <v>4.198011527377477</v>
      </c>
      <c r="C403" s="30">
        <f t="shared" si="26"/>
        <v>2.2153345552649698E-2</v>
      </c>
      <c r="D403" s="30">
        <f t="shared" si="24"/>
        <v>0.21725121383116977</v>
      </c>
      <c r="E403" s="30">
        <f t="shared" si="25"/>
        <v>9.6981685674553217E-2</v>
      </c>
    </row>
    <row r="404" spans="2:5" ht="13.9" customHeight="1" x14ac:dyDescent="0.25">
      <c r="B404" s="29">
        <f t="shared" si="27"/>
        <v>4.2080115273774767</v>
      </c>
      <c r="C404" s="30">
        <f t="shared" si="26"/>
        <v>2.2100699913709505E-2</v>
      </c>
      <c r="D404" s="30">
        <f t="shared" si="24"/>
        <v>0.21673493384377499</v>
      </c>
      <c r="E404" s="30">
        <f t="shared" si="25"/>
        <v>9.7212703824556101E-2</v>
      </c>
    </row>
    <row r="405" spans="2:5" ht="13.9" customHeight="1" x14ac:dyDescent="0.25">
      <c r="B405" s="29">
        <f t="shared" si="27"/>
        <v>4.2180115273774765</v>
      </c>
      <c r="C405" s="30">
        <f t="shared" si="26"/>
        <v>2.2048303897790007E-2</v>
      </c>
      <c r="D405" s="30">
        <f t="shared" si="24"/>
        <v>0.21622110183445725</v>
      </c>
      <c r="E405" s="30">
        <f t="shared" si="25"/>
        <v>9.7443721974558986E-2</v>
      </c>
    </row>
    <row r="406" spans="2:5" ht="13.9" customHeight="1" x14ac:dyDescent="0.25">
      <c r="B406" s="29">
        <f t="shared" si="27"/>
        <v>4.2280115273774763</v>
      </c>
      <c r="C406" s="30">
        <f t="shared" si="26"/>
        <v>2.1996155733682552E-2</v>
      </c>
      <c r="D406" s="30">
        <f t="shared" si="24"/>
        <v>0.21570970043350468</v>
      </c>
      <c r="E406" s="30">
        <f t="shared" si="25"/>
        <v>9.7674740124561885E-2</v>
      </c>
    </row>
    <row r="407" spans="2:5" ht="13.9" customHeight="1" x14ac:dyDescent="0.25">
      <c r="B407" s="29">
        <f t="shared" si="27"/>
        <v>4.2380115273774761</v>
      </c>
      <c r="C407" s="30">
        <f t="shared" si="26"/>
        <v>2.1944253666895834E-2</v>
      </c>
      <c r="D407" s="30">
        <f t="shared" si="24"/>
        <v>0.21520071243514735</v>
      </c>
      <c r="E407" s="30">
        <f t="shared" si="25"/>
        <v>9.7905758274564741E-2</v>
      </c>
    </row>
    <row r="408" spans="2:5" ht="13.9" customHeight="1" x14ac:dyDescent="0.25">
      <c r="B408" s="29">
        <f t="shared" si="27"/>
        <v>4.2480115273774759</v>
      </c>
      <c r="C408" s="30">
        <f t="shared" si="26"/>
        <v>2.1892595959459145E-2</v>
      </c>
      <c r="D408" s="30">
        <f t="shared" si="24"/>
        <v>0.21469412079562797</v>
      </c>
      <c r="E408" s="30">
        <f t="shared" si="25"/>
        <v>9.8136776424567626E-2</v>
      </c>
    </row>
    <row r="409" spans="2:5" ht="13.9" customHeight="1" x14ac:dyDescent="0.25">
      <c r="B409" s="29">
        <f t="shared" si="27"/>
        <v>4.2580115273774757</v>
      </c>
      <c r="C409" s="30">
        <f t="shared" si="26"/>
        <v>2.1841180889728362E-2</v>
      </c>
      <c r="D409" s="30">
        <f t="shared" si="24"/>
        <v>0.21418990863129911</v>
      </c>
      <c r="E409" s="30">
        <f t="shared" si="25"/>
        <v>9.8367794574570511E-2</v>
      </c>
    </row>
    <row r="410" spans="2:5" ht="13.9" customHeight="1" x14ac:dyDescent="0.25">
      <c r="B410" s="29">
        <f t="shared" si="27"/>
        <v>4.2680115273774755</v>
      </c>
      <c r="C410" s="30">
        <f t="shared" si="26"/>
        <v>2.17900067521947E-2</v>
      </c>
      <c r="D410" s="30">
        <f t="shared" si="24"/>
        <v>0.21368805921674774</v>
      </c>
      <c r="E410" s="30">
        <f t="shared" si="25"/>
        <v>9.8598812724573395E-2</v>
      </c>
    </row>
    <row r="411" spans="2:5" ht="13.9" customHeight="1" x14ac:dyDescent="0.25">
      <c r="B411" s="29">
        <f t="shared" si="27"/>
        <v>4.2780115273774753</v>
      </c>
      <c r="C411" s="30">
        <f t="shared" si="26"/>
        <v>2.1739071857296104E-2</v>
      </c>
      <c r="D411" s="30">
        <f t="shared" si="24"/>
        <v>0.2131885559829457</v>
      </c>
      <c r="E411" s="30">
        <f t="shared" si="25"/>
        <v>9.8829830874576266E-2</v>
      </c>
    </row>
    <row r="412" spans="2:5" ht="13.9" customHeight="1" x14ac:dyDescent="0.25">
      <c r="B412" s="29">
        <f t="shared" si="27"/>
        <v>4.288011527377475</v>
      </c>
      <c r="C412" s="30">
        <f t="shared" si="26"/>
        <v>2.1688374531231333E-2</v>
      </c>
      <c r="D412" s="30">
        <f t="shared" si="24"/>
        <v>0.2126913825154263</v>
      </c>
      <c r="E412" s="30">
        <f t="shared" si="25"/>
        <v>9.9060849024579165E-2</v>
      </c>
    </row>
    <row r="413" spans="2:5" ht="13.9" customHeight="1" x14ac:dyDescent="0.25">
      <c r="B413" s="29">
        <f t="shared" si="27"/>
        <v>4.2980115273774748</v>
      </c>
      <c r="C413" s="30">
        <f t="shared" si="26"/>
        <v>2.1637913115776581E-2</v>
      </c>
      <c r="D413" s="30">
        <f t="shared" si="24"/>
        <v>0.21219652255248619</v>
      </c>
      <c r="E413" s="30">
        <f t="shared" si="25"/>
        <v>9.9291867174582035E-2</v>
      </c>
    </row>
    <row r="414" spans="2:5" ht="13.9" customHeight="1" x14ac:dyDescent="0.25">
      <c r="B414" s="29">
        <f t="shared" si="27"/>
        <v>4.3080115273774746</v>
      </c>
      <c r="C414" s="30">
        <f t="shared" si="26"/>
        <v>2.1587685968104699E-2</v>
      </c>
      <c r="D414" s="30">
        <f t="shared" si="24"/>
        <v>0.21170395998341235</v>
      </c>
      <c r="E414" s="30">
        <f t="shared" si="25"/>
        <v>9.952288532458492E-2</v>
      </c>
    </row>
    <row r="415" spans="2:5" ht="13.9" customHeight="1" x14ac:dyDescent="0.25">
      <c r="B415" s="29">
        <f t="shared" si="27"/>
        <v>4.3180115273774744</v>
      </c>
      <c r="C415" s="30">
        <f t="shared" si="26"/>
        <v>2.1537691460606901E-2</v>
      </c>
      <c r="D415" s="30">
        <f t="shared" si="24"/>
        <v>0.21121367884673367</v>
      </c>
      <c r="E415" s="30">
        <f t="shared" si="25"/>
        <v>9.9753903474587791E-2</v>
      </c>
    </row>
    <row r="416" spans="2:5" ht="13.9" customHeight="1" x14ac:dyDescent="0.25">
      <c r="B416" s="29">
        <f t="shared" si="27"/>
        <v>4.3280115273774742</v>
      </c>
      <c r="C416" s="30">
        <f t="shared" si="26"/>
        <v>2.1487927980716966E-2</v>
      </c>
      <c r="D416" s="30">
        <f t="shared" si="24"/>
        <v>0.21072566332849707</v>
      </c>
      <c r="E416" s="30">
        <f t="shared" si="25"/>
        <v>9.9984921624590689E-2</v>
      </c>
    </row>
    <row r="417" spans="2:5" ht="13.9" customHeight="1" x14ac:dyDescent="0.25">
      <c r="B417" s="29">
        <f t="shared" si="27"/>
        <v>4.338011527377474</v>
      </c>
      <c r="C417" s="30">
        <f t="shared" si="26"/>
        <v>2.1438393930737834E-2</v>
      </c>
      <c r="D417" s="30">
        <f t="shared" si="24"/>
        <v>0.2102398977605667</v>
      </c>
      <c r="E417" s="30">
        <f t="shared" si="25"/>
        <v>0.10021593977459356</v>
      </c>
    </row>
    <row r="418" spans="2:5" ht="13.9" customHeight="1" x14ac:dyDescent="0.25">
      <c r="B418" s="29">
        <f t="shared" si="27"/>
        <v>4.3480115273774738</v>
      </c>
      <c r="C418" s="30">
        <f t="shared" si="26"/>
        <v>2.138908772767064E-2</v>
      </c>
      <c r="D418" s="30">
        <f t="shared" si="24"/>
        <v>0.20975636661894764</v>
      </c>
      <c r="E418" s="30">
        <f t="shared" si="25"/>
        <v>0.10044695792459643</v>
      </c>
    </row>
    <row r="419" spans="2:5" ht="13.9" customHeight="1" x14ac:dyDescent="0.25">
      <c r="B419" s="29">
        <f t="shared" si="27"/>
        <v>4.3580115273774735</v>
      </c>
      <c r="C419" s="30">
        <f t="shared" si="26"/>
        <v>2.1340007803046068E-2</v>
      </c>
      <c r="D419" s="30">
        <f t="shared" si="24"/>
        <v>0.20927505452213185</v>
      </c>
      <c r="E419" s="30">
        <f t="shared" si="25"/>
        <v>0.10067797607459932</v>
      </c>
    </row>
    <row r="420" spans="2:5" ht="13.9" customHeight="1" x14ac:dyDescent="0.25">
      <c r="B420" s="29">
        <f t="shared" si="27"/>
        <v>4.3680115273774733</v>
      </c>
      <c r="C420" s="30">
        <f t="shared" si="26"/>
        <v>2.1291152602758035E-2</v>
      </c>
      <c r="D420" s="30">
        <f t="shared" si="24"/>
        <v>0.20879594622946721</v>
      </c>
      <c r="E420" s="30">
        <f t="shared" si="25"/>
        <v>0.10090899422460217</v>
      </c>
    </row>
    <row r="421" spans="2:5" ht="13.9" customHeight="1" x14ac:dyDescent="0.25">
      <c r="B421" s="29">
        <f t="shared" si="27"/>
        <v>4.3780115273774731</v>
      </c>
      <c r="C421" s="30">
        <f t="shared" si="26"/>
        <v>2.1242520586899662E-2</v>
      </c>
      <c r="D421" s="30">
        <f t="shared" si="24"/>
        <v>0.2083190266395489</v>
      </c>
      <c r="E421" s="30">
        <f t="shared" si="25"/>
        <v>0.10114001237460508</v>
      </c>
    </row>
    <row r="422" spans="2:5" ht="13.9" customHeight="1" x14ac:dyDescent="0.25">
      <c r="B422" s="29">
        <f t="shared" si="27"/>
        <v>4.3880115273774729</v>
      </c>
      <c r="C422" s="30">
        <f t="shared" si="26"/>
        <v>2.1194110229601455E-2</v>
      </c>
      <c r="D422" s="30">
        <f t="shared" si="24"/>
        <v>0.20784428078863257</v>
      </c>
      <c r="E422" s="30">
        <f t="shared" si="25"/>
        <v>0.10137103052460797</v>
      </c>
    </row>
    <row r="423" spans="2:5" ht="13.9" customHeight="1" x14ac:dyDescent="0.25">
      <c r="B423" s="29">
        <f t="shared" si="27"/>
        <v>4.3980115273774727</v>
      </c>
      <c r="C423" s="30">
        <f t="shared" si="26"/>
        <v>2.1145920018871747E-2</v>
      </c>
      <c r="D423" s="30">
        <f t="shared" si="24"/>
        <v>0.20737169384906953</v>
      </c>
      <c r="E423" s="30">
        <f t="shared" si="25"/>
        <v>0.10160204867461084</v>
      </c>
    </row>
    <row r="424" spans="2:5" ht="13.9" customHeight="1" x14ac:dyDescent="0.25">
      <c r="B424" s="29">
        <f t="shared" si="27"/>
        <v>4.4080115273774725</v>
      </c>
      <c r="C424" s="30">
        <f t="shared" si="26"/>
        <v>2.1097948456439256E-2</v>
      </c>
      <c r="D424" s="30">
        <f t="shared" si="24"/>
        <v>0.20690125112776284</v>
      </c>
      <c r="E424" s="30">
        <f t="shared" si="25"/>
        <v>0.10183306682461371</v>
      </c>
    </row>
    <row r="425" spans="2:5" ht="13.9" customHeight="1" x14ac:dyDescent="0.25">
      <c r="B425" s="29">
        <f t="shared" si="27"/>
        <v>4.4180115273774723</v>
      </c>
      <c r="C425" s="30">
        <f t="shared" si="26"/>
        <v>2.1050194057597834E-2</v>
      </c>
      <c r="D425" s="30">
        <f t="shared" si="24"/>
        <v>0.20643293806464466</v>
      </c>
      <c r="E425" s="30">
        <f t="shared" si="25"/>
        <v>0.10206408497461661</v>
      </c>
    </row>
    <row r="426" spans="2:5" ht="13.9" customHeight="1" x14ac:dyDescent="0.25">
      <c r="B426" s="29">
        <f t="shared" si="27"/>
        <v>4.4280115273774721</v>
      </c>
      <c r="C426" s="30">
        <f t="shared" si="26"/>
        <v>2.1002655351053265E-2</v>
      </c>
      <c r="D426" s="30">
        <f t="shared" si="24"/>
        <v>0.20596674023117403</v>
      </c>
      <c r="E426" s="30">
        <f t="shared" si="25"/>
        <v>0.10229510312461948</v>
      </c>
    </row>
    <row r="427" spans="2:5" ht="13.9" customHeight="1" x14ac:dyDescent="0.25">
      <c r="B427" s="29">
        <f t="shared" si="27"/>
        <v>4.4380115273774718</v>
      </c>
      <c r="C427" s="30">
        <f t="shared" si="26"/>
        <v>2.0955330878772174E-2</v>
      </c>
      <c r="D427" s="30">
        <f t="shared" si="24"/>
        <v>0.20550264332885507</v>
      </c>
      <c r="E427" s="30">
        <f t="shared" si="25"/>
        <v>0.10252612127462235</v>
      </c>
    </row>
    <row r="428" spans="2:5" ht="13.9" customHeight="1" x14ac:dyDescent="0.25">
      <c r="B428" s="29">
        <f t="shared" si="27"/>
        <v>4.4480115273774716</v>
      </c>
      <c r="C428" s="30">
        <f t="shared" si="26"/>
        <v>2.0908219195832974E-2</v>
      </c>
      <c r="D428" s="30">
        <f t="shared" si="24"/>
        <v>0.20504063318777521</v>
      </c>
      <c r="E428" s="30">
        <f t="shared" si="25"/>
        <v>0.10275713942462525</v>
      </c>
    </row>
    <row r="429" spans="2:5" ht="13.9" customHeight="1" x14ac:dyDescent="0.25">
      <c r="B429" s="29">
        <f t="shared" si="27"/>
        <v>4.4580115273774714</v>
      </c>
      <c r="C429" s="30">
        <f t="shared" si="26"/>
        <v>2.0861318870278787E-2</v>
      </c>
      <c r="D429" s="30">
        <f t="shared" si="24"/>
        <v>0.20458069576516297</v>
      </c>
      <c r="E429" s="30">
        <f t="shared" si="25"/>
        <v>0.10298815757462813</v>
      </c>
    </row>
    <row r="430" spans="2:5" ht="13.9" customHeight="1" x14ac:dyDescent="0.25">
      <c r="B430" s="29">
        <f t="shared" si="27"/>
        <v>4.4680115273774712</v>
      </c>
      <c r="C430" s="30">
        <f t="shared" si="26"/>
        <v>2.0814628482972372E-2</v>
      </c>
      <c r="D430" s="30">
        <f t="shared" si="24"/>
        <v>0.20412281714396516</v>
      </c>
      <c r="E430" s="30">
        <f t="shared" si="25"/>
        <v>0.10321917572463102</v>
      </c>
    </row>
    <row r="431" spans="2:5" ht="13.9" customHeight="1" x14ac:dyDescent="0.25">
      <c r="B431" s="29">
        <f t="shared" si="27"/>
        <v>4.478011527377471</v>
      </c>
      <c r="C431" s="30">
        <f t="shared" si="26"/>
        <v>2.0768146627452983E-2</v>
      </c>
      <c r="D431" s="30">
        <f t="shared" si="24"/>
        <v>0.20366698353144316</v>
      </c>
      <c r="E431" s="30">
        <f t="shared" si="25"/>
        <v>0.10345019387463389</v>
      </c>
    </row>
    <row r="432" spans="2:5" ht="13.9" customHeight="1" x14ac:dyDescent="0.25">
      <c r="B432" s="29">
        <f t="shared" si="27"/>
        <v>4.4880115273774708</v>
      </c>
      <c r="C432" s="30">
        <f t="shared" si="26"/>
        <v>2.0721871909795141E-2</v>
      </c>
      <c r="D432" s="30">
        <f t="shared" si="24"/>
        <v>0.20321318125778801</v>
      </c>
      <c r="E432" s="30">
        <f t="shared" si="25"/>
        <v>0.10368121202463676</v>
      </c>
    </row>
    <row r="433" spans="2:5" ht="13.9" customHeight="1" x14ac:dyDescent="0.25">
      <c r="B433" s="29">
        <f t="shared" si="27"/>
        <v>4.4980115273774706</v>
      </c>
      <c r="C433" s="30">
        <f t="shared" si="26"/>
        <v>2.06758029484693E-2</v>
      </c>
      <c r="D433" s="30">
        <f t="shared" si="24"/>
        <v>0.20276139677475385</v>
      </c>
      <c r="E433" s="30">
        <f t="shared" si="25"/>
        <v>0.10391223017463964</v>
      </c>
    </row>
    <row r="434" spans="2:5" ht="13.9" customHeight="1" x14ac:dyDescent="0.25">
      <c r="B434" s="29">
        <f t="shared" si="27"/>
        <v>4.5080115273774704</v>
      </c>
      <c r="C434" s="30">
        <f t="shared" si="26"/>
        <v>2.0629938374204342E-2</v>
      </c>
      <c r="D434" s="30">
        <f t="shared" si="24"/>
        <v>0.20231161665430969</v>
      </c>
      <c r="E434" s="30">
        <f t="shared" si="25"/>
        <v>0.10414324832464252</v>
      </c>
    </row>
    <row r="435" spans="2:5" ht="13.9" customHeight="1" x14ac:dyDescent="0.25">
      <c r="B435" s="29">
        <f t="shared" si="27"/>
        <v>4.5180115273774701</v>
      </c>
      <c r="C435" s="30">
        <f t="shared" si="26"/>
        <v>2.0584276829851932E-2</v>
      </c>
      <c r="D435" s="30">
        <f t="shared" si="24"/>
        <v>0.20186382758730892</v>
      </c>
      <c r="E435" s="30">
        <f t="shared" si="25"/>
        <v>0.10437426647464539</v>
      </c>
    </row>
    <row r="436" spans="2:5" ht="13.9" customHeight="1" x14ac:dyDescent="0.25">
      <c r="B436" s="29">
        <f t="shared" si="27"/>
        <v>4.5280115273774699</v>
      </c>
      <c r="C436" s="30">
        <f t="shared" si="26"/>
        <v>2.053881697025265E-2</v>
      </c>
      <c r="D436" s="30">
        <f t="shared" si="24"/>
        <v>0.20141801638217666</v>
      </c>
      <c r="E436" s="30">
        <f t="shared" si="25"/>
        <v>0.10460528462464828</v>
      </c>
    </row>
    <row r="437" spans="2:5" ht="13.9" customHeight="1" x14ac:dyDescent="0.25">
      <c r="B437" s="29">
        <f t="shared" si="27"/>
        <v>4.5380115273774697</v>
      </c>
      <c r="C437" s="30">
        <f t="shared" si="26"/>
        <v>2.0493557462103885E-2</v>
      </c>
      <c r="D437" s="30">
        <f t="shared" si="24"/>
        <v>0.20097416996361417</v>
      </c>
      <c r="E437" s="30">
        <f t="shared" si="25"/>
        <v>0.10483630277465118</v>
      </c>
    </row>
    <row r="438" spans="2:5" ht="13.9" customHeight="1" x14ac:dyDescent="0.25">
      <c r="B438" s="29">
        <f t="shared" si="27"/>
        <v>4.5480115273774695</v>
      </c>
      <c r="C438" s="30">
        <f t="shared" si="26"/>
        <v>2.0448496983829504E-2</v>
      </c>
      <c r="D438" s="30">
        <f t="shared" si="24"/>
        <v>0.20053227537132079</v>
      </c>
      <c r="E438" s="30">
        <f t="shared" si="25"/>
        <v>0.10506732092465404</v>
      </c>
    </row>
    <row r="439" spans="2:5" ht="13.9" customHeight="1" x14ac:dyDescent="0.25">
      <c r="B439" s="29">
        <f t="shared" si="27"/>
        <v>4.5580115273774693</v>
      </c>
      <c r="C439" s="30">
        <f t="shared" si="26"/>
        <v>2.0403634225451193E-2</v>
      </c>
      <c r="D439" s="30">
        <f t="shared" si="24"/>
        <v>0.20009231975873221</v>
      </c>
      <c r="E439" s="30">
        <f t="shared" si="25"/>
        <v>0.10529833907465692</v>
      </c>
    </row>
    <row r="440" spans="2:5" ht="13.9" customHeight="1" x14ac:dyDescent="0.25">
      <c r="B440" s="29">
        <f t="shared" si="27"/>
        <v>4.5680115273774691</v>
      </c>
      <c r="C440" s="30">
        <f t="shared" si="26"/>
        <v>2.0358967888461529E-2</v>
      </c>
      <c r="D440" s="30">
        <f t="shared" si="24"/>
        <v>0.19965429039177565</v>
      </c>
      <c r="E440" s="30">
        <f t="shared" si="25"/>
        <v>0.10552935722465979</v>
      </c>
    </row>
    <row r="441" spans="2:5" ht="13.9" customHeight="1" x14ac:dyDescent="0.25">
      <c r="B441" s="29">
        <f t="shared" si="27"/>
        <v>4.5780115273774689</v>
      </c>
      <c r="C441" s="30">
        <f t="shared" si="26"/>
        <v>2.0314496685698694E-2</v>
      </c>
      <c r="D441" s="30">
        <f t="shared" si="24"/>
        <v>0.19921817464764136</v>
      </c>
      <c r="E441" s="30">
        <f t="shared" si="25"/>
        <v>0.10576037537466269</v>
      </c>
    </row>
    <row r="442" spans="2:5" ht="13.9" customHeight="1" x14ac:dyDescent="0.25">
      <c r="B442" s="29">
        <f t="shared" si="27"/>
        <v>4.5880115273774686</v>
      </c>
      <c r="C442" s="30">
        <f t="shared" si="26"/>
        <v>2.0270219341222816E-2</v>
      </c>
      <c r="D442" s="30">
        <f t="shared" si="24"/>
        <v>0.19878396001356977</v>
      </c>
      <c r="E442" s="30">
        <f t="shared" si="25"/>
        <v>0.10599139352466558</v>
      </c>
    </row>
    <row r="443" spans="2:5" ht="13.9" customHeight="1" x14ac:dyDescent="0.25">
      <c r="B443" s="29">
        <f t="shared" si="27"/>
        <v>4.5980115273774684</v>
      </c>
      <c r="C443" s="30">
        <f t="shared" si="26"/>
        <v>2.0226134590193966E-2</v>
      </c>
      <c r="D443" s="30">
        <f t="shared" si="24"/>
        <v>0.19835163408565515</v>
      </c>
      <c r="E443" s="30">
        <f t="shared" si="25"/>
        <v>0.10622241167466846</v>
      </c>
    </row>
    <row r="444" spans="2:5" ht="13.9" customHeight="1" x14ac:dyDescent="0.25">
      <c r="B444" s="29">
        <f t="shared" si="27"/>
        <v>4.6080115273774682</v>
      </c>
      <c r="C444" s="30">
        <f t="shared" si="26"/>
        <v>2.0182241178751687E-2</v>
      </c>
      <c r="D444" s="30">
        <f t="shared" si="24"/>
        <v>0.19792118456766417</v>
      </c>
      <c r="E444" s="30">
        <f t="shared" si="25"/>
        <v>0.10645342982467135</v>
      </c>
    </row>
    <row r="445" spans="2:5" ht="13.9" customHeight="1" x14ac:dyDescent="0.25">
      <c r="B445" s="29">
        <f t="shared" si="27"/>
        <v>4.618011527377468</v>
      </c>
      <c r="C445" s="30">
        <f t="shared" si="26"/>
        <v>2.0138537863896144E-2</v>
      </c>
      <c r="D445" s="30">
        <f t="shared" si="24"/>
        <v>0.19749259926987031</v>
      </c>
      <c r="E445" s="30">
        <f t="shared" si="25"/>
        <v>0.10668444797467422</v>
      </c>
    </row>
    <row r="446" spans="2:5" ht="13.9" customHeight="1" x14ac:dyDescent="0.25">
      <c r="B446" s="29">
        <f t="shared" si="27"/>
        <v>4.6280115273774678</v>
      </c>
      <c r="C446" s="30">
        <f t="shared" si="26"/>
        <v>2.0095023413370761E-2</v>
      </c>
      <c r="D446" s="30">
        <f t="shared" si="24"/>
        <v>0.19706586610790303</v>
      </c>
      <c r="E446" s="30">
        <f t="shared" si="25"/>
        <v>0.10691546612467709</v>
      </c>
    </row>
    <row r="447" spans="2:5" ht="13.9" customHeight="1" x14ac:dyDescent="0.25">
      <c r="B447" s="29">
        <f t="shared" si="27"/>
        <v>4.6380115273774676</v>
      </c>
      <c r="C447" s="30">
        <f t="shared" si="26"/>
        <v>2.0051696605546433E-2</v>
      </c>
      <c r="D447" s="30">
        <f t="shared" si="24"/>
        <v>0.19664097310161219</v>
      </c>
      <c r="E447" s="30">
        <f t="shared" si="25"/>
        <v>0.10714648427467997</v>
      </c>
    </row>
    <row r="448" spans="2:5" ht="13.9" customHeight="1" x14ac:dyDescent="0.25">
      <c r="B448" s="29">
        <f t="shared" si="27"/>
        <v>4.6480115273774674</v>
      </c>
      <c r="C448" s="30">
        <f t="shared" si="26"/>
        <v>2.0008556229307178E-2</v>
      </c>
      <c r="D448" s="30">
        <f t="shared" si="24"/>
        <v>0.19621790837394668</v>
      </c>
      <c r="E448" s="30">
        <f t="shared" si="25"/>
        <v>0.10737750242468284</v>
      </c>
    </row>
    <row r="449" spans="2:5" ht="13.9" customHeight="1" x14ac:dyDescent="0.25">
      <c r="B449" s="29">
        <f t="shared" si="27"/>
        <v>4.6580115273774672</v>
      </c>
      <c r="C449" s="30">
        <f t="shared" si="26"/>
        <v>1.9965601083937301E-2</v>
      </c>
      <c r="D449" s="30">
        <f t="shared" si="24"/>
        <v>0.19579666014984792</v>
      </c>
      <c r="E449" s="30">
        <f t="shared" si="25"/>
        <v>0.10760852057468574</v>
      </c>
    </row>
    <row r="450" spans="2:5" ht="13.9" customHeight="1" x14ac:dyDescent="0.25">
      <c r="B450" s="29">
        <f t="shared" si="27"/>
        <v>4.6680115273774669</v>
      </c>
      <c r="C450" s="30">
        <f t="shared" si="26"/>
        <v>1.9922829979009987E-2</v>
      </c>
      <c r="D450" s="30">
        <f t="shared" si="24"/>
        <v>0.19537721675515723</v>
      </c>
      <c r="E450" s="30">
        <f t="shared" si="25"/>
        <v>0.1078395387246886</v>
      </c>
    </row>
    <row r="451" spans="2:5" ht="13.9" customHeight="1" x14ac:dyDescent="0.25">
      <c r="B451" s="29">
        <f t="shared" si="27"/>
        <v>4.6780115273774667</v>
      </c>
      <c r="C451" s="30">
        <f t="shared" si="26"/>
        <v>1.988024173427734E-2</v>
      </c>
      <c r="D451" s="30">
        <f t="shared" si="24"/>
        <v>0.19495956661553757</v>
      </c>
      <c r="E451" s="30">
        <f t="shared" si="25"/>
        <v>0.1080705568746915</v>
      </c>
    </row>
    <row r="452" spans="2:5" ht="13.9" customHeight="1" x14ac:dyDescent="0.25">
      <c r="B452" s="29">
        <f t="shared" si="27"/>
        <v>4.6880115273774665</v>
      </c>
      <c r="C452" s="30">
        <f t="shared" si="26"/>
        <v>1.9837835179561811E-2</v>
      </c>
      <c r="D452" s="30">
        <f t="shared" si="24"/>
        <v>0.19454369825540879</v>
      </c>
      <c r="E452" s="30">
        <f t="shared" si="25"/>
        <v>0.10830157502469437</v>
      </c>
    </row>
    <row r="453" spans="2:5" ht="13.9" customHeight="1" x14ac:dyDescent="0.25">
      <c r="B453" s="29">
        <f t="shared" si="27"/>
        <v>4.6980115273774663</v>
      </c>
      <c r="C453" s="30">
        <f t="shared" si="26"/>
        <v>1.9795609154649021E-2</v>
      </c>
      <c r="D453" s="30">
        <f t="shared" si="24"/>
        <v>0.19412960029689655</v>
      </c>
      <c r="E453" s="30">
        <f t="shared" si="25"/>
        <v>0.10853259317469727</v>
      </c>
    </row>
    <row r="454" spans="2:5" ht="13.9" customHeight="1" x14ac:dyDescent="0.25">
      <c r="B454" s="29">
        <f t="shared" si="27"/>
        <v>4.7080115273774661</v>
      </c>
      <c r="C454" s="30">
        <f t="shared" si="26"/>
        <v>1.9753562509181956E-2</v>
      </c>
      <c r="D454" s="30">
        <f t="shared" si="24"/>
        <v>0.19371726145879467</v>
      </c>
      <c r="E454" s="30">
        <f t="shared" si="25"/>
        <v>0.10876361132470012</v>
      </c>
    </row>
    <row r="455" spans="2:5" ht="13.9" customHeight="1" x14ac:dyDescent="0.25">
      <c r="B455" s="29">
        <f t="shared" si="27"/>
        <v>4.7180115273774659</v>
      </c>
      <c r="C455" s="30">
        <f t="shared" si="26"/>
        <v>1.9711694102556503E-2</v>
      </c>
      <c r="D455" s="30">
        <f t="shared" si="24"/>
        <v>0.19330667055554085</v>
      </c>
      <c r="E455" s="30">
        <f t="shared" si="25"/>
        <v>0.10899462947470301</v>
      </c>
    </row>
    <row r="456" spans="2:5" ht="13.9" customHeight="1" x14ac:dyDescent="0.25">
      <c r="B456" s="29">
        <f t="shared" si="27"/>
        <v>4.7280115273774657</v>
      </c>
      <c r="C456" s="30">
        <f t="shared" si="26"/>
        <v>1.9670002803818303E-2</v>
      </c>
      <c r="D456" s="30">
        <f t="shared" si="24"/>
        <v>0.19289781649620494</v>
      </c>
      <c r="E456" s="30">
        <f t="shared" si="25"/>
        <v>0.10922564762470591</v>
      </c>
    </row>
    <row r="457" spans="2:5" ht="13.9" customHeight="1" x14ac:dyDescent="0.25">
      <c r="B457" s="29">
        <f t="shared" si="27"/>
        <v>4.7380115273774654</v>
      </c>
      <c r="C457" s="30">
        <f t="shared" si="26"/>
        <v>1.9628487491560914E-2</v>
      </c>
      <c r="D457" s="30">
        <f t="shared" ref="D457:D520" si="28">C457*9.8067</f>
        <v>0.19249068828349039</v>
      </c>
      <c r="E457" s="30">
        <f t="shared" ref="E457:E520" si="29">((B457^2)/(4*PI()^2))*D457</f>
        <v>0.10945666577470876</v>
      </c>
    </row>
    <row r="458" spans="2:5" ht="13.9" customHeight="1" x14ac:dyDescent="0.25">
      <c r="B458" s="29">
        <f t="shared" si="27"/>
        <v>4.7480115273774652</v>
      </c>
      <c r="C458" s="30">
        <f t="shared" si="26"/>
        <v>1.9587147053825284E-2</v>
      </c>
      <c r="D458" s="30">
        <f t="shared" si="28"/>
        <v>0.19208527501274839</v>
      </c>
      <c r="E458" s="30">
        <f t="shared" si="29"/>
        <v>0.10968768392471166</v>
      </c>
    </row>
    <row r="459" spans="2:5" ht="13.9" customHeight="1" x14ac:dyDescent="0.25">
      <c r="B459" s="29">
        <f t="shared" si="27"/>
        <v>4.758011527377465</v>
      </c>
      <c r="C459" s="30">
        <f t="shared" si="26"/>
        <v>1.9545980388000449E-2</v>
      </c>
      <c r="D459" s="30">
        <f t="shared" si="28"/>
        <v>0.19168156587100399</v>
      </c>
      <c r="E459" s="30">
        <f t="shared" si="29"/>
        <v>0.10991870207471452</v>
      </c>
    </row>
    <row r="460" spans="2:5" ht="13.9" customHeight="1" x14ac:dyDescent="0.25">
      <c r="B460" s="29">
        <f t="shared" si="27"/>
        <v>4.7680115273774648</v>
      </c>
      <c r="C460" s="30">
        <f t="shared" si="26"/>
        <v>1.9504986400725528E-2</v>
      </c>
      <c r="D460" s="30">
        <f t="shared" si="28"/>
        <v>0.19127955013599501</v>
      </c>
      <c r="E460" s="30">
        <f t="shared" si="29"/>
        <v>0.11014972022471742</v>
      </c>
    </row>
    <row r="461" spans="2:5" ht="13.9" customHeight="1" x14ac:dyDescent="0.25">
      <c r="B461" s="29">
        <f t="shared" si="27"/>
        <v>4.7780115273774646</v>
      </c>
      <c r="C461" s="30">
        <f t="shared" ref="C461:C524" si="30">IF(B461&lt;6,$C$5/B461,6*$C$5/B461^2)</f>
        <v>1.9464164007792894E-2</v>
      </c>
      <c r="D461" s="30">
        <f t="shared" si="28"/>
        <v>0.19087921717522255</v>
      </c>
      <c r="E461" s="30">
        <f t="shared" si="29"/>
        <v>0.11038073837472027</v>
      </c>
    </row>
    <row r="462" spans="2:5" ht="13.9" customHeight="1" x14ac:dyDescent="0.25">
      <c r="B462" s="29">
        <f t="shared" ref="B462:B525" si="31">B461+0.01</f>
        <v>4.7880115273774644</v>
      </c>
      <c r="C462" s="30">
        <f t="shared" si="30"/>
        <v>1.942351213405262E-2</v>
      </c>
      <c r="D462" s="30">
        <f t="shared" si="28"/>
        <v>0.19048055644501383</v>
      </c>
      <c r="E462" s="30">
        <f t="shared" si="29"/>
        <v>0.11061175652472319</v>
      </c>
    </row>
    <row r="463" spans="2:5" ht="13.9" customHeight="1" x14ac:dyDescent="0.25">
      <c r="B463" s="29">
        <f t="shared" si="31"/>
        <v>4.7980115273774642</v>
      </c>
      <c r="C463" s="30">
        <f t="shared" si="30"/>
        <v>1.9383029713318067E-2</v>
      </c>
      <c r="D463" s="30">
        <f t="shared" si="28"/>
        <v>0.19008355748959627</v>
      </c>
      <c r="E463" s="30">
        <f t="shared" si="29"/>
        <v>0.11084277467472606</v>
      </c>
    </row>
    <row r="464" spans="2:5" ht="13.9" customHeight="1" x14ac:dyDescent="0.25">
      <c r="B464" s="29">
        <f t="shared" si="31"/>
        <v>4.808011527377464</v>
      </c>
      <c r="C464" s="30">
        <f t="shared" si="30"/>
        <v>1.9342715688272689E-2</v>
      </c>
      <c r="D464" s="30">
        <f t="shared" si="28"/>
        <v>0.18968820994018376</v>
      </c>
      <c r="E464" s="30">
        <f t="shared" si="29"/>
        <v>0.11107379282472894</v>
      </c>
    </row>
    <row r="465" spans="2:5" ht="13.9" customHeight="1" x14ac:dyDescent="0.25">
      <c r="B465" s="29">
        <f t="shared" si="31"/>
        <v>4.8180115273774637</v>
      </c>
      <c r="C465" s="30">
        <f t="shared" si="30"/>
        <v>1.9302569010377957E-2</v>
      </c>
      <c r="D465" s="30">
        <f t="shared" si="28"/>
        <v>0.18929450351407351</v>
      </c>
      <c r="E465" s="30">
        <f t="shared" si="29"/>
        <v>0.11130481097473183</v>
      </c>
    </row>
    <row r="466" spans="2:5" ht="13.9" customHeight="1" x14ac:dyDescent="0.25">
      <c r="B466" s="29">
        <f t="shared" si="31"/>
        <v>4.8280115273774635</v>
      </c>
      <c r="C466" s="30">
        <f t="shared" si="30"/>
        <v>1.9262588639782481E-2</v>
      </c>
      <c r="D466" s="30">
        <f t="shared" si="28"/>
        <v>0.18890242801375484</v>
      </c>
      <c r="E466" s="30">
        <f t="shared" si="29"/>
        <v>0.1115358291247347</v>
      </c>
    </row>
    <row r="467" spans="2:5" ht="13.9" customHeight="1" x14ac:dyDescent="0.25">
      <c r="B467" s="29">
        <f t="shared" si="31"/>
        <v>4.8380115273774633</v>
      </c>
      <c r="C467" s="30">
        <f t="shared" si="30"/>
        <v>1.9222773545232216E-2</v>
      </c>
      <c r="D467" s="30">
        <f t="shared" si="28"/>
        <v>0.18851197332602876</v>
      </c>
      <c r="E467" s="30">
        <f t="shared" si="29"/>
        <v>0.11176684727473758</v>
      </c>
    </row>
    <row r="468" spans="2:5" ht="13.9" customHeight="1" x14ac:dyDescent="0.25">
      <c r="B468" s="29">
        <f t="shared" si="31"/>
        <v>4.8480115273774631</v>
      </c>
      <c r="C468" s="30">
        <f t="shared" si="30"/>
        <v>1.9183122703981779E-2</v>
      </c>
      <c r="D468" s="30">
        <f t="shared" si="28"/>
        <v>0.1881231294211381</v>
      </c>
      <c r="E468" s="30">
        <f t="shared" si="29"/>
        <v>0.11199786542474045</v>
      </c>
    </row>
    <row r="469" spans="2:5" ht="13.9" customHeight="1" x14ac:dyDescent="0.25">
      <c r="B469" s="29">
        <f t="shared" si="31"/>
        <v>4.8580115273774629</v>
      </c>
      <c r="C469" s="30">
        <f t="shared" si="30"/>
        <v>1.9143635101706909E-2</v>
      </c>
      <c r="D469" s="30">
        <f t="shared" si="28"/>
        <v>0.18773588635190913</v>
      </c>
      <c r="E469" s="30">
        <f t="shared" si="29"/>
        <v>0.11222888357474334</v>
      </c>
    </row>
    <row r="470" spans="2:5" ht="13.9" customHeight="1" x14ac:dyDescent="0.25">
      <c r="B470" s="29">
        <f t="shared" si="31"/>
        <v>4.8680115273774627</v>
      </c>
      <c r="C470" s="30">
        <f t="shared" si="30"/>
        <v>1.9104309732417942E-2</v>
      </c>
      <c r="D470" s="30">
        <f t="shared" si="28"/>
        <v>0.18735023425290301</v>
      </c>
      <c r="E470" s="30">
        <f t="shared" si="29"/>
        <v>0.11245990172474622</v>
      </c>
    </row>
    <row r="471" spans="2:5" ht="13.9" customHeight="1" x14ac:dyDescent="0.25">
      <c r="B471" s="29">
        <f t="shared" si="31"/>
        <v>4.8780115273774625</v>
      </c>
      <c r="C471" s="30">
        <f t="shared" si="30"/>
        <v>1.9065145598374397E-2</v>
      </c>
      <c r="D471" s="30">
        <f t="shared" si="28"/>
        <v>0.18696616333957819</v>
      </c>
      <c r="E471" s="30">
        <f t="shared" si="29"/>
        <v>0.11269091987474912</v>
      </c>
    </row>
    <row r="472" spans="2:5" ht="13.9" customHeight="1" x14ac:dyDescent="0.25">
      <c r="B472" s="29">
        <f t="shared" si="31"/>
        <v>4.8880115273774623</v>
      </c>
      <c r="C472" s="30">
        <f t="shared" si="30"/>
        <v>1.9026141710000586E-2</v>
      </c>
      <c r="D472" s="30">
        <f t="shared" si="28"/>
        <v>0.18658366390746273</v>
      </c>
      <c r="E472" s="30">
        <f t="shared" si="29"/>
        <v>0.11292193802475199</v>
      </c>
    </row>
    <row r="473" spans="2:5" ht="13.9" customHeight="1" x14ac:dyDescent="0.25">
      <c r="B473" s="29">
        <f t="shared" si="31"/>
        <v>4.898011527377462</v>
      </c>
      <c r="C473" s="30">
        <f t="shared" si="30"/>
        <v>1.8987297085802268E-2</v>
      </c>
      <c r="D473" s="30">
        <f t="shared" si="28"/>
        <v>0.18620272633133708</v>
      </c>
      <c r="E473" s="30">
        <f t="shared" si="29"/>
        <v>0.11315295617475486</v>
      </c>
    </row>
    <row r="474" spans="2:5" ht="13.9" customHeight="1" x14ac:dyDescent="0.25">
      <c r="B474" s="29">
        <f t="shared" si="31"/>
        <v>4.9080115273774618</v>
      </c>
      <c r="C474" s="30">
        <f t="shared" si="30"/>
        <v>1.8948610752284326E-2</v>
      </c>
      <c r="D474" s="30">
        <f t="shared" si="28"/>
        <v>0.18582334106442669</v>
      </c>
      <c r="E474" s="30">
        <f t="shared" si="29"/>
        <v>0.11338397432475772</v>
      </c>
    </row>
    <row r="475" spans="2:5" ht="13.9" customHeight="1" x14ac:dyDescent="0.25">
      <c r="B475" s="29">
        <f t="shared" si="31"/>
        <v>4.9180115273774616</v>
      </c>
      <c r="C475" s="30">
        <f t="shared" si="30"/>
        <v>1.891008174386944E-2</v>
      </c>
      <c r="D475" s="30">
        <f t="shared" si="28"/>
        <v>0.18544549863760443</v>
      </c>
      <c r="E475" s="30">
        <f t="shared" si="29"/>
        <v>0.11361499247476062</v>
      </c>
    </row>
    <row r="476" spans="2:5" ht="13.9" customHeight="1" x14ac:dyDescent="0.25">
      <c r="B476" s="29">
        <f t="shared" si="31"/>
        <v>4.9280115273774614</v>
      </c>
      <c r="C476" s="30">
        <f t="shared" si="30"/>
        <v>1.8871709102817741E-2</v>
      </c>
      <c r="D476" s="30">
        <f t="shared" si="28"/>
        <v>0.18506918965860272</v>
      </c>
      <c r="E476" s="30">
        <f t="shared" si="29"/>
        <v>0.1138460106247635</v>
      </c>
    </row>
    <row r="477" spans="2:5" ht="13.9" customHeight="1" x14ac:dyDescent="0.25">
      <c r="B477" s="29">
        <f t="shared" si="31"/>
        <v>4.9380115273774612</v>
      </c>
      <c r="C477" s="30">
        <f t="shared" si="30"/>
        <v>1.8833491879147467E-2</v>
      </c>
      <c r="D477" s="30">
        <f t="shared" si="28"/>
        <v>0.18469440481123545</v>
      </c>
      <c r="E477" s="30">
        <f t="shared" si="29"/>
        <v>0.11407702877476637</v>
      </c>
    </row>
    <row r="478" spans="2:5" ht="13.9" customHeight="1" x14ac:dyDescent="0.25">
      <c r="B478" s="29">
        <f t="shared" si="31"/>
        <v>4.948011527377461</v>
      </c>
      <c r="C478" s="30">
        <f t="shared" si="30"/>
        <v>1.8795429130556561E-2</v>
      </c>
      <c r="D478" s="30">
        <f t="shared" si="28"/>
        <v>0.184321134854629</v>
      </c>
      <c r="E478" s="30">
        <f t="shared" si="29"/>
        <v>0.11430804692476924</v>
      </c>
    </row>
    <row r="479" spans="2:5" ht="13.9" customHeight="1" x14ac:dyDescent="0.25">
      <c r="B479" s="29">
        <f t="shared" si="31"/>
        <v>4.9580115273774608</v>
      </c>
      <c r="C479" s="30">
        <f t="shared" si="30"/>
        <v>1.8757519922345225E-2</v>
      </c>
      <c r="D479" s="30">
        <f t="shared" si="28"/>
        <v>0.18394937062246292</v>
      </c>
      <c r="E479" s="30">
        <f t="shared" si="29"/>
        <v>0.11453906507477214</v>
      </c>
    </row>
    <row r="480" spans="2:5" ht="13.9" customHeight="1" x14ac:dyDescent="0.25">
      <c r="B480" s="29">
        <f t="shared" si="31"/>
        <v>4.9680115273774605</v>
      </c>
      <c r="C480" s="30">
        <f t="shared" si="30"/>
        <v>1.8719763327339402E-2</v>
      </c>
      <c r="D480" s="30">
        <f t="shared" si="28"/>
        <v>0.1835791030222193</v>
      </c>
      <c r="E480" s="30">
        <f t="shared" si="29"/>
        <v>0.11477008322477503</v>
      </c>
    </row>
    <row r="481" spans="2:5" ht="13.9" customHeight="1" x14ac:dyDescent="0.25">
      <c r="B481" s="29">
        <f t="shared" si="31"/>
        <v>4.9780115273774603</v>
      </c>
      <c r="C481" s="30">
        <f t="shared" si="30"/>
        <v>1.8682158425815196E-2</v>
      </c>
      <c r="D481" s="30">
        <f t="shared" si="28"/>
        <v>0.18321032303444187</v>
      </c>
      <c r="E481" s="30">
        <f t="shared" si="29"/>
        <v>0.1150011013747779</v>
      </c>
    </row>
    <row r="482" spans="2:5" ht="13.9" customHeight="1" x14ac:dyDescent="0.25">
      <c r="B482" s="29">
        <f t="shared" si="31"/>
        <v>4.9880115273774601</v>
      </c>
      <c r="C482" s="30">
        <f t="shared" si="30"/>
        <v>1.8644704305424184E-2</v>
      </c>
      <c r="D482" s="30">
        <f t="shared" si="28"/>
        <v>0.18284302171200334</v>
      </c>
      <c r="E482" s="30">
        <f t="shared" si="29"/>
        <v>0.11523211952478078</v>
      </c>
    </row>
    <row r="483" spans="2:5" ht="13.9" customHeight="1" x14ac:dyDescent="0.25">
      <c r="B483" s="29">
        <f t="shared" si="31"/>
        <v>4.9980115273774599</v>
      </c>
      <c r="C483" s="30">
        <f t="shared" si="30"/>
        <v>1.8607400061119637E-2</v>
      </c>
      <c r="D483" s="30">
        <f t="shared" si="28"/>
        <v>0.18247719017938194</v>
      </c>
      <c r="E483" s="30">
        <f t="shared" si="29"/>
        <v>0.11546313767478368</v>
      </c>
    </row>
    <row r="484" spans="2:5" ht="13.9" customHeight="1" x14ac:dyDescent="0.25">
      <c r="B484" s="29">
        <f t="shared" si="31"/>
        <v>5.0080115273774597</v>
      </c>
      <c r="C484" s="30">
        <f t="shared" si="30"/>
        <v>1.8570244795083613E-2</v>
      </c>
      <c r="D484" s="30">
        <f t="shared" si="28"/>
        <v>0.18211281963194645</v>
      </c>
      <c r="E484" s="30">
        <f t="shared" si="29"/>
        <v>0.11569415582478657</v>
      </c>
    </row>
    <row r="485" spans="2:5" ht="13.9" customHeight="1" x14ac:dyDescent="0.25">
      <c r="B485" s="29">
        <f t="shared" si="31"/>
        <v>5.0180115273774595</v>
      </c>
      <c r="C485" s="30">
        <f t="shared" si="30"/>
        <v>1.8533237616654933E-2</v>
      </c>
      <c r="D485" s="30">
        <f t="shared" si="28"/>
        <v>0.18174990133524993</v>
      </c>
      <c r="E485" s="30">
        <f t="shared" si="29"/>
        <v>0.11592517397478945</v>
      </c>
    </row>
    <row r="486" spans="2:5" ht="13.9" customHeight="1" x14ac:dyDescent="0.25">
      <c r="B486" s="29">
        <f t="shared" si="31"/>
        <v>5.0280115273774593</v>
      </c>
      <c r="C486" s="30">
        <f t="shared" si="30"/>
        <v>1.8496377642258012E-2</v>
      </c>
      <c r="D486" s="30">
        <f t="shared" si="28"/>
        <v>0.18138842662433163</v>
      </c>
      <c r="E486" s="30">
        <f t="shared" si="29"/>
        <v>0.11615619212479231</v>
      </c>
    </row>
    <row r="487" spans="2:5" ht="13.9" customHeight="1" x14ac:dyDescent="0.25">
      <c r="B487" s="29">
        <f t="shared" si="31"/>
        <v>5.0380115273774591</v>
      </c>
      <c r="C487" s="30">
        <f t="shared" si="30"/>
        <v>1.8459663995332543E-2</v>
      </c>
      <c r="D487" s="30">
        <f t="shared" si="28"/>
        <v>0.18102838690302764</v>
      </c>
      <c r="E487" s="30">
        <f t="shared" si="29"/>
        <v>0.11638721027479518</v>
      </c>
    </row>
    <row r="488" spans="2:5" ht="13.9" customHeight="1" x14ac:dyDescent="0.25">
      <c r="B488" s="29">
        <f t="shared" si="31"/>
        <v>5.0480115273774588</v>
      </c>
      <c r="C488" s="30">
        <f t="shared" si="30"/>
        <v>1.8423095806264E-2</v>
      </c>
      <c r="D488" s="30">
        <f t="shared" si="28"/>
        <v>0.18066977364328915</v>
      </c>
      <c r="E488" s="30">
        <f t="shared" si="29"/>
        <v>0.11661822842479806</v>
      </c>
    </row>
    <row r="489" spans="2:5" ht="13.9" customHeight="1" x14ac:dyDescent="0.25">
      <c r="B489" s="29">
        <f t="shared" si="31"/>
        <v>5.0580115273774586</v>
      </c>
      <c r="C489" s="30">
        <f t="shared" si="30"/>
        <v>1.8386672212314985E-2</v>
      </c>
      <c r="D489" s="30">
        <f t="shared" si="28"/>
        <v>0.18031257838450934</v>
      </c>
      <c r="E489" s="30">
        <f t="shared" si="29"/>
        <v>0.11684924657480093</v>
      </c>
    </row>
    <row r="490" spans="2:5" ht="13.9" customHeight="1" x14ac:dyDescent="0.25">
      <c r="B490" s="29">
        <f t="shared" si="31"/>
        <v>5.0680115273774584</v>
      </c>
      <c r="C490" s="30">
        <f t="shared" si="30"/>
        <v>1.8350392357557376E-2</v>
      </c>
      <c r="D490" s="30">
        <f t="shared" si="28"/>
        <v>0.17995679273285792</v>
      </c>
      <c r="E490" s="30">
        <f t="shared" si="29"/>
        <v>0.11708026472480383</v>
      </c>
    </row>
    <row r="491" spans="2:5" ht="13.9" customHeight="1" x14ac:dyDescent="0.25">
      <c r="B491" s="29">
        <f t="shared" si="31"/>
        <v>5.0780115273774582</v>
      </c>
      <c r="C491" s="30">
        <f t="shared" si="30"/>
        <v>1.8314255392805283E-2</v>
      </c>
      <c r="D491" s="30">
        <f t="shared" si="28"/>
        <v>0.17960240836062355</v>
      </c>
      <c r="E491" s="30">
        <f t="shared" si="29"/>
        <v>0.11731128287480673</v>
      </c>
    </row>
    <row r="492" spans="2:5" ht="13.9" customHeight="1" x14ac:dyDescent="0.25">
      <c r="B492" s="29">
        <f t="shared" si="31"/>
        <v>5.088011527377458</v>
      </c>
      <c r="C492" s="30">
        <f t="shared" si="30"/>
        <v>1.8278260475548785E-2</v>
      </c>
      <c r="D492" s="30">
        <f t="shared" si="28"/>
        <v>0.17924941700556427</v>
      </c>
      <c r="E492" s="30">
        <f t="shared" si="29"/>
        <v>0.1175423010248096</v>
      </c>
    </row>
    <row r="493" spans="2:5" ht="13.9" customHeight="1" x14ac:dyDescent="0.25">
      <c r="B493" s="29">
        <f t="shared" si="31"/>
        <v>5.0980115273774578</v>
      </c>
      <c r="C493" s="30">
        <f t="shared" si="30"/>
        <v>1.8242406769888472E-2</v>
      </c>
      <c r="D493" s="30">
        <f t="shared" si="28"/>
        <v>0.17889781047026526</v>
      </c>
      <c r="E493" s="30">
        <f t="shared" si="29"/>
        <v>0.11777331917481249</v>
      </c>
    </row>
    <row r="494" spans="2:5" ht="13.9" customHeight="1" x14ac:dyDescent="0.25">
      <c r="B494" s="29">
        <f t="shared" si="31"/>
        <v>5.1080115273774576</v>
      </c>
      <c r="C494" s="30">
        <f t="shared" si="30"/>
        <v>1.8206693446470711E-2</v>
      </c>
      <c r="D494" s="30">
        <f t="shared" si="28"/>
        <v>0.1785475806215043</v>
      </c>
      <c r="E494" s="30">
        <f t="shared" si="29"/>
        <v>0.11800433732481536</v>
      </c>
    </row>
    <row r="495" spans="2:5" ht="13.9" customHeight="1" x14ac:dyDescent="0.25">
      <c r="B495" s="29">
        <f t="shared" si="31"/>
        <v>5.1180115273774573</v>
      </c>
      <c r="C495" s="30">
        <f t="shared" si="30"/>
        <v>1.8171119682423721E-2</v>
      </c>
      <c r="D495" s="30">
        <f t="shared" si="28"/>
        <v>0.1781987193896247</v>
      </c>
      <c r="E495" s="30">
        <f t="shared" si="29"/>
        <v>0.11823535547481824</v>
      </c>
    </row>
    <row r="496" spans="2:5" ht="13.9" customHeight="1" x14ac:dyDescent="0.25">
      <c r="B496" s="29">
        <f t="shared" si="31"/>
        <v>5.1280115273774571</v>
      </c>
      <c r="C496" s="30">
        <f t="shared" si="30"/>
        <v>1.8135684661294359E-2</v>
      </c>
      <c r="D496" s="30">
        <f t="shared" si="28"/>
        <v>0.17785121876791538</v>
      </c>
      <c r="E496" s="30">
        <f t="shared" si="29"/>
        <v>0.11846637362482114</v>
      </c>
    </row>
    <row r="497" spans="2:5" ht="13.9" customHeight="1" x14ac:dyDescent="0.25">
      <c r="B497" s="29">
        <f t="shared" si="31"/>
        <v>5.1380115273774569</v>
      </c>
      <c r="C497" s="30">
        <f t="shared" si="30"/>
        <v>1.8100387572985661E-2</v>
      </c>
      <c r="D497" s="30">
        <f t="shared" si="28"/>
        <v>0.17750507081199848</v>
      </c>
      <c r="E497" s="30">
        <f t="shared" si="29"/>
        <v>0.11869739177482401</v>
      </c>
    </row>
    <row r="498" spans="2:5" ht="13.9" customHeight="1" x14ac:dyDescent="0.25">
      <c r="B498" s="29">
        <f t="shared" si="31"/>
        <v>5.1480115273774567</v>
      </c>
      <c r="C498" s="30">
        <f t="shared" si="30"/>
        <v>1.8065227613695115E-2</v>
      </c>
      <c r="D498" s="30">
        <f t="shared" si="28"/>
        <v>0.17716026763922388</v>
      </c>
      <c r="E498" s="30">
        <f t="shared" si="29"/>
        <v>0.11892840992482688</v>
      </c>
    </row>
    <row r="499" spans="2:5" ht="13.9" customHeight="1" x14ac:dyDescent="0.25">
      <c r="B499" s="29">
        <f t="shared" si="31"/>
        <v>5.1580115273774565</v>
      </c>
      <c r="C499" s="30">
        <f t="shared" si="30"/>
        <v>1.8030203985853633E-2</v>
      </c>
      <c r="D499" s="30">
        <f t="shared" si="28"/>
        <v>0.1768168014280708</v>
      </c>
      <c r="E499" s="30">
        <f t="shared" si="29"/>
        <v>0.11915942807482977</v>
      </c>
    </row>
    <row r="500" spans="2:5" ht="13.9" customHeight="1" x14ac:dyDescent="0.25">
      <c r="B500" s="29">
        <f t="shared" si="31"/>
        <v>5.1680115273774563</v>
      </c>
      <c r="C500" s="30">
        <f t="shared" si="30"/>
        <v>1.7995315898065248E-2</v>
      </c>
      <c r="D500" s="30">
        <f t="shared" si="28"/>
        <v>0.17647466441755646</v>
      </c>
      <c r="E500" s="30">
        <f t="shared" si="29"/>
        <v>0.11939044622483265</v>
      </c>
    </row>
    <row r="501" spans="2:5" ht="13.9" customHeight="1" x14ac:dyDescent="0.25">
      <c r="B501" s="29">
        <f t="shared" si="31"/>
        <v>5.1780115273774561</v>
      </c>
      <c r="C501" s="30">
        <f t="shared" si="30"/>
        <v>1.7960562565047508E-2</v>
      </c>
      <c r="D501" s="30">
        <f t="shared" si="28"/>
        <v>0.17613384890665137</v>
      </c>
      <c r="E501" s="30">
        <f t="shared" si="29"/>
        <v>0.11962146437483552</v>
      </c>
    </row>
    <row r="502" spans="2:5" ht="13.9" customHeight="1" x14ac:dyDescent="0.25">
      <c r="B502" s="29">
        <f t="shared" si="31"/>
        <v>5.1880115273774559</v>
      </c>
      <c r="C502" s="30">
        <f t="shared" si="30"/>
        <v>1.7925943207572549E-2</v>
      </c>
      <c r="D502" s="30">
        <f t="shared" si="28"/>
        <v>0.17579434725370172</v>
      </c>
      <c r="E502" s="30">
        <f t="shared" si="29"/>
        <v>0.11985248252483841</v>
      </c>
    </row>
    <row r="503" spans="2:5" ht="13.9" customHeight="1" x14ac:dyDescent="0.25">
      <c r="B503" s="29">
        <f t="shared" si="31"/>
        <v>5.1980115273774556</v>
      </c>
      <c r="C503" s="30">
        <f t="shared" si="30"/>
        <v>1.7891457052408872E-2</v>
      </c>
      <c r="D503" s="30">
        <f t="shared" si="28"/>
        <v>0.17545615187585809</v>
      </c>
      <c r="E503" s="30">
        <f t="shared" si="29"/>
        <v>0.12008350067484129</v>
      </c>
    </row>
    <row r="504" spans="2:5" ht="13.9" customHeight="1" x14ac:dyDescent="0.25">
      <c r="B504" s="29">
        <f t="shared" si="31"/>
        <v>5.2080115273774554</v>
      </c>
      <c r="C504" s="30">
        <f t="shared" si="30"/>
        <v>1.7857103332263754E-2</v>
      </c>
      <c r="D504" s="30">
        <f t="shared" si="28"/>
        <v>0.17511925524851094</v>
      </c>
      <c r="E504" s="30">
        <f t="shared" si="29"/>
        <v>0.12031451882484417</v>
      </c>
    </row>
    <row r="505" spans="2:5" ht="13.9" customHeight="1" x14ac:dyDescent="0.25">
      <c r="B505" s="29">
        <f t="shared" si="31"/>
        <v>5.2180115273774552</v>
      </c>
      <c r="C505" s="30">
        <f t="shared" si="30"/>
        <v>1.7822881285726348E-2</v>
      </c>
      <c r="D505" s="30">
        <f t="shared" si="28"/>
        <v>0.17478364990473255</v>
      </c>
      <c r="E505" s="30">
        <f t="shared" si="29"/>
        <v>0.12054553697484705</v>
      </c>
    </row>
    <row r="506" spans="2:5" ht="13.9" customHeight="1" x14ac:dyDescent="0.25">
      <c r="B506" s="29">
        <f t="shared" si="31"/>
        <v>5.228011527377455</v>
      </c>
      <c r="C506" s="30">
        <f t="shared" si="30"/>
        <v>1.7788790157211437E-2</v>
      </c>
      <c r="D506" s="30">
        <f t="shared" si="28"/>
        <v>0.17444932843472538</v>
      </c>
      <c r="E506" s="30">
        <f t="shared" si="29"/>
        <v>0.12077655512484992</v>
      </c>
    </row>
    <row r="507" spans="2:5" ht="13.9" customHeight="1" x14ac:dyDescent="0.25">
      <c r="B507" s="29">
        <f t="shared" si="31"/>
        <v>5.2380115273774548</v>
      </c>
      <c r="C507" s="30">
        <f t="shared" si="30"/>
        <v>1.7754829196903819E-2</v>
      </c>
      <c r="D507" s="30">
        <f t="shared" si="28"/>
        <v>0.17411628348527666</v>
      </c>
      <c r="E507" s="30">
        <f t="shared" si="29"/>
        <v>0.1210075732748528</v>
      </c>
    </row>
    <row r="508" spans="2:5" ht="13.9" customHeight="1" x14ac:dyDescent="0.25">
      <c r="B508" s="29">
        <f t="shared" si="31"/>
        <v>5.2480115273774546</v>
      </c>
      <c r="C508" s="30">
        <f t="shared" si="30"/>
        <v>1.7720997660703335E-2</v>
      </c>
      <c r="D508" s="30">
        <f t="shared" si="28"/>
        <v>0.17378450775921939</v>
      </c>
      <c r="E508" s="30">
        <f t="shared" si="29"/>
        <v>0.12123859142485569</v>
      </c>
    </row>
    <row r="509" spans="2:5" ht="13.9" customHeight="1" x14ac:dyDescent="0.25">
      <c r="B509" s="29">
        <f t="shared" si="31"/>
        <v>5.2580115273774544</v>
      </c>
      <c r="C509" s="30">
        <f t="shared" si="30"/>
        <v>1.7687294810170517E-2</v>
      </c>
      <c r="D509" s="30">
        <f t="shared" si="28"/>
        <v>0.17345399401489919</v>
      </c>
      <c r="E509" s="30">
        <f t="shared" si="29"/>
        <v>0.12146960957485856</v>
      </c>
    </row>
    <row r="510" spans="2:5" ht="13.9" customHeight="1" x14ac:dyDescent="0.25">
      <c r="B510" s="29">
        <f t="shared" si="31"/>
        <v>5.2680115273774542</v>
      </c>
      <c r="C510" s="30">
        <f t="shared" si="30"/>
        <v>1.7653719912472873E-2</v>
      </c>
      <c r="D510" s="30">
        <f t="shared" si="28"/>
        <v>0.17312473506564771</v>
      </c>
      <c r="E510" s="30">
        <f t="shared" si="29"/>
        <v>0.12170062772486144</v>
      </c>
    </row>
    <row r="511" spans="2:5" ht="13.9" customHeight="1" x14ac:dyDescent="0.25">
      <c r="B511" s="29">
        <f t="shared" si="31"/>
        <v>5.2780115273774539</v>
      </c>
      <c r="C511" s="30">
        <f t="shared" si="30"/>
        <v>1.7620272240331764E-2</v>
      </c>
      <c r="D511" s="30">
        <f t="shared" si="28"/>
        <v>0.1727967237792615</v>
      </c>
      <c r="E511" s="30">
        <f t="shared" si="29"/>
        <v>0.12193164587486433</v>
      </c>
    </row>
    <row r="512" spans="2:5" ht="13.9" customHeight="1" x14ac:dyDescent="0.25">
      <c r="B512" s="29">
        <f t="shared" si="31"/>
        <v>5.2880115273774537</v>
      </c>
      <c r="C512" s="30">
        <f t="shared" si="30"/>
        <v>1.7586951071969881E-2</v>
      </c>
      <c r="D512" s="30">
        <f t="shared" si="28"/>
        <v>0.17246995307748703</v>
      </c>
      <c r="E512" s="30">
        <f t="shared" si="29"/>
        <v>0.12216266402486722</v>
      </c>
    </row>
    <row r="513" spans="2:5" ht="13.9" customHeight="1" x14ac:dyDescent="0.25">
      <c r="B513" s="29">
        <f t="shared" si="31"/>
        <v>5.2980115273774535</v>
      </c>
      <c r="C513" s="30">
        <f t="shared" si="30"/>
        <v>1.7553755691059346E-2</v>
      </c>
      <c r="D513" s="30">
        <f t="shared" si="28"/>
        <v>0.17214441593551166</v>
      </c>
      <c r="E513" s="30">
        <f t="shared" si="29"/>
        <v>0.12239368217487007</v>
      </c>
    </row>
    <row r="514" spans="2:5" ht="13.9" customHeight="1" x14ac:dyDescent="0.25">
      <c r="B514" s="29">
        <f t="shared" si="31"/>
        <v>5.3080115273774533</v>
      </c>
      <c r="C514" s="30">
        <f t="shared" si="30"/>
        <v>1.7520685386670367E-2</v>
      </c>
      <c r="D514" s="30">
        <f t="shared" si="28"/>
        <v>0.17182010538146028</v>
      </c>
      <c r="E514" s="30">
        <f t="shared" si="29"/>
        <v>0.12262470032487297</v>
      </c>
    </row>
    <row r="515" spans="2:5" ht="13.9" customHeight="1" x14ac:dyDescent="0.25">
      <c r="B515" s="29">
        <f t="shared" si="31"/>
        <v>5.3180115273774531</v>
      </c>
      <c r="C515" s="30">
        <f t="shared" si="30"/>
        <v>1.7487739453220481E-2</v>
      </c>
      <c r="D515" s="30">
        <f t="shared" si="28"/>
        <v>0.17149701449589727</v>
      </c>
      <c r="E515" s="30">
        <f t="shared" si="29"/>
        <v>0.12285571847487584</v>
      </c>
    </row>
    <row r="516" spans="2:5" ht="13.9" customHeight="1" x14ac:dyDescent="0.25">
      <c r="B516" s="29">
        <f t="shared" si="31"/>
        <v>5.3280115273774529</v>
      </c>
      <c r="C516" s="30">
        <f t="shared" si="30"/>
        <v>1.7454917190424388E-2</v>
      </c>
      <c r="D516" s="30">
        <f t="shared" si="28"/>
        <v>0.17117513641133483</v>
      </c>
      <c r="E516" s="30">
        <f t="shared" si="29"/>
        <v>0.12308673662487872</v>
      </c>
    </row>
    <row r="517" spans="2:5" ht="13.9" customHeight="1" x14ac:dyDescent="0.25">
      <c r="B517" s="29">
        <f t="shared" si="31"/>
        <v>5.3380115273774527</v>
      </c>
      <c r="C517" s="30">
        <f t="shared" si="30"/>
        <v>1.7422217903244316E-2</v>
      </c>
      <c r="D517" s="30">
        <f t="shared" si="28"/>
        <v>0.17085446431174603</v>
      </c>
      <c r="E517" s="30">
        <f t="shared" si="29"/>
        <v>0.12331775477488162</v>
      </c>
    </row>
    <row r="518" spans="2:5" ht="13.9" customHeight="1" x14ac:dyDescent="0.25">
      <c r="B518" s="29">
        <f t="shared" si="31"/>
        <v>5.3480115273774524</v>
      </c>
      <c r="C518" s="30">
        <f t="shared" si="30"/>
        <v>1.7389640901840982E-2</v>
      </c>
      <c r="D518" s="30">
        <f t="shared" si="28"/>
        <v>0.17053499143208395</v>
      </c>
      <c r="E518" s="30">
        <f t="shared" si="29"/>
        <v>0.1235487729248845</v>
      </c>
    </row>
    <row r="519" spans="2:5" ht="13.9" customHeight="1" x14ac:dyDescent="0.25">
      <c r="B519" s="29">
        <f t="shared" si="31"/>
        <v>5.3580115273774522</v>
      </c>
      <c r="C519" s="30">
        <f t="shared" si="30"/>
        <v>1.7357185501525048E-2</v>
      </c>
      <c r="D519" s="30">
        <f t="shared" si="28"/>
        <v>0.17021671105780567</v>
      </c>
      <c r="E519" s="30">
        <f t="shared" si="29"/>
        <v>0.12377979107488736</v>
      </c>
    </row>
    <row r="520" spans="2:5" ht="13.9" customHeight="1" x14ac:dyDescent="0.25">
      <c r="B520" s="29">
        <f t="shared" si="31"/>
        <v>5.368011527377452</v>
      </c>
      <c r="C520" s="30">
        <f t="shared" si="30"/>
        <v>1.7324851022709194E-2</v>
      </c>
      <c r="D520" s="30">
        <f t="shared" si="28"/>
        <v>0.16989961652440225</v>
      </c>
      <c r="E520" s="30">
        <f t="shared" si="29"/>
        <v>0.12401080922489024</v>
      </c>
    </row>
    <row r="521" spans="2:5" ht="13.9" customHeight="1" x14ac:dyDescent="0.25">
      <c r="B521" s="29">
        <f t="shared" si="31"/>
        <v>5.3780115273774518</v>
      </c>
      <c r="C521" s="30">
        <f t="shared" si="30"/>
        <v>1.7292636790860651E-2</v>
      </c>
      <c r="D521" s="30">
        <f t="shared" ref="D521:D584" si="32">C521*9.8067</f>
        <v>0.16958370121693314</v>
      </c>
      <c r="E521" s="30">
        <f t="shared" ref="E521:E584" si="33">((B521^2)/(4*PI()^2))*D521</f>
        <v>0.12424182737489314</v>
      </c>
    </row>
    <row r="522" spans="2:5" ht="13.9" customHeight="1" x14ac:dyDescent="0.25">
      <c r="B522" s="29">
        <f t="shared" si="31"/>
        <v>5.3880115273774516</v>
      </c>
      <c r="C522" s="30">
        <f t="shared" si="30"/>
        <v>1.7260542136454299E-2</v>
      </c>
      <c r="D522" s="30">
        <f t="shared" si="32"/>
        <v>0.16926895856956636</v>
      </c>
      <c r="E522" s="30">
        <f t="shared" si="33"/>
        <v>0.124472845524896</v>
      </c>
    </row>
    <row r="523" spans="2:5" ht="13.9" customHeight="1" x14ac:dyDescent="0.25">
      <c r="B523" s="29">
        <f t="shared" si="31"/>
        <v>5.3980115273774514</v>
      </c>
      <c r="C523" s="30">
        <f t="shared" si="30"/>
        <v>1.7228566394926311E-2</v>
      </c>
      <c r="D523" s="30">
        <f t="shared" si="32"/>
        <v>0.16895538206512384</v>
      </c>
      <c r="E523" s="30">
        <f t="shared" si="33"/>
        <v>0.12470386367489888</v>
      </c>
    </row>
    <row r="524" spans="2:5" ht="13.9" customHeight="1" x14ac:dyDescent="0.25">
      <c r="B524" s="29">
        <f t="shared" si="31"/>
        <v>5.4080115273774512</v>
      </c>
      <c r="C524" s="30">
        <f t="shared" si="30"/>
        <v>1.7196708906628239E-2</v>
      </c>
      <c r="D524" s="30">
        <f t="shared" si="32"/>
        <v>0.16864296523463115</v>
      </c>
      <c r="E524" s="30">
        <f t="shared" si="33"/>
        <v>0.12493488182490178</v>
      </c>
    </row>
    <row r="525" spans="2:5" ht="13.9" customHeight="1" x14ac:dyDescent="0.25">
      <c r="B525" s="29">
        <f t="shared" si="31"/>
        <v>5.418011527377451</v>
      </c>
      <c r="C525" s="30">
        <f t="shared" ref="C525:C588" si="34">IF(B525&lt;6,$C$5/B525,6*$C$5/B525^2)</f>
        <v>1.7164969016781693E-2</v>
      </c>
      <c r="D525" s="30">
        <f t="shared" si="32"/>
        <v>0.168331701656873</v>
      </c>
      <c r="E525" s="30">
        <f t="shared" si="33"/>
        <v>0.12516589997490463</v>
      </c>
    </row>
    <row r="526" spans="2:5" ht="13.9" customHeight="1" x14ac:dyDescent="0.25">
      <c r="B526" s="29">
        <f t="shared" ref="B526:B589" si="35">B525+0.01</f>
        <v>5.4280115273774507</v>
      </c>
      <c r="C526" s="30">
        <f t="shared" si="34"/>
        <v>1.7133346075433455E-2</v>
      </c>
      <c r="D526" s="30">
        <f t="shared" si="32"/>
        <v>0.16802158495795325</v>
      </c>
      <c r="E526" s="30">
        <f t="shared" si="33"/>
        <v>0.12539691812490752</v>
      </c>
    </row>
    <row r="527" spans="2:5" ht="13.9" customHeight="1" x14ac:dyDescent="0.25">
      <c r="B527" s="29">
        <f t="shared" si="35"/>
        <v>5.4380115273774505</v>
      </c>
      <c r="C527" s="30">
        <f t="shared" si="34"/>
        <v>1.7101839437411125E-2</v>
      </c>
      <c r="D527" s="30">
        <f t="shared" si="32"/>
        <v>0.16771260881085967</v>
      </c>
      <c r="E527" s="30">
        <f t="shared" si="33"/>
        <v>0.1256279362749104</v>
      </c>
    </row>
    <row r="528" spans="2:5" ht="13.9" customHeight="1" x14ac:dyDescent="0.25">
      <c r="B528" s="29">
        <f t="shared" si="35"/>
        <v>5.4480115273774503</v>
      </c>
      <c r="C528" s="30">
        <f t="shared" si="34"/>
        <v>1.7070448462279245E-2</v>
      </c>
      <c r="D528" s="30">
        <f t="shared" si="32"/>
        <v>0.16740476693503387</v>
      </c>
      <c r="E528" s="30">
        <f t="shared" si="33"/>
        <v>0.12585895442491329</v>
      </c>
    </row>
    <row r="529" spans="2:5" ht="13.9" customHeight="1" x14ac:dyDescent="0.25">
      <c r="B529" s="29">
        <f t="shared" si="35"/>
        <v>5.4580115273774501</v>
      </c>
      <c r="C529" s="30">
        <f t="shared" si="34"/>
        <v>1.7039172514295892E-2</v>
      </c>
      <c r="D529" s="30">
        <f t="shared" si="32"/>
        <v>0.16709805309594553</v>
      </c>
      <c r="E529" s="30">
        <f t="shared" si="33"/>
        <v>0.12608997257491616</v>
      </c>
    </row>
    <row r="530" spans="2:5" ht="13.9" customHeight="1" x14ac:dyDescent="0.25">
      <c r="B530" s="29">
        <f t="shared" si="35"/>
        <v>5.4680115273774499</v>
      </c>
      <c r="C530" s="30">
        <f t="shared" si="34"/>
        <v>1.7008010962369782E-2</v>
      </c>
      <c r="D530" s="30">
        <f t="shared" si="32"/>
        <v>0.16679246110467172</v>
      </c>
      <c r="E530" s="30">
        <f t="shared" si="33"/>
        <v>0.12632099072491906</v>
      </c>
    </row>
    <row r="531" spans="2:5" ht="13.9" customHeight="1" x14ac:dyDescent="0.25">
      <c r="B531" s="29">
        <f t="shared" si="35"/>
        <v>5.4780115273774497</v>
      </c>
      <c r="C531" s="30">
        <f t="shared" si="34"/>
        <v>1.6976963180017794E-2</v>
      </c>
      <c r="D531" s="30">
        <f t="shared" si="32"/>
        <v>0.16648798481748048</v>
      </c>
      <c r="E531" s="30">
        <f t="shared" si="33"/>
        <v>0.12655200887492193</v>
      </c>
    </row>
    <row r="532" spans="2:5" ht="13.9" customHeight="1" x14ac:dyDescent="0.25">
      <c r="B532" s="29">
        <f t="shared" si="35"/>
        <v>5.4880115273774495</v>
      </c>
      <c r="C532" s="30">
        <f t="shared" si="34"/>
        <v>1.6946028545323011E-2</v>
      </c>
      <c r="D532" s="30">
        <f t="shared" si="32"/>
        <v>0.16618461813541915</v>
      </c>
      <c r="E532" s="30">
        <f t="shared" si="33"/>
        <v>0.1267830270249248</v>
      </c>
    </row>
    <row r="533" spans="2:5" ht="13.9" customHeight="1" x14ac:dyDescent="0.25">
      <c r="B533" s="29">
        <f t="shared" si="35"/>
        <v>5.4980115273774492</v>
      </c>
      <c r="C533" s="30">
        <f t="shared" si="34"/>
        <v>1.6915206440893185E-2</v>
      </c>
      <c r="D533" s="30">
        <f t="shared" si="32"/>
        <v>0.16588235500390719</v>
      </c>
      <c r="E533" s="30">
        <f t="shared" si="33"/>
        <v>0.1270140451749277</v>
      </c>
    </row>
    <row r="534" spans="2:5" ht="13.9" customHeight="1" x14ac:dyDescent="0.25">
      <c r="B534" s="29">
        <f t="shared" si="35"/>
        <v>5.508011527377449</v>
      </c>
      <c r="C534" s="30">
        <f t="shared" si="34"/>
        <v>1.6884496253819652E-2</v>
      </c>
      <c r="D534" s="30">
        <f t="shared" si="32"/>
        <v>0.16558118941233316</v>
      </c>
      <c r="E534" s="30">
        <f t="shared" si="33"/>
        <v>0.12724506332493057</v>
      </c>
    </row>
    <row r="535" spans="2:5" ht="13.9" customHeight="1" x14ac:dyDescent="0.25">
      <c r="B535" s="29">
        <f t="shared" si="35"/>
        <v>5.5180115273774488</v>
      </c>
      <c r="C535" s="30">
        <f t="shared" si="34"/>
        <v>1.685389737563673E-2</v>
      </c>
      <c r="D535" s="30">
        <f t="shared" si="32"/>
        <v>0.1652811153936567</v>
      </c>
      <c r="E535" s="30">
        <f t="shared" si="33"/>
        <v>0.12747608147493347</v>
      </c>
    </row>
    <row r="536" spans="2:5" ht="13.9" customHeight="1" x14ac:dyDescent="0.25">
      <c r="B536" s="29">
        <f t="shared" si="35"/>
        <v>5.5280115273774486</v>
      </c>
      <c r="C536" s="30">
        <f t="shared" si="34"/>
        <v>1.6823409202281505E-2</v>
      </c>
      <c r="D536" s="30">
        <f t="shared" si="32"/>
        <v>0.16498212702401402</v>
      </c>
      <c r="E536" s="30">
        <f t="shared" si="33"/>
        <v>0.12770709962493634</v>
      </c>
    </row>
    <row r="537" spans="2:5" ht="13.9" customHeight="1" x14ac:dyDescent="0.25">
      <c r="B537" s="29">
        <f t="shared" si="35"/>
        <v>5.5380115273774484</v>
      </c>
      <c r="C537" s="30">
        <f t="shared" si="34"/>
        <v>1.6793031134054101E-2</v>
      </c>
      <c r="D537" s="30">
        <f t="shared" si="32"/>
        <v>0.16468421842232833</v>
      </c>
      <c r="E537" s="30">
        <f t="shared" si="33"/>
        <v>0.12793811777493921</v>
      </c>
    </row>
    <row r="538" spans="2:5" ht="13.9" customHeight="1" x14ac:dyDescent="0.25">
      <c r="B538" s="29">
        <f t="shared" si="35"/>
        <v>5.5480115273774482</v>
      </c>
      <c r="C538" s="30">
        <f t="shared" si="34"/>
        <v>1.6762762575578356E-2</v>
      </c>
      <c r="D538" s="30">
        <f t="shared" si="32"/>
        <v>0.16438738374992426</v>
      </c>
      <c r="E538" s="30">
        <f t="shared" si="33"/>
        <v>0.12816913592494211</v>
      </c>
    </row>
    <row r="539" spans="2:5" ht="13.9" customHeight="1" x14ac:dyDescent="0.25">
      <c r="B539" s="29">
        <f t="shared" si="35"/>
        <v>5.558011527377448</v>
      </c>
      <c r="C539" s="30">
        <f t="shared" si="34"/>
        <v>1.6732602935762914E-2</v>
      </c>
      <c r="D539" s="30">
        <f t="shared" si="32"/>
        <v>0.16409161721014617</v>
      </c>
      <c r="E539" s="30">
        <f t="shared" si="33"/>
        <v>0.12840015407494501</v>
      </c>
    </row>
    <row r="540" spans="2:5" ht="13.9" customHeight="1" x14ac:dyDescent="0.25">
      <c r="B540" s="29">
        <f t="shared" si="35"/>
        <v>5.5680115273774478</v>
      </c>
      <c r="C540" s="30">
        <f t="shared" si="34"/>
        <v>1.6702551627762758E-2</v>
      </c>
      <c r="D540" s="30">
        <f t="shared" si="32"/>
        <v>0.16379691304798102</v>
      </c>
      <c r="E540" s="30">
        <f t="shared" si="33"/>
        <v>0.12863117222494785</v>
      </c>
    </row>
    <row r="541" spans="2:5" ht="13.9" customHeight="1" x14ac:dyDescent="0.25">
      <c r="B541" s="29">
        <f t="shared" si="35"/>
        <v>5.5780115273774475</v>
      </c>
      <c r="C541" s="30">
        <f t="shared" si="34"/>
        <v>1.6672608068941153E-2</v>
      </c>
      <c r="D541" s="30">
        <f t="shared" si="32"/>
        <v>0.16350326554968519</v>
      </c>
      <c r="E541" s="30">
        <f t="shared" si="33"/>
        <v>0.12886219037495072</v>
      </c>
    </row>
    <row r="542" spans="2:5" ht="13.9" customHeight="1" x14ac:dyDescent="0.25">
      <c r="B542" s="29">
        <f t="shared" si="35"/>
        <v>5.5880115273774473</v>
      </c>
      <c r="C542" s="30">
        <f t="shared" si="34"/>
        <v>1.6642771680831971E-2</v>
      </c>
      <c r="D542" s="30">
        <f t="shared" si="32"/>
        <v>0.16321066904241488</v>
      </c>
      <c r="E542" s="30">
        <f t="shared" si="33"/>
        <v>0.1290932085249536</v>
      </c>
    </row>
    <row r="543" spans="2:5" ht="13.9" customHeight="1" x14ac:dyDescent="0.25">
      <c r="B543" s="29">
        <f t="shared" si="35"/>
        <v>5.5980115273774471</v>
      </c>
      <c r="C543" s="30">
        <f t="shared" si="34"/>
        <v>1.6613041889102464E-2</v>
      </c>
      <c r="D543" s="30">
        <f t="shared" si="32"/>
        <v>0.16291911789386113</v>
      </c>
      <c r="E543" s="30">
        <f t="shared" si="33"/>
        <v>0.12932422667495649</v>
      </c>
    </row>
    <row r="544" spans="2:5" ht="13.9" customHeight="1" x14ac:dyDescent="0.25">
      <c r="B544" s="29">
        <f t="shared" si="35"/>
        <v>5.6080115273774469</v>
      </c>
      <c r="C544" s="30">
        <f t="shared" si="34"/>
        <v>1.6583418123516394E-2</v>
      </c>
      <c r="D544" s="30">
        <f t="shared" si="32"/>
        <v>0.16262860651188821</v>
      </c>
      <c r="E544" s="30">
        <f t="shared" si="33"/>
        <v>0.12955524482495939</v>
      </c>
    </row>
    <row r="545" spans="2:5" ht="13.9" customHeight="1" x14ac:dyDescent="0.25">
      <c r="B545" s="29">
        <f t="shared" si="35"/>
        <v>5.6180115273774467</v>
      </c>
      <c r="C545" s="30">
        <f t="shared" si="34"/>
        <v>1.6553899817897576E-2</v>
      </c>
      <c r="D545" s="30">
        <f t="shared" si="32"/>
        <v>0.16233912934417616</v>
      </c>
      <c r="E545" s="30">
        <f t="shared" si="33"/>
        <v>0.12978626297496226</v>
      </c>
    </row>
    <row r="546" spans="2:5" ht="13.9" customHeight="1" x14ac:dyDescent="0.25">
      <c r="B546" s="29">
        <f t="shared" si="35"/>
        <v>5.6280115273774465</v>
      </c>
      <c r="C546" s="30">
        <f t="shared" si="34"/>
        <v>1.6524486410093825E-2</v>
      </c>
      <c r="D546" s="30">
        <f t="shared" si="32"/>
        <v>0.16205068087786711</v>
      </c>
      <c r="E546" s="30">
        <f t="shared" si="33"/>
        <v>0.13001728112496516</v>
      </c>
    </row>
    <row r="547" spans="2:5" ht="13.9" customHeight="1" x14ac:dyDescent="0.25">
      <c r="B547" s="29">
        <f t="shared" si="35"/>
        <v>5.6380115273774463</v>
      </c>
      <c r="C547" s="30">
        <f t="shared" si="34"/>
        <v>1.6495177341941246E-2</v>
      </c>
      <c r="D547" s="30">
        <f t="shared" si="32"/>
        <v>0.1617632556392152</v>
      </c>
      <c r="E547" s="30">
        <f t="shared" si="33"/>
        <v>0.13024829927496803</v>
      </c>
    </row>
    <row r="548" spans="2:5" ht="13.9" customHeight="1" x14ac:dyDescent="0.25">
      <c r="B548" s="29">
        <f t="shared" si="35"/>
        <v>5.6480115273774461</v>
      </c>
      <c r="C548" s="30">
        <f t="shared" si="34"/>
        <v>1.646597205922894E-2</v>
      </c>
      <c r="D548" s="30">
        <f t="shared" si="32"/>
        <v>0.16147684819324043</v>
      </c>
      <c r="E548" s="30">
        <f t="shared" si="33"/>
        <v>0.1304793174249709</v>
      </c>
    </row>
    <row r="549" spans="2:5" ht="13.9" customHeight="1" x14ac:dyDescent="0.25">
      <c r="B549" s="29">
        <f t="shared" si="35"/>
        <v>5.6580115273774458</v>
      </c>
      <c r="C549" s="30">
        <f t="shared" si="34"/>
        <v>1.6436870011664075E-2</v>
      </c>
      <c r="D549" s="30">
        <f t="shared" si="32"/>
        <v>0.16119145314338607</v>
      </c>
      <c r="E549" s="30">
        <f t="shared" si="33"/>
        <v>0.13071033557497375</v>
      </c>
    </row>
    <row r="550" spans="2:5" ht="13.9" customHeight="1" x14ac:dyDescent="0.25">
      <c r="B550" s="29">
        <f t="shared" si="35"/>
        <v>5.6680115273774456</v>
      </c>
      <c r="C550" s="30">
        <f t="shared" si="34"/>
        <v>1.6407870652837317E-2</v>
      </c>
      <c r="D550" s="30">
        <f t="shared" si="32"/>
        <v>0.16090706513117969</v>
      </c>
      <c r="E550" s="30">
        <f t="shared" si="33"/>
        <v>0.13094135372497664</v>
      </c>
    </row>
    <row r="551" spans="2:5" ht="13.9" customHeight="1" x14ac:dyDescent="0.25">
      <c r="B551" s="29">
        <f t="shared" si="35"/>
        <v>5.6780115273774454</v>
      </c>
      <c r="C551" s="30">
        <f t="shared" si="34"/>
        <v>1.637897344018862E-2</v>
      </c>
      <c r="D551" s="30">
        <f t="shared" si="32"/>
        <v>0.16062367883589773</v>
      </c>
      <c r="E551" s="30">
        <f t="shared" si="33"/>
        <v>0.13117237187497954</v>
      </c>
    </row>
    <row r="552" spans="2:5" ht="13.9" customHeight="1" x14ac:dyDescent="0.25">
      <c r="B552" s="29">
        <f t="shared" si="35"/>
        <v>5.6880115273774452</v>
      </c>
      <c r="C552" s="30">
        <f t="shared" si="34"/>
        <v>1.6350177834973417E-2</v>
      </c>
      <c r="D552" s="30">
        <f t="shared" si="32"/>
        <v>0.1603412889742338</v>
      </c>
      <c r="E552" s="30">
        <f t="shared" si="33"/>
        <v>0.13140339002498241</v>
      </c>
    </row>
    <row r="553" spans="2:5" ht="13.9" customHeight="1" x14ac:dyDescent="0.25">
      <c r="B553" s="29">
        <f t="shared" si="35"/>
        <v>5.698011527377445</v>
      </c>
      <c r="C553" s="30">
        <f t="shared" si="34"/>
        <v>1.6321483302229118E-2</v>
      </c>
      <c r="D553" s="30">
        <f t="shared" si="32"/>
        <v>0.16005989029997028</v>
      </c>
      <c r="E553" s="30">
        <f t="shared" si="33"/>
        <v>0.13163440817498531</v>
      </c>
    </row>
    <row r="554" spans="2:5" ht="13.9" customHeight="1" x14ac:dyDescent="0.25">
      <c r="B554" s="29">
        <f t="shared" si="35"/>
        <v>5.7080115273774448</v>
      </c>
      <c r="C554" s="30">
        <f t="shared" si="34"/>
        <v>1.6292889310741986E-2</v>
      </c>
      <c r="D554" s="30">
        <f t="shared" si="32"/>
        <v>0.15977947760365341</v>
      </c>
      <c r="E554" s="30">
        <f t="shared" si="33"/>
        <v>0.13186542632498818</v>
      </c>
    </row>
    <row r="555" spans="2:5" ht="13.9" customHeight="1" x14ac:dyDescent="0.25">
      <c r="B555" s="29">
        <f t="shared" si="35"/>
        <v>5.7180115273774446</v>
      </c>
      <c r="C555" s="30">
        <f t="shared" si="34"/>
        <v>1.6264395333014357E-2</v>
      </c>
      <c r="D555" s="30">
        <f t="shared" si="32"/>
        <v>0.15950004571227189</v>
      </c>
      <c r="E555" s="30">
        <f t="shared" si="33"/>
        <v>0.13209644447499108</v>
      </c>
    </row>
    <row r="556" spans="2:5" ht="13.9" customHeight="1" x14ac:dyDescent="0.25">
      <c r="B556" s="29">
        <f t="shared" si="35"/>
        <v>5.7280115273774443</v>
      </c>
      <c r="C556" s="30">
        <f t="shared" si="34"/>
        <v>1.6236000845232204E-2</v>
      </c>
      <c r="D556" s="30">
        <f t="shared" si="32"/>
        <v>0.15922158948893864</v>
      </c>
      <c r="E556" s="30">
        <f t="shared" si="33"/>
        <v>0.13232746262499392</v>
      </c>
    </row>
    <row r="557" spans="2:5" ht="13.9" customHeight="1" x14ac:dyDescent="0.25">
      <c r="B557" s="29">
        <f t="shared" si="35"/>
        <v>5.7380115273774441</v>
      </c>
      <c r="C557" s="30">
        <f t="shared" si="34"/>
        <v>1.6207705327233042E-2</v>
      </c>
      <c r="D557" s="30">
        <f t="shared" si="32"/>
        <v>0.15894410383257626</v>
      </c>
      <c r="E557" s="30">
        <f t="shared" si="33"/>
        <v>0.13255848077499682</v>
      </c>
    </row>
    <row r="558" spans="2:5" ht="13.9" customHeight="1" x14ac:dyDescent="0.25">
      <c r="B558" s="29">
        <f t="shared" si="35"/>
        <v>5.7480115273774439</v>
      </c>
      <c r="C558" s="30">
        <f t="shared" si="34"/>
        <v>1.6179508262474149E-2</v>
      </c>
      <c r="D558" s="30">
        <f t="shared" si="32"/>
        <v>0.15866758367760522</v>
      </c>
      <c r="E558" s="30">
        <f t="shared" si="33"/>
        <v>0.13278949892499972</v>
      </c>
    </row>
    <row r="559" spans="2:5" ht="13.9" customHeight="1" x14ac:dyDescent="0.25">
      <c r="B559" s="29">
        <f t="shared" si="35"/>
        <v>5.7580115273774437</v>
      </c>
      <c r="C559" s="30">
        <f t="shared" si="34"/>
        <v>1.6151409138001151E-2</v>
      </c>
      <c r="D559" s="30">
        <f t="shared" si="32"/>
        <v>0.15839202399363586</v>
      </c>
      <c r="E559" s="30">
        <f t="shared" si="33"/>
        <v>0.13302051707500259</v>
      </c>
    </row>
    <row r="560" spans="2:5" ht="13.9" customHeight="1" x14ac:dyDescent="0.25">
      <c r="B560" s="29">
        <f t="shared" si="35"/>
        <v>5.7680115273774435</v>
      </c>
      <c r="C560" s="30">
        <f t="shared" si="34"/>
        <v>1.6123407444416905E-2</v>
      </c>
      <c r="D560" s="30">
        <f t="shared" si="32"/>
        <v>0.15811741978516325</v>
      </c>
      <c r="E560" s="30">
        <f t="shared" si="33"/>
        <v>0.13325153522500546</v>
      </c>
    </row>
    <row r="561" spans="2:5" ht="13.9" customHeight="1" x14ac:dyDescent="0.25">
      <c r="B561" s="29">
        <f t="shared" si="35"/>
        <v>5.7780115273774433</v>
      </c>
      <c r="C561" s="30">
        <f t="shared" si="34"/>
        <v>1.6095502675850731E-2</v>
      </c>
      <c r="D561" s="30">
        <f t="shared" si="32"/>
        <v>0.15784376609126535</v>
      </c>
      <c r="E561" s="30">
        <f t="shared" si="33"/>
        <v>0.13348255337500836</v>
      </c>
    </row>
    <row r="562" spans="2:5" ht="13.9" customHeight="1" x14ac:dyDescent="0.25">
      <c r="B562" s="29">
        <f t="shared" si="35"/>
        <v>5.7880115273774431</v>
      </c>
      <c r="C562" s="30">
        <f t="shared" si="34"/>
        <v>1.6067694329927922E-2</v>
      </c>
      <c r="D562" s="30">
        <f t="shared" si="32"/>
        <v>0.15757105798530413</v>
      </c>
      <c r="E562" s="30">
        <f t="shared" si="33"/>
        <v>0.13371357152501123</v>
      </c>
    </row>
    <row r="563" spans="2:5" ht="13.9" customHeight="1" x14ac:dyDescent="0.25">
      <c r="B563" s="29">
        <f t="shared" si="35"/>
        <v>5.7980115273774429</v>
      </c>
      <c r="C563" s="30">
        <f t="shared" si="34"/>
        <v>1.6039981907739628E-2</v>
      </c>
      <c r="D563" s="30">
        <f t="shared" si="32"/>
        <v>0.15729929057463021</v>
      </c>
      <c r="E563" s="30">
        <f t="shared" si="33"/>
        <v>0.13394458967501413</v>
      </c>
    </row>
    <row r="564" spans="2:5" ht="13.9" customHeight="1" x14ac:dyDescent="0.25">
      <c r="B564" s="29">
        <f t="shared" si="35"/>
        <v>5.8080115273774426</v>
      </c>
      <c r="C564" s="30">
        <f t="shared" si="34"/>
        <v>1.6012364913812999E-2</v>
      </c>
      <c r="D564" s="30">
        <f t="shared" si="32"/>
        <v>0.15702845900028992</v>
      </c>
      <c r="E564" s="30">
        <f t="shared" si="33"/>
        <v>0.13417560782501703</v>
      </c>
    </row>
    <row r="565" spans="2:5" ht="13.9" customHeight="1" x14ac:dyDescent="0.25">
      <c r="B565" s="29">
        <f t="shared" si="35"/>
        <v>5.8180115273774424</v>
      </c>
      <c r="C565" s="30">
        <f t="shared" si="34"/>
        <v>1.5984842856081649E-2</v>
      </c>
      <c r="D565" s="30">
        <f t="shared" si="32"/>
        <v>0.15675855843673589</v>
      </c>
      <c r="E565" s="30">
        <f t="shared" si="33"/>
        <v>0.13440662597501987</v>
      </c>
    </row>
    <row r="566" spans="2:5" ht="13.9" customHeight="1" x14ac:dyDescent="0.25">
      <c r="B566" s="29">
        <f t="shared" si="35"/>
        <v>5.8280115273774422</v>
      </c>
      <c r="C566" s="30">
        <f t="shared" si="34"/>
        <v>1.5957415245856463E-2</v>
      </c>
      <c r="D566" s="30">
        <f t="shared" si="32"/>
        <v>0.15648958409154057</v>
      </c>
      <c r="E566" s="30">
        <f t="shared" si="33"/>
        <v>0.13463764412502277</v>
      </c>
    </row>
    <row r="567" spans="2:5" ht="13.9" customHeight="1" x14ac:dyDescent="0.25">
      <c r="B567" s="29">
        <f t="shared" si="35"/>
        <v>5.838011527377442</v>
      </c>
      <c r="C567" s="30">
        <f t="shared" si="34"/>
        <v>1.5930081597796634E-2</v>
      </c>
      <c r="D567" s="30">
        <f t="shared" si="32"/>
        <v>0.15622153120511223</v>
      </c>
      <c r="E567" s="30">
        <f t="shared" si="33"/>
        <v>0.13486866227502564</v>
      </c>
    </row>
    <row r="568" spans="2:5" ht="13.9" customHeight="1" x14ac:dyDescent="0.25">
      <c r="B568" s="29">
        <f t="shared" si="35"/>
        <v>5.8480115273774418</v>
      </c>
      <c r="C568" s="30">
        <f t="shared" si="34"/>
        <v>1.5902841429881059E-2</v>
      </c>
      <c r="D568" s="30">
        <f t="shared" si="32"/>
        <v>0.15595439505041456</v>
      </c>
      <c r="E568" s="30">
        <f t="shared" si="33"/>
        <v>0.13509968042502848</v>
      </c>
    </row>
    <row r="569" spans="2:5" ht="13.9" customHeight="1" x14ac:dyDescent="0.25">
      <c r="B569" s="29">
        <f t="shared" si="35"/>
        <v>5.8580115273774416</v>
      </c>
      <c r="C569" s="30">
        <f t="shared" si="34"/>
        <v>1.5875694263380008E-2</v>
      </c>
      <c r="D569" s="30">
        <f t="shared" si="32"/>
        <v>0.15568817093268872</v>
      </c>
      <c r="E569" s="30">
        <f t="shared" si="33"/>
        <v>0.13533069857503138</v>
      </c>
    </row>
    <row r="570" spans="2:5" ht="13.9" customHeight="1" x14ac:dyDescent="0.25">
      <c r="B570" s="29">
        <f t="shared" si="35"/>
        <v>5.8680115273774414</v>
      </c>
      <c r="C570" s="30">
        <f t="shared" si="34"/>
        <v>1.5848639622827052E-2</v>
      </c>
      <c r="D570" s="30">
        <f t="shared" si="32"/>
        <v>0.15542285418917803</v>
      </c>
      <c r="E570" s="30">
        <f t="shared" si="33"/>
        <v>0.13556171672503428</v>
      </c>
    </row>
    <row r="571" spans="2:5" ht="13.9" customHeight="1" x14ac:dyDescent="0.25">
      <c r="B571" s="29">
        <f t="shared" si="35"/>
        <v>5.8780115273774411</v>
      </c>
      <c r="C571" s="30">
        <f t="shared" si="34"/>
        <v>1.5821677035991334E-2</v>
      </c>
      <c r="D571" s="30">
        <f t="shared" si="32"/>
        <v>0.15515844018885622</v>
      </c>
      <c r="E571" s="30">
        <f t="shared" si="33"/>
        <v>0.13579273487503718</v>
      </c>
    </row>
    <row r="572" spans="2:5" ht="13.9" customHeight="1" x14ac:dyDescent="0.25">
      <c r="B572" s="29">
        <f t="shared" si="35"/>
        <v>5.8880115273774409</v>
      </c>
      <c r="C572" s="30">
        <f t="shared" si="34"/>
        <v>1.5794806033850074E-2</v>
      </c>
      <c r="D572" s="30">
        <f t="shared" si="32"/>
        <v>0.15489492433215751</v>
      </c>
      <c r="E572" s="30">
        <f t="shared" si="33"/>
        <v>0.13602375302504005</v>
      </c>
    </row>
    <row r="573" spans="2:5" ht="13.9" customHeight="1" x14ac:dyDescent="0.25">
      <c r="B573" s="29">
        <f t="shared" si="35"/>
        <v>5.8980115273774407</v>
      </c>
      <c r="C573" s="30">
        <f t="shared" si="34"/>
        <v>1.5768026150561387E-2</v>
      </c>
      <c r="D573" s="30">
        <f t="shared" si="32"/>
        <v>0.15463230205071035</v>
      </c>
      <c r="E573" s="30">
        <f t="shared" si="33"/>
        <v>0.13625477117504292</v>
      </c>
    </row>
    <row r="574" spans="2:5" ht="13.9" customHeight="1" x14ac:dyDescent="0.25">
      <c r="B574" s="29">
        <f t="shared" si="35"/>
        <v>5.9080115273774405</v>
      </c>
      <c r="C574" s="30">
        <f t="shared" si="34"/>
        <v>1.5741336923437349E-2</v>
      </c>
      <c r="D574" s="30">
        <f t="shared" si="32"/>
        <v>0.15437056880707303</v>
      </c>
      <c r="E574" s="30">
        <f t="shared" si="33"/>
        <v>0.13648578932504576</v>
      </c>
    </row>
    <row r="575" spans="2:5" ht="13.9" customHeight="1" x14ac:dyDescent="0.25">
      <c r="B575" s="29">
        <f t="shared" si="35"/>
        <v>5.9180115273774403</v>
      </c>
      <c r="C575" s="30">
        <f t="shared" si="34"/>
        <v>1.5714737892917361E-2</v>
      </c>
      <c r="D575" s="30">
        <f t="shared" si="32"/>
        <v>0.15410972009447269</v>
      </c>
      <c r="E575" s="30">
        <f t="shared" si="33"/>
        <v>0.13671680747504872</v>
      </c>
    </row>
    <row r="576" spans="2:5" ht="13.9" customHeight="1" x14ac:dyDescent="0.25">
      <c r="B576" s="29">
        <f t="shared" si="35"/>
        <v>5.9280115273774401</v>
      </c>
      <c r="C576" s="30">
        <f t="shared" si="34"/>
        <v>1.5688228602541758E-2</v>
      </c>
      <c r="D576" s="30">
        <f t="shared" si="32"/>
        <v>0.15384975143654625</v>
      </c>
      <c r="E576" s="30">
        <f t="shared" si="33"/>
        <v>0.13694782562505156</v>
      </c>
    </row>
    <row r="577" spans="2:5" ht="13.9" customHeight="1" x14ac:dyDescent="0.25">
      <c r="B577" s="29">
        <f t="shared" si="35"/>
        <v>5.9380115273774399</v>
      </c>
      <c r="C577" s="30">
        <f t="shared" si="34"/>
        <v>1.5661808598925714E-2</v>
      </c>
      <c r="D577" s="30">
        <f t="shared" si="32"/>
        <v>0.1535906583870848</v>
      </c>
      <c r="E577" s="30">
        <f t="shared" si="33"/>
        <v>0.13717884377505446</v>
      </c>
    </row>
    <row r="578" spans="2:5" ht="13.9" customHeight="1" x14ac:dyDescent="0.25">
      <c r="B578" s="29">
        <f t="shared" si="35"/>
        <v>5.9480115273774397</v>
      </c>
      <c r="C578" s="30">
        <f t="shared" si="34"/>
        <v>1.5635477431733387E-2</v>
      </c>
      <c r="D578" s="30">
        <f t="shared" si="32"/>
        <v>0.15333243652977979</v>
      </c>
      <c r="E578" s="30">
        <f t="shared" si="33"/>
        <v>0.1374098619250573</v>
      </c>
    </row>
    <row r="579" spans="2:5" ht="13.9" customHeight="1" x14ac:dyDescent="0.25">
      <c r="B579" s="29">
        <f t="shared" si="35"/>
        <v>5.9580115273774394</v>
      </c>
      <c r="C579" s="30">
        <f t="shared" si="34"/>
        <v>1.5609234653652333E-2</v>
      </c>
      <c r="D579" s="30">
        <f t="shared" si="32"/>
        <v>0.15307508147797233</v>
      </c>
      <c r="E579" s="30">
        <f t="shared" si="33"/>
        <v>0.1376408800750602</v>
      </c>
    </row>
    <row r="580" spans="2:5" ht="13.9" customHeight="1" x14ac:dyDescent="0.25">
      <c r="B580" s="29">
        <f t="shared" si="35"/>
        <v>5.9680115273774392</v>
      </c>
      <c r="C580" s="30">
        <f t="shared" si="34"/>
        <v>1.5583079820368171E-2</v>
      </c>
      <c r="D580" s="30">
        <f t="shared" si="32"/>
        <v>0.15281858887440453</v>
      </c>
      <c r="E580" s="30">
        <f t="shared" si="33"/>
        <v>0.13787189822506307</v>
      </c>
    </row>
    <row r="581" spans="2:5" ht="13.9" customHeight="1" x14ac:dyDescent="0.25">
      <c r="B581" s="29">
        <f t="shared" si="35"/>
        <v>5.978011527377439</v>
      </c>
      <c r="C581" s="30">
        <f t="shared" si="34"/>
        <v>1.555701249053951E-2</v>
      </c>
      <c r="D581" s="30">
        <f t="shared" si="32"/>
        <v>0.15256295439097381</v>
      </c>
      <c r="E581" s="30">
        <f t="shared" si="33"/>
        <v>0.13810291637506594</v>
      </c>
    </row>
    <row r="582" spans="2:5" ht="13.9" customHeight="1" x14ac:dyDescent="0.25">
      <c r="B582" s="29">
        <f t="shared" si="35"/>
        <v>5.9880115273774388</v>
      </c>
      <c r="C582" s="30">
        <f t="shared" si="34"/>
        <v>1.5531032225773133E-2</v>
      </c>
      <c r="D582" s="30">
        <f t="shared" si="32"/>
        <v>0.15230817372848937</v>
      </c>
      <c r="E582" s="30">
        <f t="shared" si="33"/>
        <v>0.13833393452506884</v>
      </c>
    </row>
    <row r="583" spans="2:5" ht="13.9" customHeight="1" x14ac:dyDescent="0.25">
      <c r="B583" s="29">
        <f t="shared" si="35"/>
        <v>5.9980115273774386</v>
      </c>
      <c r="C583" s="30">
        <f t="shared" si="34"/>
        <v>1.5505138590599404E-2</v>
      </c>
      <c r="D583" s="30">
        <f t="shared" si="32"/>
        <v>0.15205424261643116</v>
      </c>
      <c r="E583" s="30">
        <f t="shared" si="33"/>
        <v>0.13856495267507174</v>
      </c>
    </row>
    <row r="584" spans="2:5" ht="13.9" customHeight="1" x14ac:dyDescent="0.25">
      <c r="B584" s="29">
        <f t="shared" si="35"/>
        <v>6.0080115273774384</v>
      </c>
      <c r="C584" s="30">
        <f t="shared" si="34"/>
        <v>1.5458689866267467E-2</v>
      </c>
      <c r="D584" s="30">
        <f t="shared" si="32"/>
        <v>0.15159873391152515</v>
      </c>
      <c r="E584" s="30">
        <f t="shared" si="33"/>
        <v>0.13861089000173127</v>
      </c>
    </row>
    <row r="585" spans="2:5" ht="13.9" customHeight="1" x14ac:dyDescent="0.25">
      <c r="B585" s="29">
        <f t="shared" si="35"/>
        <v>6.0180115273774382</v>
      </c>
      <c r="C585" s="30">
        <f t="shared" si="34"/>
        <v>1.5407357807130732E-2</v>
      </c>
      <c r="D585" s="30">
        <f t="shared" ref="D585:D648" si="36">C585*9.8067</f>
        <v>0.15109533580718895</v>
      </c>
      <c r="E585" s="30">
        <f t="shared" ref="E585:E648" si="37">((B585^2)/(4*PI()^2))*D585</f>
        <v>0.13861089000173132</v>
      </c>
    </row>
    <row r="586" spans="2:5" ht="13.9" customHeight="1" x14ac:dyDescent="0.25">
      <c r="B586" s="29">
        <f t="shared" si="35"/>
        <v>6.028011527377438</v>
      </c>
      <c r="C586" s="30">
        <f t="shared" si="34"/>
        <v>1.5356281003657482E-2</v>
      </c>
      <c r="D586" s="30">
        <f t="shared" si="36"/>
        <v>0.15059444091856783</v>
      </c>
      <c r="E586" s="30">
        <f t="shared" si="37"/>
        <v>0.1386108900017313</v>
      </c>
    </row>
    <row r="587" spans="2:5" ht="13.9" customHeight="1" x14ac:dyDescent="0.25">
      <c r="B587" s="29">
        <f t="shared" si="35"/>
        <v>6.0380115273774377</v>
      </c>
      <c r="C587" s="30">
        <f t="shared" si="34"/>
        <v>1.5305457766257228E-2</v>
      </c>
      <c r="D587" s="30">
        <f t="shared" si="36"/>
        <v>0.15009603267635474</v>
      </c>
      <c r="E587" s="30">
        <f t="shared" si="37"/>
        <v>0.13861089000173127</v>
      </c>
    </row>
    <row r="588" spans="2:5" ht="13.9" customHeight="1" x14ac:dyDescent="0.25">
      <c r="B588" s="29">
        <f t="shared" si="35"/>
        <v>6.0480115273774375</v>
      </c>
      <c r="C588" s="30">
        <f t="shared" si="34"/>
        <v>1.5254886419296057E-2</v>
      </c>
      <c r="D588" s="30">
        <f t="shared" si="36"/>
        <v>0.14960009464811064</v>
      </c>
      <c r="E588" s="30">
        <f t="shared" si="37"/>
        <v>0.1386108900017313</v>
      </c>
    </row>
    <row r="589" spans="2:5" ht="13.9" customHeight="1" x14ac:dyDescent="0.25">
      <c r="B589" s="29">
        <f t="shared" si="35"/>
        <v>6.0580115273774373</v>
      </c>
      <c r="C589" s="30">
        <f t="shared" ref="C589:C652" si="38">IF(B589&lt;6,$C$5/B589,6*$C$5/B589^2)</f>
        <v>1.5204565300958546E-2</v>
      </c>
      <c r="D589" s="30">
        <f t="shared" si="36"/>
        <v>0.14910661053691016</v>
      </c>
      <c r="E589" s="30">
        <f t="shared" si="37"/>
        <v>0.13861089000173127</v>
      </c>
    </row>
    <row r="590" spans="2:5" ht="13.9" customHeight="1" x14ac:dyDescent="0.25">
      <c r="B590" s="29">
        <f t="shared" ref="B590:B653" si="39">B589+0.01</f>
        <v>6.0680115273774371</v>
      </c>
      <c r="C590" s="30">
        <f t="shared" si="38"/>
        <v>1.5154492763111213E-2</v>
      </c>
      <c r="D590" s="30">
        <f t="shared" si="36"/>
        <v>0.14861556418000271</v>
      </c>
      <c r="E590" s="30">
        <f t="shared" si="37"/>
        <v>0.13861089000173127</v>
      </c>
    </row>
    <row r="591" spans="2:5" ht="13.9" customHeight="1" x14ac:dyDescent="0.25">
      <c r="B591" s="29">
        <f t="shared" si="39"/>
        <v>6.0780115273774369</v>
      </c>
      <c r="C591" s="30">
        <f t="shared" si="38"/>
        <v>1.5104667171167584E-2</v>
      </c>
      <c r="D591" s="30">
        <f t="shared" si="36"/>
        <v>0.14812693954748912</v>
      </c>
      <c r="E591" s="30">
        <f t="shared" si="37"/>
        <v>0.13861089000173127</v>
      </c>
    </row>
    <row r="592" spans="2:5" ht="13.9" customHeight="1" x14ac:dyDescent="0.25">
      <c r="B592" s="29">
        <f t="shared" si="39"/>
        <v>6.0880115273774367</v>
      </c>
      <c r="C592" s="30">
        <f t="shared" si="38"/>
        <v>1.5055086903954787E-2</v>
      </c>
      <c r="D592" s="30">
        <f t="shared" si="36"/>
        <v>0.14764072074101339</v>
      </c>
      <c r="E592" s="30">
        <f t="shared" si="37"/>
        <v>0.1386108900017313</v>
      </c>
    </row>
    <row r="593" spans="2:5" ht="13.9" customHeight="1" x14ac:dyDescent="0.25">
      <c r="B593" s="29">
        <f t="shared" si="39"/>
        <v>6.0980115273774365</v>
      </c>
      <c r="C593" s="30">
        <f t="shared" si="38"/>
        <v>1.5005750353581666E-2</v>
      </c>
      <c r="D593" s="30">
        <f t="shared" si="36"/>
        <v>0.14715689199246931</v>
      </c>
      <c r="E593" s="30">
        <f t="shared" si="37"/>
        <v>0.1386108900017313</v>
      </c>
    </row>
    <row r="594" spans="2:5" ht="13.9" customHeight="1" x14ac:dyDescent="0.25">
      <c r="B594" s="29">
        <f t="shared" si="39"/>
        <v>6.1080115273774362</v>
      </c>
      <c r="C594" s="30">
        <f t="shared" si="38"/>
        <v>1.4956655925308439E-2</v>
      </c>
      <c r="D594" s="30">
        <f t="shared" si="36"/>
        <v>0.14667543766272226</v>
      </c>
      <c r="E594" s="30">
        <f t="shared" si="37"/>
        <v>0.1386108900017313</v>
      </c>
    </row>
    <row r="595" spans="2:5" ht="13.9" customHeight="1" x14ac:dyDescent="0.25">
      <c r="B595" s="29">
        <f t="shared" si="39"/>
        <v>6.118011527377436</v>
      </c>
      <c r="C595" s="30">
        <f t="shared" si="38"/>
        <v>1.4907802037417817E-2</v>
      </c>
      <c r="D595" s="30">
        <f t="shared" si="36"/>
        <v>0.14619634224034528</v>
      </c>
      <c r="E595" s="30">
        <f t="shared" si="37"/>
        <v>0.1386108900017313</v>
      </c>
    </row>
    <row r="596" spans="2:5" ht="13.9" customHeight="1" x14ac:dyDescent="0.25">
      <c r="B596" s="29">
        <f t="shared" si="39"/>
        <v>6.1280115273774358</v>
      </c>
      <c r="C596" s="30">
        <f t="shared" si="38"/>
        <v>1.4859187121087605E-2</v>
      </c>
      <c r="D596" s="30">
        <f t="shared" si="36"/>
        <v>0.1457195903403698</v>
      </c>
      <c r="E596" s="30">
        <f t="shared" si="37"/>
        <v>0.1386108900017313</v>
      </c>
    </row>
    <row r="597" spans="2:5" ht="13.9" customHeight="1" x14ac:dyDescent="0.25">
      <c r="B597" s="29">
        <f t="shared" si="39"/>
        <v>6.1380115273774356</v>
      </c>
      <c r="C597" s="30">
        <f t="shared" si="38"/>
        <v>1.4810809620264752E-2</v>
      </c>
      <c r="D597" s="30">
        <f t="shared" si="36"/>
        <v>0.14524516670305032</v>
      </c>
      <c r="E597" s="30">
        <f t="shared" si="37"/>
        <v>0.1386108900017313</v>
      </c>
    </row>
    <row r="598" spans="2:5" ht="13.9" customHeight="1" x14ac:dyDescent="0.25">
      <c r="B598" s="29">
        <f t="shared" si="39"/>
        <v>6.1480115273774354</v>
      </c>
      <c r="C598" s="30">
        <f t="shared" si="38"/>
        <v>1.4762667991540834E-2</v>
      </c>
      <c r="D598" s="30">
        <f t="shared" si="36"/>
        <v>0.1447730561926435</v>
      </c>
      <c r="E598" s="30">
        <f t="shared" si="37"/>
        <v>0.1386108900017313</v>
      </c>
    </row>
    <row r="599" spans="2:5" ht="13.9" customHeight="1" x14ac:dyDescent="0.25">
      <c r="B599" s="29">
        <f t="shared" si="39"/>
        <v>6.1580115273774352</v>
      </c>
      <c r="C599" s="30">
        <f t="shared" si="38"/>
        <v>1.4714760704028962E-2</v>
      </c>
      <c r="D599" s="30">
        <f t="shared" si="36"/>
        <v>0.14430324379620083</v>
      </c>
      <c r="E599" s="30">
        <f t="shared" si="37"/>
        <v>0.1386108900017313</v>
      </c>
    </row>
    <row r="600" spans="2:5" ht="13.9" customHeight="1" x14ac:dyDescent="0.25">
      <c r="B600" s="29">
        <f t="shared" si="39"/>
        <v>6.168011527377435</v>
      </c>
      <c r="C600" s="30">
        <f t="shared" si="38"/>
        <v>1.4667086239242061E-2</v>
      </c>
      <c r="D600" s="30">
        <f t="shared" si="36"/>
        <v>0.1438357146223751</v>
      </c>
      <c r="E600" s="30">
        <f t="shared" si="37"/>
        <v>0.13861089000173127</v>
      </c>
    </row>
    <row r="601" spans="2:5" ht="13.9" customHeight="1" x14ac:dyDescent="0.25">
      <c r="B601" s="29">
        <f t="shared" si="39"/>
        <v>6.1780115273774348</v>
      </c>
      <c r="C601" s="30">
        <f t="shared" si="38"/>
        <v>1.4619643090972556E-2</v>
      </c>
      <c r="D601" s="30">
        <f t="shared" si="36"/>
        <v>0.14337045390024056</v>
      </c>
      <c r="E601" s="30">
        <f t="shared" si="37"/>
        <v>0.1386108900017313</v>
      </c>
    </row>
    <row r="602" spans="2:5" ht="13.9" customHeight="1" x14ac:dyDescent="0.25">
      <c r="B602" s="29">
        <f t="shared" si="39"/>
        <v>6.1880115273774345</v>
      </c>
      <c r="C602" s="30">
        <f t="shared" si="38"/>
        <v>1.457242976517339E-2</v>
      </c>
      <c r="D602" s="30">
        <f t="shared" si="36"/>
        <v>0.14290744697812588</v>
      </c>
      <c r="E602" s="30">
        <f t="shared" si="37"/>
        <v>0.1386108900017313</v>
      </c>
    </row>
    <row r="603" spans="2:5" ht="13.9" customHeight="1" x14ac:dyDescent="0.25">
      <c r="B603" s="29">
        <f t="shared" si="39"/>
        <v>6.1980115273774343</v>
      </c>
      <c r="C603" s="30">
        <f t="shared" si="38"/>
        <v>1.452544477984042E-2</v>
      </c>
      <c r="D603" s="30">
        <f t="shared" si="36"/>
        <v>0.14244667932246102</v>
      </c>
      <c r="E603" s="30">
        <f t="shared" si="37"/>
        <v>0.13861089000173127</v>
      </c>
    </row>
    <row r="604" spans="2:5" ht="13.9" customHeight="1" x14ac:dyDescent="0.25">
      <c r="B604" s="29">
        <f t="shared" si="39"/>
        <v>6.2080115273774341</v>
      </c>
      <c r="C604" s="30">
        <f t="shared" si="38"/>
        <v>1.4478686664896089E-2</v>
      </c>
      <c r="D604" s="30">
        <f t="shared" si="36"/>
        <v>0.14198813651663647</v>
      </c>
      <c r="E604" s="30">
        <f t="shared" si="37"/>
        <v>0.1386108900017313</v>
      </c>
    </row>
    <row r="605" spans="2:5" ht="13.9" customHeight="1" x14ac:dyDescent="0.25">
      <c r="B605" s="29">
        <f t="shared" si="39"/>
        <v>6.2180115273774339</v>
      </c>
      <c r="C605" s="30">
        <f t="shared" si="38"/>
        <v>1.4432153962074465E-2</v>
      </c>
      <c r="D605" s="30">
        <f t="shared" si="36"/>
        <v>0.14153180425987563</v>
      </c>
      <c r="E605" s="30">
        <f t="shared" si="37"/>
        <v>0.13861089000173127</v>
      </c>
    </row>
    <row r="606" spans="2:5" ht="13.9" customHeight="1" x14ac:dyDescent="0.25">
      <c r="B606" s="29">
        <f t="shared" si="39"/>
        <v>6.2280115273774337</v>
      </c>
      <c r="C606" s="30">
        <f t="shared" si="38"/>
        <v>1.4385845224807516E-2</v>
      </c>
      <c r="D606" s="30">
        <f t="shared" si="36"/>
        <v>0.14107766836611985</v>
      </c>
      <c r="E606" s="30">
        <f t="shared" si="37"/>
        <v>0.1386108900017313</v>
      </c>
    </row>
    <row r="607" spans="2:5" ht="13.9" customHeight="1" x14ac:dyDescent="0.25">
      <c r="B607" s="29">
        <f t="shared" si="39"/>
        <v>6.2380115273774335</v>
      </c>
      <c r="C607" s="30">
        <f t="shared" si="38"/>
        <v>1.4339759018112694E-2</v>
      </c>
      <c r="D607" s="30">
        <f t="shared" si="36"/>
        <v>0.14062571476292574</v>
      </c>
      <c r="E607" s="30">
        <f t="shared" si="37"/>
        <v>0.13861089000173127</v>
      </c>
    </row>
    <row r="608" spans="2:5" ht="13.9" customHeight="1" x14ac:dyDescent="0.25">
      <c r="B608" s="29">
        <f t="shared" si="39"/>
        <v>6.2480115273774333</v>
      </c>
      <c r="C608" s="30">
        <f t="shared" si="38"/>
        <v>1.4293893918481768E-2</v>
      </c>
      <c r="D608" s="30">
        <f t="shared" si="36"/>
        <v>0.14017592949037513</v>
      </c>
      <c r="E608" s="30">
        <f t="shared" si="37"/>
        <v>0.13861089000173127</v>
      </c>
    </row>
    <row r="609" spans="2:5" ht="13.9" customHeight="1" x14ac:dyDescent="0.25">
      <c r="B609" s="29">
        <f t="shared" si="39"/>
        <v>6.258011527377433</v>
      </c>
      <c r="C609" s="30">
        <f t="shared" si="38"/>
        <v>1.4248248513770906E-2</v>
      </c>
      <c r="D609" s="30">
        <f t="shared" si="36"/>
        <v>0.13972829869999714</v>
      </c>
      <c r="E609" s="30">
        <f t="shared" si="37"/>
        <v>0.1386108900017313</v>
      </c>
    </row>
    <row r="610" spans="2:5" ht="13.9" customHeight="1" x14ac:dyDescent="0.25">
      <c r="B610" s="29">
        <f t="shared" si="39"/>
        <v>6.2680115273774328</v>
      </c>
      <c r="C610" s="30">
        <f t="shared" si="38"/>
        <v>1.420282140309196E-2</v>
      </c>
      <c r="D610" s="30">
        <f t="shared" si="36"/>
        <v>0.13928280865370191</v>
      </c>
      <c r="E610" s="30">
        <f t="shared" si="37"/>
        <v>0.13861089000173127</v>
      </c>
    </row>
    <row r="611" spans="2:5" ht="13.9" customHeight="1" x14ac:dyDescent="0.25">
      <c r="B611" s="29">
        <f t="shared" si="39"/>
        <v>6.2780115273774326</v>
      </c>
      <c r="C611" s="30">
        <f t="shared" si="38"/>
        <v>1.4157611196704998E-2</v>
      </c>
      <c r="D611" s="30">
        <f t="shared" si="36"/>
        <v>0.13883944572272688</v>
      </c>
      <c r="E611" s="30">
        <f t="shared" si="37"/>
        <v>0.13861089000173127</v>
      </c>
    </row>
    <row r="612" spans="2:5" ht="13.9" customHeight="1" x14ac:dyDescent="0.25">
      <c r="B612" s="29">
        <f t="shared" si="39"/>
        <v>6.2880115273774324</v>
      </c>
      <c r="C612" s="30">
        <f t="shared" si="38"/>
        <v>1.4112616515912002E-2</v>
      </c>
      <c r="D612" s="30">
        <f t="shared" si="36"/>
        <v>0.13839819638659423</v>
      </c>
      <c r="E612" s="30">
        <f t="shared" si="37"/>
        <v>0.1386108900017313</v>
      </c>
    </row>
    <row r="613" spans="2:5" ht="13.9" customHeight="1" x14ac:dyDescent="0.25">
      <c r="B613" s="29">
        <f t="shared" si="39"/>
        <v>6.2980115273774322</v>
      </c>
      <c r="C613" s="30">
        <f t="shared" si="38"/>
        <v>1.406783599295176E-2</v>
      </c>
      <c r="D613" s="30">
        <f t="shared" si="36"/>
        <v>0.13795904723208002</v>
      </c>
      <c r="E613" s="30">
        <f t="shared" si="37"/>
        <v>0.13861089000173132</v>
      </c>
    </row>
    <row r="614" spans="2:5" ht="13.9" customHeight="1" x14ac:dyDescent="0.25">
      <c r="B614" s="29">
        <f t="shared" si="39"/>
        <v>6.308011527377432</v>
      </c>
      <c r="C614" s="30">
        <f t="shared" si="38"/>
        <v>1.4023268270895917E-2</v>
      </c>
      <c r="D614" s="30">
        <f t="shared" si="36"/>
        <v>0.13752198495219498</v>
      </c>
      <c r="E614" s="30">
        <f t="shared" si="37"/>
        <v>0.1386108900017313</v>
      </c>
    </row>
    <row r="615" spans="2:5" ht="13.9" customHeight="1" x14ac:dyDescent="0.25">
      <c r="B615" s="29">
        <f t="shared" si="39"/>
        <v>6.3180115273774318</v>
      </c>
      <c r="C615" s="30">
        <f t="shared" si="38"/>
        <v>1.3978912003546191E-2</v>
      </c>
      <c r="D615" s="30">
        <f t="shared" si="36"/>
        <v>0.13708699634517643</v>
      </c>
      <c r="E615" s="30">
        <f t="shared" si="37"/>
        <v>0.13861089000173132</v>
      </c>
    </row>
    <row r="616" spans="2:5" ht="13.9" customHeight="1" x14ac:dyDescent="0.25">
      <c r="B616" s="29">
        <f t="shared" si="39"/>
        <v>6.3280115273774316</v>
      </c>
      <c r="C616" s="30">
        <f t="shared" si="38"/>
        <v>1.3934765855332699E-2</v>
      </c>
      <c r="D616" s="30">
        <f t="shared" si="36"/>
        <v>0.13665406831349117</v>
      </c>
      <c r="E616" s="30">
        <f t="shared" si="37"/>
        <v>0.13861089000173127</v>
      </c>
    </row>
    <row r="617" spans="2:5" ht="13.9" customHeight="1" x14ac:dyDescent="0.25">
      <c r="B617" s="29">
        <f t="shared" si="39"/>
        <v>6.3380115273774313</v>
      </c>
      <c r="C617" s="30">
        <f t="shared" si="38"/>
        <v>1.3890828501213443E-2</v>
      </c>
      <c r="D617" s="30">
        <f t="shared" si="36"/>
        <v>0.13622318786284987</v>
      </c>
      <c r="E617" s="30">
        <f t="shared" si="37"/>
        <v>0.1386108900017313</v>
      </c>
    </row>
    <row r="618" spans="2:5" ht="13.9" customHeight="1" x14ac:dyDescent="0.25">
      <c r="B618" s="29">
        <f t="shared" si="39"/>
        <v>6.3480115273774311</v>
      </c>
      <c r="C618" s="30">
        <f t="shared" si="38"/>
        <v>1.3847098626574855E-2</v>
      </c>
      <c r="D618" s="30">
        <f t="shared" si="36"/>
        <v>0.13579434210123162</v>
      </c>
      <c r="E618" s="30">
        <f t="shared" si="37"/>
        <v>0.1386108900017313</v>
      </c>
    </row>
    <row r="619" spans="2:5" ht="13.9" customHeight="1" x14ac:dyDescent="0.25">
      <c r="B619" s="29">
        <f t="shared" si="39"/>
        <v>6.3580115273774309</v>
      </c>
      <c r="C619" s="30">
        <f t="shared" si="38"/>
        <v>1.3803574927133482E-2</v>
      </c>
      <c r="D619" s="30">
        <f t="shared" si="36"/>
        <v>0.1353675182379199</v>
      </c>
      <c r="E619" s="30">
        <f t="shared" si="37"/>
        <v>0.13861089000173127</v>
      </c>
    </row>
    <row r="620" spans="2:5" ht="13.9" customHeight="1" x14ac:dyDescent="0.25">
      <c r="B620" s="29">
        <f t="shared" si="39"/>
        <v>6.3680115273774307</v>
      </c>
      <c r="C620" s="30">
        <f t="shared" si="38"/>
        <v>1.376025610883872E-2</v>
      </c>
      <c r="D620" s="30">
        <f t="shared" si="36"/>
        <v>0.13494270358254867</v>
      </c>
      <c r="E620" s="30">
        <f t="shared" si="37"/>
        <v>0.13861089000173132</v>
      </c>
    </row>
    <row r="621" spans="2:5" ht="13.9" customHeight="1" x14ac:dyDescent="0.25">
      <c r="B621" s="29">
        <f t="shared" si="39"/>
        <v>6.3780115273774305</v>
      </c>
      <c r="C621" s="30">
        <f t="shared" si="38"/>
        <v>1.3717140887776636E-2</v>
      </c>
      <c r="D621" s="30">
        <f t="shared" si="36"/>
        <v>0.13451988554415914</v>
      </c>
      <c r="E621" s="30">
        <f t="shared" si="37"/>
        <v>0.1386108900017313</v>
      </c>
    </row>
    <row r="622" spans="2:5" ht="13.9" customHeight="1" x14ac:dyDescent="0.25">
      <c r="B622" s="29">
        <f t="shared" si="39"/>
        <v>6.3880115273774303</v>
      </c>
      <c r="C622" s="30">
        <f t="shared" si="38"/>
        <v>1.3674227990074821E-2</v>
      </c>
      <c r="D622" s="30">
        <f t="shared" si="36"/>
        <v>0.13409905163026675</v>
      </c>
      <c r="E622" s="30">
        <f t="shared" si="37"/>
        <v>0.1386108900017313</v>
      </c>
    </row>
    <row r="623" spans="2:5" ht="13.9" customHeight="1" x14ac:dyDescent="0.25">
      <c r="B623" s="29">
        <f t="shared" si="39"/>
        <v>6.3980115273774301</v>
      </c>
      <c r="C623" s="30">
        <f t="shared" si="38"/>
        <v>1.3631516151808304E-2</v>
      </c>
      <c r="D623" s="30">
        <f t="shared" si="36"/>
        <v>0.13368018944593849</v>
      </c>
      <c r="E623" s="30">
        <f t="shared" si="37"/>
        <v>0.1386108900017313</v>
      </c>
    </row>
    <row r="624" spans="2:5" ht="13.9" customHeight="1" x14ac:dyDescent="0.25">
      <c r="B624" s="29">
        <f t="shared" si="39"/>
        <v>6.4080115273774299</v>
      </c>
      <c r="C624" s="30">
        <f t="shared" si="38"/>
        <v>1.358900411890648E-2</v>
      </c>
      <c r="D624" s="30">
        <f t="shared" si="36"/>
        <v>0.13326328669288018</v>
      </c>
      <c r="E624" s="30">
        <f t="shared" si="37"/>
        <v>0.1386108900017313</v>
      </c>
    </row>
    <row r="625" spans="2:5" ht="13.9" customHeight="1" x14ac:dyDescent="0.25">
      <c r="B625" s="29">
        <f t="shared" si="39"/>
        <v>6.4180115273774296</v>
      </c>
      <c r="C625" s="30">
        <f t="shared" si="38"/>
        <v>1.3546690647061063E-2</v>
      </c>
      <c r="D625" s="30">
        <f t="shared" si="36"/>
        <v>0.13284833116853373</v>
      </c>
      <c r="E625" s="30">
        <f t="shared" si="37"/>
        <v>0.1386108900017313</v>
      </c>
    </row>
    <row r="626" spans="2:5" ht="13.9" customHeight="1" x14ac:dyDescent="0.25">
      <c r="B626" s="29">
        <f t="shared" si="39"/>
        <v>6.4280115273774294</v>
      </c>
      <c r="C626" s="30">
        <f t="shared" si="38"/>
        <v>1.350457450163502E-2</v>
      </c>
      <c r="D626" s="30">
        <f t="shared" si="36"/>
        <v>0.13243531076518414</v>
      </c>
      <c r="E626" s="30">
        <f t="shared" si="37"/>
        <v>0.13861089000173127</v>
      </c>
    </row>
    <row r="627" spans="2:5" ht="13.9" customHeight="1" x14ac:dyDescent="0.25">
      <c r="B627" s="29">
        <f t="shared" si="39"/>
        <v>6.4380115273774292</v>
      </c>
      <c r="C627" s="30">
        <f t="shared" si="38"/>
        <v>1.3462654457572526E-2</v>
      </c>
      <c r="D627" s="30">
        <f t="shared" si="36"/>
        <v>0.13202421346907647</v>
      </c>
      <c r="E627" s="30">
        <f t="shared" si="37"/>
        <v>0.13861089000173127</v>
      </c>
    </row>
    <row r="628" spans="2:5" ht="13.9" customHeight="1" x14ac:dyDescent="0.25">
      <c r="B628" s="29">
        <f t="shared" si="39"/>
        <v>6.448011527377429</v>
      </c>
      <c r="C628" s="30">
        <f t="shared" si="38"/>
        <v>1.3420929299309865E-2</v>
      </c>
      <c r="D628" s="30">
        <f t="shared" si="36"/>
        <v>0.13161502735954203</v>
      </c>
      <c r="E628" s="30">
        <f t="shared" si="37"/>
        <v>0.1386108900017313</v>
      </c>
    </row>
    <row r="629" spans="2:5" ht="13.9" customHeight="1" x14ac:dyDescent="0.25">
      <c r="B629" s="29">
        <f t="shared" si="39"/>
        <v>6.4580115273774288</v>
      </c>
      <c r="C629" s="30">
        <f t="shared" si="38"/>
        <v>1.3379397820687311E-2</v>
      </c>
      <c r="D629" s="30">
        <f t="shared" si="36"/>
        <v>0.13120774060813425</v>
      </c>
      <c r="E629" s="30">
        <f t="shared" si="37"/>
        <v>0.1386108900017313</v>
      </c>
    </row>
    <row r="630" spans="2:5" ht="13.9" customHeight="1" x14ac:dyDescent="0.25">
      <c r="B630" s="29">
        <f t="shared" si="39"/>
        <v>6.4680115273774286</v>
      </c>
      <c r="C630" s="30">
        <f t="shared" si="38"/>
        <v>1.3338058824861969E-2</v>
      </c>
      <c r="D630" s="30">
        <f t="shared" si="36"/>
        <v>0.13080234147777386</v>
      </c>
      <c r="E630" s="30">
        <f t="shared" si="37"/>
        <v>0.1386108900017313</v>
      </c>
    </row>
    <row r="631" spans="2:5" ht="13.9" customHeight="1" x14ac:dyDescent="0.25">
      <c r="B631" s="29">
        <f t="shared" si="39"/>
        <v>6.4780115273774284</v>
      </c>
      <c r="C631" s="30">
        <f t="shared" si="38"/>
        <v>1.3296911124221536E-2</v>
      </c>
      <c r="D631" s="30">
        <f t="shared" si="36"/>
        <v>0.13039881832190334</v>
      </c>
      <c r="E631" s="30">
        <f t="shared" si="37"/>
        <v>0.13861089000173132</v>
      </c>
    </row>
    <row r="632" spans="2:5" ht="13.9" customHeight="1" x14ac:dyDescent="0.25">
      <c r="B632" s="29">
        <f t="shared" si="39"/>
        <v>6.4880115273774281</v>
      </c>
      <c r="C632" s="30">
        <f t="shared" si="38"/>
        <v>1.3255953540299015E-2</v>
      </c>
      <c r="D632" s="30">
        <f t="shared" si="36"/>
        <v>0.12999715958365035</v>
      </c>
      <c r="E632" s="30">
        <f t="shared" si="37"/>
        <v>0.1386108900017313</v>
      </c>
    </row>
    <row r="633" spans="2:5" ht="13.9" customHeight="1" x14ac:dyDescent="0.25">
      <c r="B633" s="29">
        <f t="shared" si="39"/>
        <v>6.4980115273774279</v>
      </c>
      <c r="C633" s="30">
        <f t="shared" si="38"/>
        <v>1.3215184903688329E-2</v>
      </c>
      <c r="D633" s="30">
        <f t="shared" si="36"/>
        <v>0.12959735379500031</v>
      </c>
      <c r="E633" s="30">
        <f t="shared" si="37"/>
        <v>0.13861089000173127</v>
      </c>
    </row>
    <row r="634" spans="2:5" ht="13.9" customHeight="1" x14ac:dyDescent="0.25">
      <c r="B634" s="29">
        <f t="shared" si="39"/>
        <v>6.5080115273774277</v>
      </c>
      <c r="C634" s="30">
        <f t="shared" si="38"/>
        <v>1.3174604053960847E-2</v>
      </c>
      <c r="D634" s="30">
        <f t="shared" si="36"/>
        <v>0.12919938957597785</v>
      </c>
      <c r="E634" s="30">
        <f t="shared" si="37"/>
        <v>0.1386108900017313</v>
      </c>
    </row>
    <row r="635" spans="2:5" ht="13.9" customHeight="1" x14ac:dyDescent="0.25">
      <c r="B635" s="29">
        <f t="shared" si="39"/>
        <v>6.5180115273774275</v>
      </c>
      <c r="C635" s="30">
        <f t="shared" si="38"/>
        <v>1.3134209839582819E-2</v>
      </c>
      <c r="D635" s="30">
        <f t="shared" si="36"/>
        <v>0.12880325563383682</v>
      </c>
      <c r="E635" s="30">
        <f t="shared" si="37"/>
        <v>0.1386108900017313</v>
      </c>
    </row>
    <row r="636" spans="2:5" ht="13.9" customHeight="1" x14ac:dyDescent="0.25">
      <c r="B636" s="29">
        <f t="shared" si="39"/>
        <v>6.5280115273774273</v>
      </c>
      <c r="C636" s="30">
        <f t="shared" si="38"/>
        <v>1.3094001117833674E-2</v>
      </c>
      <c r="D636" s="30">
        <f t="shared" si="36"/>
        <v>0.12840894076225948</v>
      </c>
      <c r="E636" s="30">
        <f t="shared" si="37"/>
        <v>0.1386108900017313</v>
      </c>
    </row>
    <row r="637" spans="2:5" ht="13.9" customHeight="1" x14ac:dyDescent="0.25">
      <c r="B637" s="29">
        <f t="shared" si="39"/>
        <v>6.5380115273774271</v>
      </c>
      <c r="C637" s="30">
        <f t="shared" si="38"/>
        <v>1.3053976754725201E-2</v>
      </c>
      <c r="D637" s="30">
        <f t="shared" si="36"/>
        <v>0.12801643384056363</v>
      </c>
      <c r="E637" s="30">
        <f t="shared" si="37"/>
        <v>0.1386108900017313</v>
      </c>
    </row>
    <row r="638" spans="2:5" ht="13.9" customHeight="1" x14ac:dyDescent="0.25">
      <c r="B638" s="29">
        <f t="shared" si="39"/>
        <v>6.5480115273774269</v>
      </c>
      <c r="C638" s="30">
        <f t="shared" si="38"/>
        <v>1.3014135624921605E-2</v>
      </c>
      <c r="D638" s="30">
        <f t="shared" si="36"/>
        <v>0.1276257238329187</v>
      </c>
      <c r="E638" s="30">
        <f t="shared" si="37"/>
        <v>0.13861089000173127</v>
      </c>
    </row>
    <row r="639" spans="2:5" ht="13.9" customHeight="1" x14ac:dyDescent="0.25">
      <c r="B639" s="29">
        <f t="shared" si="39"/>
        <v>6.5580115273774267</v>
      </c>
      <c r="C639" s="30">
        <f t="shared" si="38"/>
        <v>1.2974476611660402E-2</v>
      </c>
      <c r="D639" s="30">
        <f t="shared" si="36"/>
        <v>0.12723679978757005</v>
      </c>
      <c r="E639" s="30">
        <f t="shared" si="37"/>
        <v>0.13861089000173127</v>
      </c>
    </row>
    <row r="640" spans="2:5" ht="13.9" customHeight="1" x14ac:dyDescent="0.25">
      <c r="B640" s="29">
        <f t="shared" si="39"/>
        <v>6.5680115273774264</v>
      </c>
      <c r="C640" s="30">
        <f t="shared" si="38"/>
        <v>1.2934998606674145E-2</v>
      </c>
      <c r="D640" s="30">
        <f t="shared" si="36"/>
        <v>0.12684965083607133</v>
      </c>
      <c r="E640" s="30">
        <f t="shared" si="37"/>
        <v>0.1386108900017313</v>
      </c>
    </row>
    <row r="641" spans="2:5" ht="13.9" customHeight="1" x14ac:dyDescent="0.25">
      <c r="B641" s="29">
        <f t="shared" si="39"/>
        <v>6.5780115273774262</v>
      </c>
      <c r="C641" s="30">
        <f t="shared" si="38"/>
        <v>1.2895700510113024E-2</v>
      </c>
      <c r="D641" s="30">
        <f t="shared" si="36"/>
        <v>0.12646426619252538</v>
      </c>
      <c r="E641" s="30">
        <f t="shared" si="37"/>
        <v>0.1386108900017313</v>
      </c>
    </row>
    <row r="642" spans="2:5" ht="13.9" customHeight="1" x14ac:dyDescent="0.25">
      <c r="B642" s="29">
        <f t="shared" si="39"/>
        <v>6.588011527377426</v>
      </c>
      <c r="C642" s="30">
        <f t="shared" si="38"/>
        <v>1.2856581230468239E-2</v>
      </c>
      <c r="D642" s="30">
        <f t="shared" si="36"/>
        <v>0.12608063515283288</v>
      </c>
      <c r="E642" s="30">
        <f t="shared" si="37"/>
        <v>0.1386108900017313</v>
      </c>
    </row>
    <row r="643" spans="2:5" ht="13.9" customHeight="1" x14ac:dyDescent="0.25">
      <c r="B643" s="29">
        <f t="shared" si="39"/>
        <v>6.5980115273774258</v>
      </c>
      <c r="C643" s="30">
        <f t="shared" si="38"/>
        <v>1.2817639684496219E-2</v>
      </c>
      <c r="D643" s="30">
        <f t="shared" si="36"/>
        <v>0.12569874709394907</v>
      </c>
      <c r="E643" s="30">
        <f t="shared" si="37"/>
        <v>0.1386108900017313</v>
      </c>
    </row>
    <row r="644" spans="2:5" ht="13.9" customHeight="1" x14ac:dyDescent="0.25">
      <c r="B644" s="29">
        <f t="shared" si="39"/>
        <v>6.6080115273774256</v>
      </c>
      <c r="C644" s="30">
        <f t="shared" si="38"/>
        <v>1.2778874797143623E-2</v>
      </c>
      <c r="D644" s="30">
        <f t="shared" si="36"/>
        <v>0.12531859147314836</v>
      </c>
      <c r="E644" s="30">
        <f t="shared" si="37"/>
        <v>0.1386108900017313</v>
      </c>
    </row>
    <row r="645" spans="2:5" ht="13.9" customHeight="1" x14ac:dyDescent="0.25">
      <c r="B645" s="29">
        <f t="shared" si="39"/>
        <v>6.6180115273774254</v>
      </c>
      <c r="C645" s="30">
        <f t="shared" si="38"/>
        <v>1.2740285501473153E-2</v>
      </c>
      <c r="D645" s="30">
        <f t="shared" si="36"/>
        <v>0.12494015782729677</v>
      </c>
      <c r="E645" s="30">
        <f t="shared" si="37"/>
        <v>0.1386108900017313</v>
      </c>
    </row>
    <row r="646" spans="2:5" ht="13.9" customHeight="1" x14ac:dyDescent="0.25">
      <c r="B646" s="29">
        <f t="shared" si="39"/>
        <v>6.6280115273774252</v>
      </c>
      <c r="C646" s="30">
        <f t="shared" si="38"/>
        <v>1.2701870738590131E-2</v>
      </c>
      <c r="D646" s="30">
        <f t="shared" si="36"/>
        <v>0.12456343577213183</v>
      </c>
      <c r="E646" s="30">
        <f t="shared" si="37"/>
        <v>0.1386108900017313</v>
      </c>
    </row>
    <row r="647" spans="2:5" ht="13.9" customHeight="1" x14ac:dyDescent="0.25">
      <c r="B647" s="29">
        <f t="shared" si="39"/>
        <v>6.6380115273774249</v>
      </c>
      <c r="C647" s="30">
        <f t="shared" si="38"/>
        <v>1.2663629457569854E-2</v>
      </c>
      <c r="D647" s="30">
        <f t="shared" si="36"/>
        <v>0.12418841500155028</v>
      </c>
      <c r="E647" s="30">
        <f t="shared" si="37"/>
        <v>0.13861089000173127</v>
      </c>
    </row>
    <row r="648" spans="2:5" ht="13.9" customHeight="1" x14ac:dyDescent="0.25">
      <c r="B648" s="29">
        <f t="shared" si="39"/>
        <v>6.6480115273774247</v>
      </c>
      <c r="C648" s="30">
        <f t="shared" si="38"/>
        <v>1.2625560615385731E-2</v>
      </c>
      <c r="D648" s="30">
        <f t="shared" si="36"/>
        <v>0.12381508528690324</v>
      </c>
      <c r="E648" s="30">
        <f t="shared" si="37"/>
        <v>0.1386108900017313</v>
      </c>
    </row>
    <row r="649" spans="2:5" ht="13.9" customHeight="1" x14ac:dyDescent="0.25">
      <c r="B649" s="29">
        <f t="shared" si="39"/>
        <v>6.6580115273774245</v>
      </c>
      <c r="C649" s="30">
        <f t="shared" si="38"/>
        <v>1.2587663176838147E-2</v>
      </c>
      <c r="D649" s="30">
        <f t="shared" ref="D649:D712" si="40">C649*9.8067</f>
        <v>0.12344343647629864</v>
      </c>
      <c r="E649" s="30">
        <f t="shared" ref="E649:E712" si="41">((B649^2)/(4*PI()^2))*D649</f>
        <v>0.1386108900017313</v>
      </c>
    </row>
    <row r="650" spans="2:5" ht="13.9" customHeight="1" x14ac:dyDescent="0.25">
      <c r="B650" s="29">
        <f t="shared" si="39"/>
        <v>6.6680115273774243</v>
      </c>
      <c r="C650" s="30">
        <f t="shared" si="38"/>
        <v>1.2549936114484097E-2</v>
      </c>
      <c r="D650" s="30">
        <f t="shared" si="40"/>
        <v>0.12307345849391119</v>
      </c>
      <c r="E650" s="30">
        <f t="shared" si="41"/>
        <v>0.1386108900017313</v>
      </c>
    </row>
    <row r="651" spans="2:5" ht="13.9" customHeight="1" x14ac:dyDescent="0.25">
      <c r="B651" s="29">
        <f t="shared" si="39"/>
        <v>6.6780115273774241</v>
      </c>
      <c r="C651" s="30">
        <f t="shared" si="38"/>
        <v>1.2512378408567542E-2</v>
      </c>
      <c r="D651" s="30">
        <f t="shared" si="40"/>
        <v>0.1227051413392993</v>
      </c>
      <c r="E651" s="30">
        <f t="shared" si="41"/>
        <v>0.1386108900017313</v>
      </c>
    </row>
    <row r="652" spans="2:5" ht="13.9" customHeight="1" x14ac:dyDescent="0.25">
      <c r="B652" s="29">
        <f t="shared" si="39"/>
        <v>6.6880115273774239</v>
      </c>
      <c r="C652" s="30">
        <f t="shared" si="38"/>
        <v>1.2474989046950498E-2</v>
      </c>
      <c r="D652" s="30">
        <f t="shared" si="40"/>
        <v>0.12233847508672945</v>
      </c>
      <c r="E652" s="30">
        <f t="shared" si="41"/>
        <v>0.13861089000173132</v>
      </c>
    </row>
    <row r="653" spans="2:5" ht="13.9" customHeight="1" x14ac:dyDescent="0.25">
      <c r="B653" s="29">
        <f t="shared" si="39"/>
        <v>6.6980115273774237</v>
      </c>
      <c r="C653" s="30">
        <f t="shared" ref="C653:C716" si="42">IF(B653&lt;6,$C$5/B653,6*$C$5/B653^2)</f>
        <v>1.243776702504485E-2</v>
      </c>
      <c r="D653" s="30">
        <f t="shared" si="40"/>
        <v>0.12197344988450733</v>
      </c>
      <c r="E653" s="30">
        <f t="shared" si="41"/>
        <v>0.1386108900017313</v>
      </c>
    </row>
    <row r="654" spans="2:5" ht="13.9" customHeight="1" x14ac:dyDescent="0.25">
      <c r="B654" s="29">
        <f t="shared" ref="B654:B717" si="43">B653+0.01</f>
        <v>6.7080115273774235</v>
      </c>
      <c r="C654" s="30">
        <f t="shared" si="42"/>
        <v>1.2400711345744874E-2</v>
      </c>
      <c r="D654" s="30">
        <f t="shared" si="40"/>
        <v>0.12161005595431625</v>
      </c>
      <c r="E654" s="30">
        <f t="shared" si="41"/>
        <v>0.13861089000173127</v>
      </c>
    </row>
    <row r="655" spans="2:5" ht="13.9" customHeight="1" x14ac:dyDescent="0.25">
      <c r="B655" s="29">
        <f t="shared" si="43"/>
        <v>6.7180115273774232</v>
      </c>
      <c r="C655" s="30">
        <f t="shared" si="42"/>
        <v>1.2363821019360446E-2</v>
      </c>
      <c r="D655" s="30">
        <f t="shared" si="40"/>
        <v>0.12124828359056208</v>
      </c>
      <c r="E655" s="30">
        <f t="shared" si="41"/>
        <v>0.13861089000173127</v>
      </c>
    </row>
    <row r="656" spans="2:5" ht="13.9" customHeight="1" x14ac:dyDescent="0.25">
      <c r="B656" s="29">
        <f t="shared" si="43"/>
        <v>6.728011527377423</v>
      </c>
      <c r="C656" s="30">
        <f t="shared" si="42"/>
        <v>1.2327095063550977E-2</v>
      </c>
      <c r="D656" s="30">
        <f t="shared" si="40"/>
        <v>0.12088812315972536</v>
      </c>
      <c r="E656" s="30">
        <f t="shared" si="41"/>
        <v>0.13861089000173127</v>
      </c>
    </row>
    <row r="657" spans="2:5" ht="13.9" customHeight="1" x14ac:dyDescent="0.25">
      <c r="B657" s="29">
        <f t="shared" si="43"/>
        <v>6.7380115273774228</v>
      </c>
      <c r="C657" s="30">
        <f t="shared" si="42"/>
        <v>1.2290532503260006E-2</v>
      </c>
      <c r="D657" s="30">
        <f t="shared" si="40"/>
        <v>0.12052956509971989</v>
      </c>
      <c r="E657" s="30">
        <f t="shared" si="41"/>
        <v>0.13861089000173127</v>
      </c>
    </row>
    <row r="658" spans="2:5" ht="13.9" customHeight="1" x14ac:dyDescent="0.25">
      <c r="B658" s="29">
        <f t="shared" si="43"/>
        <v>6.7480115273774226</v>
      </c>
      <c r="C658" s="30">
        <f t="shared" si="42"/>
        <v>1.2254132370650485E-2</v>
      </c>
      <c r="D658" s="30">
        <f t="shared" si="40"/>
        <v>0.12017259991925811</v>
      </c>
      <c r="E658" s="30">
        <f t="shared" si="41"/>
        <v>0.1386108900017313</v>
      </c>
    </row>
    <row r="659" spans="2:5" ht="13.9" customHeight="1" x14ac:dyDescent="0.25">
      <c r="B659" s="29">
        <f t="shared" si="43"/>
        <v>6.7580115273774224</v>
      </c>
      <c r="C659" s="30">
        <f t="shared" si="42"/>
        <v>1.2217893705040726E-2</v>
      </c>
      <c r="D659" s="30">
        <f t="shared" si="40"/>
        <v>0.11981721819722288</v>
      </c>
      <c r="E659" s="30">
        <f t="shared" si="41"/>
        <v>0.1386108900017313</v>
      </c>
    </row>
    <row r="660" spans="2:5" ht="13.9" customHeight="1" x14ac:dyDescent="0.25">
      <c r="B660" s="29">
        <f t="shared" si="43"/>
        <v>6.7680115273774222</v>
      </c>
      <c r="C660" s="30">
        <f t="shared" si="42"/>
        <v>1.2181815552841016E-2</v>
      </c>
      <c r="D660" s="30">
        <f t="shared" si="40"/>
        <v>0.11946341058204599</v>
      </c>
      <c r="E660" s="30">
        <f t="shared" si="41"/>
        <v>0.1386108900017313</v>
      </c>
    </row>
    <row r="661" spans="2:5" ht="13.9" customHeight="1" x14ac:dyDescent="0.25">
      <c r="B661" s="29">
        <f t="shared" si="43"/>
        <v>6.778011527377422</v>
      </c>
      <c r="C661" s="30">
        <f t="shared" si="42"/>
        <v>1.2145896967490889E-2</v>
      </c>
      <c r="D661" s="30">
        <f t="shared" si="40"/>
        <v>0.11911116779109289</v>
      </c>
      <c r="E661" s="30">
        <f t="shared" si="41"/>
        <v>0.13861089000173127</v>
      </c>
    </row>
    <row r="662" spans="2:5" ht="13.9" customHeight="1" x14ac:dyDescent="0.25">
      <c r="B662" s="29">
        <f t="shared" si="43"/>
        <v>6.7880115273774217</v>
      </c>
      <c r="C662" s="30">
        <f t="shared" si="42"/>
        <v>1.2110137009397033E-2</v>
      </c>
      <c r="D662" s="30">
        <f t="shared" si="40"/>
        <v>0.11876048061005388</v>
      </c>
      <c r="E662" s="30">
        <f t="shared" si="41"/>
        <v>0.1386108900017313</v>
      </c>
    </row>
    <row r="663" spans="2:5" ht="13.9" customHeight="1" x14ac:dyDescent="0.25">
      <c r="B663" s="29">
        <f t="shared" si="43"/>
        <v>6.7980115273774215</v>
      </c>
      <c r="C663" s="30">
        <f t="shared" si="42"/>
        <v>1.2074534745871843E-2</v>
      </c>
      <c r="D663" s="30">
        <f t="shared" si="40"/>
        <v>0.1184113398923414</v>
      </c>
      <c r="E663" s="30">
        <f t="shared" si="41"/>
        <v>0.1386108900017313</v>
      </c>
    </row>
    <row r="664" spans="2:5" ht="13.9" customHeight="1" x14ac:dyDescent="0.25">
      <c r="B664" s="29">
        <f t="shared" si="43"/>
        <v>6.8080115273774213</v>
      </c>
      <c r="C664" s="30">
        <f t="shared" si="42"/>
        <v>1.2039089251072605E-2</v>
      </c>
      <c r="D664" s="30">
        <f t="shared" si="40"/>
        <v>0.1180637365584937</v>
      </c>
      <c r="E664" s="30">
        <f t="shared" si="41"/>
        <v>0.1386108900017313</v>
      </c>
    </row>
    <row r="665" spans="2:5" ht="13.9" customHeight="1" x14ac:dyDescent="0.25">
      <c r="B665" s="29">
        <f t="shared" si="43"/>
        <v>6.8180115273774211</v>
      </c>
      <c r="C665" s="30">
        <f t="shared" si="42"/>
        <v>1.2003799605941312E-2</v>
      </c>
      <c r="D665" s="30">
        <f t="shared" si="40"/>
        <v>0.11771766159558465</v>
      </c>
      <c r="E665" s="30">
        <f t="shared" si="41"/>
        <v>0.1386108900017313</v>
      </c>
    </row>
    <row r="666" spans="2:5" ht="13.9" customHeight="1" x14ac:dyDescent="0.25">
      <c r="B666" s="29">
        <f t="shared" si="43"/>
        <v>6.8280115273774209</v>
      </c>
      <c r="C666" s="30">
        <f t="shared" si="42"/>
        <v>1.1968664898145069E-2</v>
      </c>
      <c r="D666" s="30">
        <f t="shared" si="40"/>
        <v>0.11737310605663924</v>
      </c>
      <c r="E666" s="30">
        <f t="shared" si="41"/>
        <v>0.13861089000173127</v>
      </c>
    </row>
    <row r="667" spans="2:5" ht="13.9" customHeight="1" x14ac:dyDescent="0.25">
      <c r="B667" s="29">
        <f t="shared" si="43"/>
        <v>6.8380115273774207</v>
      </c>
      <c r="C667" s="30">
        <f t="shared" si="42"/>
        <v>1.1933684222017153E-2</v>
      </c>
      <c r="D667" s="30">
        <f t="shared" si="40"/>
        <v>0.1170300610600556</v>
      </c>
      <c r="E667" s="30">
        <f t="shared" si="41"/>
        <v>0.13861089000173127</v>
      </c>
    </row>
    <row r="668" spans="2:5" ht="13.9" customHeight="1" x14ac:dyDescent="0.25">
      <c r="B668" s="29">
        <f t="shared" si="43"/>
        <v>6.8480115273774205</v>
      </c>
      <c r="C668" s="30">
        <f t="shared" si="42"/>
        <v>1.1898856678498626E-2</v>
      </c>
      <c r="D668" s="30">
        <f t="shared" si="40"/>
        <v>0.11668851778903247</v>
      </c>
      <c r="E668" s="30">
        <f t="shared" si="41"/>
        <v>0.13861089000173127</v>
      </c>
    </row>
    <row r="669" spans="2:5" ht="13.9" customHeight="1" x14ac:dyDescent="0.25">
      <c r="B669" s="29">
        <f t="shared" si="43"/>
        <v>6.8580115273774203</v>
      </c>
      <c r="C669" s="30">
        <f t="shared" si="42"/>
        <v>1.1864181375080577E-2</v>
      </c>
      <c r="D669" s="30">
        <f t="shared" si="40"/>
        <v>0.11634846749100269</v>
      </c>
      <c r="E669" s="30">
        <f t="shared" si="41"/>
        <v>0.1386108900017313</v>
      </c>
    </row>
    <row r="670" spans="2:5" ht="13.9" customHeight="1" x14ac:dyDescent="0.25">
      <c r="B670" s="29">
        <f t="shared" si="43"/>
        <v>6.86801152737742</v>
      </c>
      <c r="C670" s="30">
        <f t="shared" si="42"/>
        <v>1.1829657425746942E-2</v>
      </c>
      <c r="D670" s="30">
        <f t="shared" si="40"/>
        <v>0.11600990147707252</v>
      </c>
      <c r="E670" s="30">
        <f t="shared" si="41"/>
        <v>0.13861089000173127</v>
      </c>
    </row>
    <row r="671" spans="2:5" ht="13.9" customHeight="1" x14ac:dyDescent="0.25">
      <c r="B671" s="29">
        <f t="shared" si="43"/>
        <v>6.8780115273774198</v>
      </c>
      <c r="C671" s="30">
        <f t="shared" si="42"/>
        <v>1.1795283950917898E-2</v>
      </c>
      <c r="D671" s="30">
        <f t="shared" si="40"/>
        <v>0.11567281112146655</v>
      </c>
      <c r="E671" s="30">
        <f t="shared" si="41"/>
        <v>0.13861089000173127</v>
      </c>
    </row>
    <row r="672" spans="2:5" ht="13.9" customHeight="1" x14ac:dyDescent="0.25">
      <c r="B672" s="29">
        <f t="shared" si="43"/>
        <v>6.8880115273774196</v>
      </c>
      <c r="C672" s="30">
        <f t="shared" si="42"/>
        <v>1.1761060077393852E-2</v>
      </c>
      <c r="D672" s="30">
        <f t="shared" si="40"/>
        <v>0.11533718786097828</v>
      </c>
      <c r="E672" s="30">
        <f t="shared" si="41"/>
        <v>0.1386108900017313</v>
      </c>
    </row>
    <row r="673" spans="2:5" ht="13.9" customHeight="1" x14ac:dyDescent="0.25">
      <c r="B673" s="29">
        <f t="shared" si="43"/>
        <v>6.8980115273774194</v>
      </c>
      <c r="C673" s="30">
        <f t="shared" si="42"/>
        <v>1.172698493829997E-2</v>
      </c>
      <c r="D673" s="30">
        <f t="shared" si="40"/>
        <v>0.1150030231944263</v>
      </c>
      <c r="E673" s="30">
        <f t="shared" si="41"/>
        <v>0.1386108900017313</v>
      </c>
    </row>
    <row r="674" spans="2:5" ht="13.9" customHeight="1" x14ac:dyDescent="0.25">
      <c r="B674" s="29">
        <f t="shared" si="43"/>
        <v>6.9080115273774192</v>
      </c>
      <c r="C674" s="30">
        <f t="shared" si="42"/>
        <v>1.1693057673031295E-2</v>
      </c>
      <c r="D674" s="30">
        <f t="shared" si="40"/>
        <v>0.114670308682116</v>
      </c>
      <c r="E674" s="30">
        <f t="shared" si="41"/>
        <v>0.1386108900017313</v>
      </c>
    </row>
    <row r="675" spans="2:5" ht="13.9" customHeight="1" x14ac:dyDescent="0.25">
      <c r="B675" s="29">
        <f t="shared" si="43"/>
        <v>6.918011527377419</v>
      </c>
      <c r="C675" s="30">
        <f t="shared" si="42"/>
        <v>1.1659277427198397E-2</v>
      </c>
      <c r="D675" s="30">
        <f t="shared" si="40"/>
        <v>0.11433903594530652</v>
      </c>
      <c r="E675" s="30">
        <f t="shared" si="41"/>
        <v>0.13861089000173127</v>
      </c>
    </row>
    <row r="676" spans="2:5" ht="13.9" customHeight="1" x14ac:dyDescent="0.25">
      <c r="B676" s="29">
        <f t="shared" si="43"/>
        <v>6.9280115273774188</v>
      </c>
      <c r="C676" s="30">
        <f t="shared" si="42"/>
        <v>1.1625643352573595E-2</v>
      </c>
      <c r="D676" s="30">
        <f t="shared" si="40"/>
        <v>0.11400919666568346</v>
      </c>
      <c r="E676" s="30">
        <f t="shared" si="41"/>
        <v>0.13861089000173127</v>
      </c>
    </row>
    <row r="677" spans="2:5" ht="13.9" customHeight="1" x14ac:dyDescent="0.25">
      <c r="B677" s="29">
        <f t="shared" si="43"/>
        <v>6.9380115273774186</v>
      </c>
      <c r="C677" s="30">
        <f t="shared" si="42"/>
        <v>1.1592154607037693E-2</v>
      </c>
      <c r="D677" s="30">
        <f t="shared" si="40"/>
        <v>0.11368078258483653</v>
      </c>
      <c r="E677" s="30">
        <f t="shared" si="41"/>
        <v>0.1386108900017313</v>
      </c>
    </row>
    <row r="678" spans="2:5" ht="13.9" customHeight="1" x14ac:dyDescent="0.25">
      <c r="B678" s="29">
        <f t="shared" si="43"/>
        <v>6.9480115273774183</v>
      </c>
      <c r="C678" s="30">
        <f t="shared" si="42"/>
        <v>1.1558810354527282E-2</v>
      </c>
      <c r="D678" s="30">
        <f t="shared" si="40"/>
        <v>0.11335378550374269</v>
      </c>
      <c r="E678" s="30">
        <f t="shared" si="41"/>
        <v>0.1386108900017313</v>
      </c>
    </row>
    <row r="679" spans="2:5" ht="13.9" customHeight="1" x14ac:dyDescent="0.25">
      <c r="B679" s="29">
        <f t="shared" si="43"/>
        <v>6.9580115273774181</v>
      </c>
      <c r="C679" s="30">
        <f t="shared" si="42"/>
        <v>1.1525609764982552E-2</v>
      </c>
      <c r="D679" s="30">
        <f t="shared" si="40"/>
        <v>0.11302819728225438</v>
      </c>
      <c r="E679" s="30">
        <f t="shared" si="41"/>
        <v>0.13861089000173127</v>
      </c>
    </row>
    <row r="680" spans="2:5" ht="13.9" customHeight="1" x14ac:dyDescent="0.25">
      <c r="B680" s="29">
        <f t="shared" si="43"/>
        <v>6.9680115273774179</v>
      </c>
      <c r="C680" s="30">
        <f t="shared" si="42"/>
        <v>1.1492552014295629E-2</v>
      </c>
      <c r="D680" s="30">
        <f t="shared" si="40"/>
        <v>0.11270400983859294</v>
      </c>
      <c r="E680" s="30">
        <f t="shared" si="41"/>
        <v>0.1386108900017313</v>
      </c>
    </row>
    <row r="681" spans="2:5" ht="13.9" customHeight="1" x14ac:dyDescent="0.25">
      <c r="B681" s="29">
        <f t="shared" si="43"/>
        <v>6.9780115273774177</v>
      </c>
      <c r="C681" s="30">
        <f t="shared" si="42"/>
        <v>1.1459636284259443E-2</v>
      </c>
      <c r="D681" s="30">
        <f t="shared" si="40"/>
        <v>0.11238121514884707</v>
      </c>
      <c r="E681" s="30">
        <f t="shared" si="41"/>
        <v>0.1386108900017313</v>
      </c>
    </row>
    <row r="682" spans="2:5" ht="13.9" customHeight="1" x14ac:dyDescent="0.25">
      <c r="B682" s="29">
        <f t="shared" si="43"/>
        <v>6.9880115273774175</v>
      </c>
      <c r="C682" s="30">
        <f t="shared" si="42"/>
        <v>1.1426861762517089E-2</v>
      </c>
      <c r="D682" s="30">
        <f t="shared" si="40"/>
        <v>0.11205980524647634</v>
      </c>
      <c r="E682" s="30">
        <f t="shared" si="41"/>
        <v>0.1386108900017313</v>
      </c>
    </row>
    <row r="683" spans="2:5" ht="13.9" customHeight="1" x14ac:dyDescent="0.25">
      <c r="B683" s="29">
        <f t="shared" si="43"/>
        <v>6.9980115273774173</v>
      </c>
      <c r="C683" s="30">
        <f t="shared" si="42"/>
        <v>1.1394227642511719E-2</v>
      </c>
      <c r="D683" s="30">
        <f t="shared" si="40"/>
        <v>0.11173977222181966</v>
      </c>
      <c r="E683" s="30">
        <f t="shared" si="41"/>
        <v>0.13861089000173127</v>
      </c>
    </row>
    <row r="684" spans="2:5" ht="13.9" customHeight="1" x14ac:dyDescent="0.25">
      <c r="B684" s="29">
        <f t="shared" si="43"/>
        <v>7.0080115273774171</v>
      </c>
      <c r="C684" s="30">
        <f t="shared" si="42"/>
        <v>1.13617331234369E-2</v>
      </c>
      <c r="D684" s="30">
        <f t="shared" si="40"/>
        <v>0.11142110822160864</v>
      </c>
      <c r="E684" s="30">
        <f t="shared" si="41"/>
        <v>0.1386108900017313</v>
      </c>
    </row>
    <row r="685" spans="2:5" ht="13.9" customHeight="1" x14ac:dyDescent="0.25">
      <c r="B685" s="29">
        <f t="shared" si="43"/>
        <v>7.0180115273774168</v>
      </c>
      <c r="C685" s="30">
        <f t="shared" si="42"/>
        <v>1.1329377410187507E-2</v>
      </c>
      <c r="D685" s="30">
        <f t="shared" si="40"/>
        <v>0.11110380544848582</v>
      </c>
      <c r="E685" s="30">
        <f t="shared" si="41"/>
        <v>0.1386108900017313</v>
      </c>
    </row>
    <row r="686" spans="2:5" ht="13.9" customHeight="1" x14ac:dyDescent="0.25">
      <c r="B686" s="29">
        <f t="shared" si="43"/>
        <v>7.0280115273774166</v>
      </c>
      <c r="C686" s="30">
        <f t="shared" si="42"/>
        <v>1.1297159713311066E-2</v>
      </c>
      <c r="D686" s="30">
        <f t="shared" si="40"/>
        <v>0.11078785616052762</v>
      </c>
      <c r="E686" s="30">
        <f t="shared" si="41"/>
        <v>0.1386108900017313</v>
      </c>
    </row>
    <row r="687" spans="2:5" ht="13.9" customHeight="1" x14ac:dyDescent="0.25">
      <c r="B687" s="29">
        <f t="shared" si="43"/>
        <v>7.0380115273774164</v>
      </c>
      <c r="C687" s="30">
        <f t="shared" si="42"/>
        <v>1.1265079248959612E-2</v>
      </c>
      <c r="D687" s="30">
        <f t="shared" si="40"/>
        <v>0.11047325267077222</v>
      </c>
      <c r="E687" s="30">
        <f t="shared" si="41"/>
        <v>0.1386108900017313</v>
      </c>
    </row>
    <row r="688" spans="2:5" ht="13.9" customHeight="1" x14ac:dyDescent="0.25">
      <c r="B688" s="29">
        <f t="shared" si="43"/>
        <v>7.0480115273774162</v>
      </c>
      <c r="C688" s="30">
        <f t="shared" si="42"/>
        <v>1.1233135238842003E-2</v>
      </c>
      <c r="D688" s="30">
        <f t="shared" si="40"/>
        <v>0.11015998734675186</v>
      </c>
      <c r="E688" s="30">
        <f t="shared" si="41"/>
        <v>0.1386108900017313</v>
      </c>
    </row>
    <row r="689" spans="2:5" ht="13.9" customHeight="1" x14ac:dyDescent="0.25">
      <c r="B689" s="29">
        <f t="shared" si="43"/>
        <v>7.058011527377416</v>
      </c>
      <c r="C689" s="30">
        <f t="shared" si="42"/>
        <v>1.120132691017672E-2</v>
      </c>
      <c r="D689" s="30">
        <f t="shared" si="40"/>
        <v>0.10984805261003003</v>
      </c>
      <c r="E689" s="30">
        <f t="shared" si="41"/>
        <v>0.13861089000173127</v>
      </c>
    </row>
    <row r="690" spans="2:5" ht="13.9" customHeight="1" x14ac:dyDescent="0.25">
      <c r="B690" s="29">
        <f t="shared" si="43"/>
        <v>7.0680115273774158</v>
      </c>
      <c r="C690" s="30">
        <f t="shared" si="42"/>
        <v>1.1169653495645126E-2</v>
      </c>
      <c r="D690" s="30">
        <f t="shared" si="40"/>
        <v>0.10953744093574304</v>
      </c>
      <c r="E690" s="30">
        <f t="shared" si="41"/>
        <v>0.1386108900017313</v>
      </c>
    </row>
    <row r="691" spans="2:5" ht="13.9" customHeight="1" x14ac:dyDescent="0.25">
      <c r="B691" s="29">
        <f t="shared" si="43"/>
        <v>7.0780115273774156</v>
      </c>
      <c r="C691" s="30">
        <f t="shared" si="42"/>
        <v>1.1138114233345191E-2</v>
      </c>
      <c r="D691" s="30">
        <f t="shared" si="40"/>
        <v>0.10922814485214628</v>
      </c>
      <c r="E691" s="30">
        <f t="shared" si="41"/>
        <v>0.13861089000173127</v>
      </c>
    </row>
    <row r="692" spans="2:5" ht="13.9" customHeight="1" x14ac:dyDescent="0.25">
      <c r="B692" s="29">
        <f t="shared" si="43"/>
        <v>7.0880115273774154</v>
      </c>
      <c r="C692" s="30">
        <f t="shared" si="42"/>
        <v>1.1106708366745679E-2</v>
      </c>
      <c r="D692" s="30">
        <f t="shared" si="40"/>
        <v>0.10892015694016484</v>
      </c>
      <c r="E692" s="30">
        <f t="shared" si="41"/>
        <v>0.1386108900017313</v>
      </c>
    </row>
    <row r="693" spans="2:5" ht="13.9" customHeight="1" x14ac:dyDescent="0.25">
      <c r="B693" s="29">
        <f t="shared" si="43"/>
        <v>7.0980115273774151</v>
      </c>
      <c r="C693" s="30">
        <f t="shared" si="42"/>
        <v>1.1075435144640766E-2</v>
      </c>
      <c r="D693" s="30">
        <f t="shared" si="40"/>
        <v>0.10861346983294859</v>
      </c>
      <c r="E693" s="30">
        <f t="shared" si="41"/>
        <v>0.1386108900017313</v>
      </c>
    </row>
    <row r="694" spans="2:5" ht="13.9" customHeight="1" x14ac:dyDescent="0.25">
      <c r="B694" s="29">
        <f t="shared" si="43"/>
        <v>7.1080115273774149</v>
      </c>
      <c r="C694" s="30">
        <f t="shared" si="42"/>
        <v>1.104429382110513E-2</v>
      </c>
      <c r="D694" s="30">
        <f t="shared" si="40"/>
        <v>0.10830807621543168</v>
      </c>
      <c r="E694" s="30">
        <f t="shared" si="41"/>
        <v>0.1386108900017313</v>
      </c>
    </row>
    <row r="695" spans="2:5" ht="13.9" customHeight="1" x14ac:dyDescent="0.25">
      <c r="B695" s="29">
        <f t="shared" si="43"/>
        <v>7.1180115273774147</v>
      </c>
      <c r="C695" s="30">
        <f t="shared" si="42"/>
        <v>1.1013283655449476E-2</v>
      </c>
      <c r="D695" s="30">
        <f t="shared" si="40"/>
        <v>0.10800396882389637</v>
      </c>
      <c r="E695" s="30">
        <f t="shared" si="41"/>
        <v>0.13861089000173127</v>
      </c>
    </row>
    <row r="696" spans="2:5" ht="13.9" customHeight="1" x14ac:dyDescent="0.25">
      <c r="B696" s="29">
        <f t="shared" si="43"/>
        <v>7.1280115273774145</v>
      </c>
      <c r="C696" s="30">
        <f t="shared" si="42"/>
        <v>1.0982403912176477E-2</v>
      </c>
      <c r="D696" s="30">
        <f t="shared" si="40"/>
        <v>0.10770114044554105</v>
      </c>
      <c r="E696" s="30">
        <f t="shared" si="41"/>
        <v>0.1386108900017313</v>
      </c>
    </row>
    <row r="697" spans="2:5" ht="13.9" customHeight="1" x14ac:dyDescent="0.25">
      <c r="B697" s="29">
        <f t="shared" si="43"/>
        <v>7.1380115273774143</v>
      </c>
      <c r="C697" s="30">
        <f t="shared" si="42"/>
        <v>1.0951653860937174E-2</v>
      </c>
      <c r="D697" s="30">
        <f t="shared" si="40"/>
        <v>0.10739958391805259</v>
      </c>
      <c r="E697" s="30">
        <f t="shared" si="41"/>
        <v>0.1386108900017313</v>
      </c>
    </row>
    <row r="698" spans="2:5" ht="13.9" customHeight="1" x14ac:dyDescent="0.25">
      <c r="B698" s="29">
        <f t="shared" si="43"/>
        <v>7.1480115273774141</v>
      </c>
      <c r="C698" s="30">
        <f t="shared" si="42"/>
        <v>1.0921032776487786E-2</v>
      </c>
      <c r="D698" s="30">
        <f t="shared" si="40"/>
        <v>0.10709929212918276</v>
      </c>
      <c r="E698" s="30">
        <f t="shared" si="41"/>
        <v>0.13861089000173127</v>
      </c>
    </row>
    <row r="699" spans="2:5" ht="13.9" customHeight="1" x14ac:dyDescent="0.25">
      <c r="B699" s="29">
        <f t="shared" si="43"/>
        <v>7.1580115273774139</v>
      </c>
      <c r="C699" s="30">
        <f t="shared" si="42"/>
        <v>1.0890539938646955E-2</v>
      </c>
      <c r="D699" s="30">
        <f t="shared" si="40"/>
        <v>0.10680025801632909</v>
      </c>
      <c r="E699" s="30">
        <f t="shared" si="41"/>
        <v>0.1386108900017313</v>
      </c>
    </row>
    <row r="700" spans="2:5" ht="13.9" customHeight="1" x14ac:dyDescent="0.25">
      <c r="B700" s="29">
        <f t="shared" si="43"/>
        <v>7.1680115273774136</v>
      </c>
      <c r="C700" s="30">
        <f t="shared" si="42"/>
        <v>1.086017463225339E-2</v>
      </c>
      <c r="D700" s="30">
        <f t="shared" si="40"/>
        <v>0.10650247456611932</v>
      </c>
      <c r="E700" s="30">
        <f t="shared" si="41"/>
        <v>0.1386108900017313</v>
      </c>
    </row>
    <row r="701" spans="2:5" ht="13.9" customHeight="1" x14ac:dyDescent="0.25">
      <c r="B701" s="29">
        <f t="shared" si="43"/>
        <v>7.1780115273774134</v>
      </c>
      <c r="C701" s="30">
        <f t="shared" si="42"/>
        <v>1.0829936147123938E-2</v>
      </c>
      <c r="D701" s="30">
        <f t="shared" si="40"/>
        <v>0.10620593481400031</v>
      </c>
      <c r="E701" s="30">
        <f t="shared" si="41"/>
        <v>0.1386108900017313</v>
      </c>
    </row>
    <row r="702" spans="2:5" ht="13.9" customHeight="1" x14ac:dyDescent="0.25">
      <c r="B702" s="29">
        <f t="shared" si="43"/>
        <v>7.1880115273774132</v>
      </c>
      <c r="C702" s="30">
        <f t="shared" si="42"/>
        <v>1.0799823778012065E-2</v>
      </c>
      <c r="D702" s="30">
        <f t="shared" si="40"/>
        <v>0.1059106318438309</v>
      </c>
      <c r="E702" s="30">
        <f t="shared" si="41"/>
        <v>0.13861089000173127</v>
      </c>
    </row>
    <row r="703" spans="2:5" ht="13.9" customHeight="1" x14ac:dyDescent="0.25">
      <c r="B703" s="29">
        <f t="shared" si="43"/>
        <v>7.198011527377413</v>
      </c>
      <c r="C703" s="30">
        <f t="shared" si="42"/>
        <v>1.0769836824566725E-2</v>
      </c>
      <c r="D703" s="30">
        <f t="shared" si="40"/>
        <v>0.1056165587874785</v>
      </c>
      <c r="E703" s="30">
        <f t="shared" si="41"/>
        <v>0.1386108900017313</v>
      </c>
    </row>
    <row r="704" spans="2:5" ht="13.9" customHeight="1" x14ac:dyDescent="0.25">
      <c r="B704" s="29">
        <f t="shared" si="43"/>
        <v>7.2080115273774128</v>
      </c>
      <c r="C704" s="30">
        <f t="shared" si="42"/>
        <v>1.0739974591291647E-2</v>
      </c>
      <c r="D704" s="30">
        <f t="shared" si="40"/>
        <v>0.10532370882441978</v>
      </c>
      <c r="E704" s="30">
        <f t="shared" si="41"/>
        <v>0.13861089000173127</v>
      </c>
    </row>
    <row r="705" spans="2:5" ht="13.9" customHeight="1" x14ac:dyDescent="0.25">
      <c r="B705" s="29">
        <f t="shared" si="43"/>
        <v>7.2180115273774126</v>
      </c>
      <c r="C705" s="30">
        <f t="shared" si="42"/>
        <v>1.0710236387505002E-2</v>
      </c>
      <c r="D705" s="30">
        <f t="shared" si="40"/>
        <v>0.10503207518134529</v>
      </c>
      <c r="E705" s="30">
        <f t="shared" si="41"/>
        <v>0.1386108900017313</v>
      </c>
    </row>
    <row r="706" spans="2:5" ht="13.9" customHeight="1" x14ac:dyDescent="0.25">
      <c r="B706" s="29">
        <f t="shared" si="43"/>
        <v>7.2280115273774124</v>
      </c>
      <c r="C706" s="30">
        <f t="shared" si="42"/>
        <v>1.0680621527299464E-2</v>
      </c>
      <c r="D706" s="30">
        <f t="shared" si="40"/>
        <v>0.10474165113176764</v>
      </c>
      <c r="E706" s="30">
        <f t="shared" si="41"/>
        <v>0.1386108900017313</v>
      </c>
    </row>
    <row r="707" spans="2:5" ht="13.9" customHeight="1" x14ac:dyDescent="0.25">
      <c r="B707" s="29">
        <f t="shared" si="43"/>
        <v>7.2380115273774122</v>
      </c>
      <c r="C707" s="30">
        <f t="shared" si="42"/>
        <v>1.0651129329502669E-2</v>
      </c>
      <c r="D707" s="30">
        <f t="shared" si="40"/>
        <v>0.10445242999563381</v>
      </c>
      <c r="E707" s="30">
        <f t="shared" si="41"/>
        <v>0.1386108900017313</v>
      </c>
    </row>
    <row r="708" spans="2:5" ht="13.9" customHeight="1" x14ac:dyDescent="0.25">
      <c r="B708" s="29">
        <f t="shared" si="43"/>
        <v>7.2480115273774119</v>
      </c>
      <c r="C708" s="30">
        <f t="shared" si="42"/>
        <v>1.0621759117638029E-2</v>
      </c>
      <c r="D708" s="30">
        <f t="shared" si="40"/>
        <v>0.10416440513894086</v>
      </c>
      <c r="E708" s="30">
        <f t="shared" si="41"/>
        <v>0.13861089000173132</v>
      </c>
    </row>
    <row r="709" spans="2:5" ht="13.9" customHeight="1" x14ac:dyDescent="0.25">
      <c r="B709" s="29">
        <f t="shared" si="43"/>
        <v>7.2580115273774117</v>
      </c>
      <c r="C709" s="30">
        <f t="shared" si="42"/>
        <v>1.059251021988596E-2</v>
      </c>
      <c r="D709" s="30">
        <f t="shared" si="40"/>
        <v>0.10387756997335564</v>
      </c>
      <c r="E709" s="30">
        <f t="shared" si="41"/>
        <v>0.1386108900017313</v>
      </c>
    </row>
    <row r="710" spans="2:5" ht="13.9" customHeight="1" x14ac:dyDescent="0.25">
      <c r="B710" s="29">
        <f t="shared" si="43"/>
        <v>7.2680115273774115</v>
      </c>
      <c r="C710" s="30">
        <f t="shared" si="42"/>
        <v>1.0563381969045445E-2</v>
      </c>
      <c r="D710" s="30">
        <f t="shared" si="40"/>
        <v>0.10359191795583796</v>
      </c>
      <c r="E710" s="30">
        <f t="shared" si="41"/>
        <v>0.1386108900017313</v>
      </c>
    </row>
    <row r="711" spans="2:5" ht="13.9" customHeight="1" x14ac:dyDescent="0.25">
      <c r="B711" s="29">
        <f t="shared" si="43"/>
        <v>7.2780115273774113</v>
      </c>
      <c r="C711" s="30">
        <f t="shared" si="42"/>
        <v>1.0534373702495993E-2</v>
      </c>
      <c r="D711" s="30">
        <f t="shared" si="40"/>
        <v>0.10330744258826745</v>
      </c>
      <c r="E711" s="30">
        <f t="shared" si="41"/>
        <v>0.1386108900017313</v>
      </c>
    </row>
    <row r="712" spans="2:5" ht="13.9" customHeight="1" x14ac:dyDescent="0.25">
      <c r="B712" s="29">
        <f t="shared" si="43"/>
        <v>7.2880115273774111</v>
      </c>
      <c r="C712" s="30">
        <f t="shared" si="42"/>
        <v>1.0505484762159961E-2</v>
      </c>
      <c r="D712" s="30">
        <f t="shared" si="40"/>
        <v>0.10302413741707409</v>
      </c>
      <c r="E712" s="30">
        <f t="shared" si="41"/>
        <v>0.1386108900017313</v>
      </c>
    </row>
    <row r="713" spans="2:5" ht="13.9" customHeight="1" x14ac:dyDescent="0.25">
      <c r="B713" s="29">
        <f t="shared" si="43"/>
        <v>7.2980115273774109</v>
      </c>
      <c r="C713" s="30">
        <f t="shared" si="42"/>
        <v>1.0476714494465213E-2</v>
      </c>
      <c r="D713" s="30">
        <f t="shared" ref="D713:D776" si="44">C713*9.8067</f>
        <v>0.102741996032872</v>
      </c>
      <c r="E713" s="30">
        <f t="shared" ref="E713:E776" si="45">((B713^2)/(4*PI()^2))*D713</f>
        <v>0.1386108900017313</v>
      </c>
    </row>
    <row r="714" spans="2:5" ht="13.9" customHeight="1" x14ac:dyDescent="0.25">
      <c r="B714" s="29">
        <f t="shared" si="43"/>
        <v>7.3080115273774107</v>
      </c>
      <c r="C714" s="30">
        <f t="shared" si="42"/>
        <v>1.0448062250308176E-2</v>
      </c>
      <c r="D714" s="30">
        <f t="shared" si="44"/>
        <v>0.10246101207009718</v>
      </c>
      <c r="E714" s="30">
        <f t="shared" si="45"/>
        <v>0.13861089000173127</v>
      </c>
    </row>
    <row r="715" spans="2:5" ht="13.9" customHeight="1" x14ac:dyDescent="0.25">
      <c r="B715" s="29">
        <f t="shared" si="43"/>
        <v>7.3180115273774105</v>
      </c>
      <c r="C715" s="30">
        <f t="shared" si="42"/>
        <v>1.0419527385017214E-2</v>
      </c>
      <c r="D715" s="30">
        <f t="shared" si="44"/>
        <v>0.10218117920664831</v>
      </c>
      <c r="E715" s="30">
        <f t="shared" si="45"/>
        <v>0.1386108900017313</v>
      </c>
    </row>
    <row r="716" spans="2:5" ht="13.9" customHeight="1" x14ac:dyDescent="0.25">
      <c r="B716" s="29">
        <f t="shared" si="43"/>
        <v>7.3280115273774102</v>
      </c>
      <c r="C716" s="30">
        <f t="shared" si="42"/>
        <v>1.0391109258316362E-2</v>
      </c>
      <c r="D716" s="30">
        <f t="shared" si="44"/>
        <v>0.10190249116353106</v>
      </c>
      <c r="E716" s="30">
        <f t="shared" si="45"/>
        <v>0.13861089000173127</v>
      </c>
    </row>
    <row r="717" spans="2:5" ht="13.9" customHeight="1" x14ac:dyDescent="0.25">
      <c r="B717" s="29">
        <f t="shared" si="43"/>
        <v>7.33801152737741</v>
      </c>
      <c r="C717" s="30">
        <f t="shared" ref="C717:C780" si="46">IF(B717&lt;6,$C$5/B717,6*$C$5/B717^2)</f>
        <v>1.0362807234289425E-2</v>
      </c>
      <c r="D717" s="30">
        <f t="shared" si="44"/>
        <v>0.10162494170450609</v>
      </c>
      <c r="E717" s="30">
        <f t="shared" si="45"/>
        <v>0.13861089000173127</v>
      </c>
    </row>
    <row r="718" spans="2:5" ht="13.9" customHeight="1" x14ac:dyDescent="0.25">
      <c r="B718" s="29">
        <f t="shared" ref="B718:B781" si="47">B717+0.01</f>
        <v>7.3480115273774098</v>
      </c>
      <c r="C718" s="30">
        <f t="shared" si="46"/>
        <v>1.0334620681344385E-2</v>
      </c>
      <c r="D718" s="30">
        <f t="shared" si="44"/>
        <v>0.10134852463573997</v>
      </c>
      <c r="E718" s="30">
        <f t="shared" si="45"/>
        <v>0.1386108900017313</v>
      </c>
    </row>
    <row r="719" spans="2:5" ht="13.9" customHeight="1" x14ac:dyDescent="0.25">
      <c r="B719" s="29">
        <f t="shared" si="47"/>
        <v>7.3580115273774096</v>
      </c>
      <c r="C719" s="30">
        <f t="shared" si="46"/>
        <v>1.0306548972178175E-2</v>
      </c>
      <c r="D719" s="30">
        <f t="shared" si="44"/>
        <v>0.1010732338054597</v>
      </c>
      <c r="E719" s="30">
        <f t="shared" si="45"/>
        <v>0.13861089000173127</v>
      </c>
    </row>
    <row r="720" spans="2:5" ht="13.9" customHeight="1" x14ac:dyDescent="0.25">
      <c r="B720" s="29">
        <f t="shared" si="47"/>
        <v>7.3680115273774094</v>
      </c>
      <c r="C720" s="30">
        <f t="shared" si="46"/>
        <v>1.0278591483741774E-2</v>
      </c>
      <c r="D720" s="30">
        <f t="shared" si="44"/>
        <v>0.10079906310361045</v>
      </c>
      <c r="E720" s="30">
        <f t="shared" si="45"/>
        <v>0.1386108900017313</v>
      </c>
    </row>
    <row r="721" spans="2:5" ht="13.9" customHeight="1" x14ac:dyDescent="0.25">
      <c r="B721" s="29">
        <f t="shared" si="47"/>
        <v>7.3780115273774092</v>
      </c>
      <c r="C721" s="30">
        <f t="shared" si="46"/>
        <v>1.0250747597205633E-2</v>
      </c>
      <c r="D721" s="30">
        <f t="shared" si="44"/>
        <v>0.10052600646151648</v>
      </c>
      <c r="E721" s="30">
        <f t="shared" si="45"/>
        <v>0.13861089000173127</v>
      </c>
    </row>
    <row r="722" spans="2:5" ht="13.9" customHeight="1" x14ac:dyDescent="0.25">
      <c r="B722" s="29">
        <f t="shared" si="47"/>
        <v>7.388011527377409</v>
      </c>
      <c r="C722" s="30">
        <f t="shared" si="46"/>
        <v>1.0223016697925432E-2</v>
      </c>
      <c r="D722" s="30">
        <f t="shared" si="44"/>
        <v>0.10025405785154533</v>
      </c>
      <c r="E722" s="30">
        <f t="shared" si="45"/>
        <v>0.13861089000173127</v>
      </c>
    </row>
    <row r="723" spans="2:5" ht="13.9" customHeight="1" x14ac:dyDescent="0.25">
      <c r="B723" s="29">
        <f t="shared" si="47"/>
        <v>7.3980115273774087</v>
      </c>
      <c r="C723" s="30">
        <f t="shared" si="46"/>
        <v>1.0195398175408163E-2</v>
      </c>
      <c r="D723" s="30">
        <f t="shared" si="44"/>
        <v>9.9983211286775231E-2</v>
      </c>
      <c r="E723" s="30">
        <f t="shared" si="45"/>
        <v>0.1386108900017313</v>
      </c>
    </row>
    <row r="724" spans="2:5" ht="13.9" customHeight="1" x14ac:dyDescent="0.25">
      <c r="B724" s="29">
        <f t="shared" si="47"/>
        <v>7.4080115273774085</v>
      </c>
      <c r="C724" s="30">
        <f t="shared" si="46"/>
        <v>1.016789142327852E-2</v>
      </c>
      <c r="D724" s="30">
        <f t="shared" si="44"/>
        <v>9.9713460820665456E-2</v>
      </c>
      <c r="E724" s="30">
        <f t="shared" si="45"/>
        <v>0.13861089000173127</v>
      </c>
    </row>
    <row r="725" spans="2:5" ht="13.9" customHeight="1" x14ac:dyDescent="0.25">
      <c r="B725" s="29">
        <f t="shared" si="47"/>
        <v>7.4180115273774083</v>
      </c>
      <c r="C725" s="30">
        <f t="shared" si="46"/>
        <v>1.0140495839245632E-2</v>
      </c>
      <c r="D725" s="30">
        <f t="shared" si="44"/>
        <v>9.9444800546730133E-2</v>
      </c>
      <c r="E725" s="30">
        <f t="shared" si="45"/>
        <v>0.1386108900017313</v>
      </c>
    </row>
    <row r="726" spans="2:5" ht="13.9" customHeight="1" x14ac:dyDescent="0.25">
      <c r="B726" s="29">
        <f t="shared" si="47"/>
        <v>7.4280115273774081</v>
      </c>
      <c r="C726" s="30">
        <f t="shared" si="46"/>
        <v>1.0113210825070077E-2</v>
      </c>
      <c r="D726" s="30">
        <f t="shared" si="44"/>
        <v>9.9177224598214722E-2</v>
      </c>
      <c r="E726" s="30">
        <f t="shared" si="45"/>
        <v>0.1386108900017313</v>
      </c>
    </row>
    <row r="727" spans="2:5" ht="13.9" customHeight="1" x14ac:dyDescent="0.25">
      <c r="B727" s="29">
        <f t="shared" si="47"/>
        <v>7.4380115273774079</v>
      </c>
      <c r="C727" s="30">
        <f t="shared" si="46"/>
        <v>1.0086035786531229E-2</v>
      </c>
      <c r="D727" s="30">
        <f t="shared" si="44"/>
        <v>9.8910727147775795E-2</v>
      </c>
      <c r="E727" s="30">
        <f t="shared" si="45"/>
        <v>0.1386108900017313</v>
      </c>
    </row>
    <row r="728" spans="2:5" ht="13.9" customHeight="1" x14ac:dyDescent="0.25">
      <c r="B728" s="29">
        <f t="shared" si="47"/>
        <v>7.4480115273774077</v>
      </c>
      <c r="C728" s="30">
        <f t="shared" si="46"/>
        <v>1.0058970133394908E-2</v>
      </c>
      <c r="D728" s="30">
        <f t="shared" si="44"/>
        <v>9.8645302407163835E-2</v>
      </c>
      <c r="E728" s="30">
        <f t="shared" si="45"/>
        <v>0.1386108900017313</v>
      </c>
    </row>
    <row r="729" spans="2:5" ht="13.9" customHeight="1" x14ac:dyDescent="0.25">
      <c r="B729" s="29">
        <f t="shared" si="47"/>
        <v>7.4580115273774075</v>
      </c>
      <c r="C729" s="30">
        <f t="shared" si="46"/>
        <v>1.0032013279381323E-2</v>
      </c>
      <c r="D729" s="30">
        <f t="shared" si="44"/>
        <v>9.8380944626908814E-2</v>
      </c>
      <c r="E729" s="30">
        <f t="shared" si="45"/>
        <v>0.1386108900017313</v>
      </c>
    </row>
    <row r="730" spans="2:5" ht="13.9" customHeight="1" x14ac:dyDescent="0.25">
      <c r="B730" s="29">
        <f t="shared" si="47"/>
        <v>7.4680115273774073</v>
      </c>
      <c r="C730" s="30">
        <f t="shared" si="46"/>
        <v>1.0005164642133333E-2</v>
      </c>
      <c r="D730" s="30">
        <f t="shared" si="44"/>
        <v>9.8117648096008953E-2</v>
      </c>
      <c r="E730" s="30">
        <f t="shared" si="45"/>
        <v>0.1386108900017313</v>
      </c>
    </row>
    <row r="731" spans="2:5" ht="13.9" customHeight="1" x14ac:dyDescent="0.25">
      <c r="B731" s="29">
        <f t="shared" si="47"/>
        <v>7.478011527377407</v>
      </c>
      <c r="C731" s="30">
        <f t="shared" si="46"/>
        <v>9.9784236431849829E-3</v>
      </c>
      <c r="D731" s="30">
        <f t="shared" si="44"/>
        <v>9.7855407141622164E-2</v>
      </c>
      <c r="E731" s="30">
        <f t="shared" si="45"/>
        <v>0.13861089000173127</v>
      </c>
    </row>
    <row r="732" spans="2:5" ht="13.9" customHeight="1" x14ac:dyDescent="0.25">
      <c r="B732" s="29">
        <f t="shared" si="47"/>
        <v>7.4880115273774068</v>
      </c>
      <c r="C732" s="30">
        <f t="shared" si="46"/>
        <v>9.9517897079303558E-3</v>
      </c>
      <c r="D732" s="30">
        <f t="shared" si="44"/>
        <v>9.7594216128760611E-2</v>
      </c>
      <c r="E732" s="30">
        <f t="shared" si="45"/>
        <v>0.13861089000173127</v>
      </c>
    </row>
    <row r="733" spans="2:5" ht="13.9" customHeight="1" x14ac:dyDescent="0.25">
      <c r="B733" s="29">
        <f t="shared" si="47"/>
        <v>7.4980115273774066</v>
      </c>
      <c r="C733" s="30">
        <f t="shared" si="46"/>
        <v>9.9252622655926926E-3</v>
      </c>
      <c r="D733" s="30">
        <f t="shared" si="44"/>
        <v>9.7334069459987849E-2</v>
      </c>
      <c r="E733" s="30">
        <f t="shared" si="45"/>
        <v>0.1386108900017313</v>
      </c>
    </row>
    <row r="734" spans="2:5" ht="13.9" customHeight="1" x14ac:dyDescent="0.25">
      <c r="B734" s="29">
        <f t="shared" si="47"/>
        <v>7.5080115273774064</v>
      </c>
      <c r="C734" s="30">
        <f t="shared" si="46"/>
        <v>9.8988407491938258E-3</v>
      </c>
      <c r="D734" s="30">
        <f t="shared" si="44"/>
        <v>9.7074961575119079E-2</v>
      </c>
      <c r="E734" s="30">
        <f t="shared" si="45"/>
        <v>0.1386108900017313</v>
      </c>
    </row>
    <row r="735" spans="2:5" ht="13.9" customHeight="1" x14ac:dyDescent="0.25">
      <c r="B735" s="29">
        <f t="shared" si="47"/>
        <v>7.5180115273774062</v>
      </c>
      <c r="C735" s="30">
        <f t="shared" si="46"/>
        <v>9.8725245955238738E-3</v>
      </c>
      <c r="D735" s="30">
        <f t="shared" si="44"/>
        <v>9.6816886950923969E-2</v>
      </c>
      <c r="E735" s="30">
        <f t="shared" si="45"/>
        <v>0.1386108900017313</v>
      </c>
    </row>
    <row r="736" spans="2:5" ht="13.9" customHeight="1" x14ac:dyDescent="0.25">
      <c r="B736" s="29">
        <f t="shared" si="47"/>
        <v>7.528011527377406</v>
      </c>
      <c r="C736" s="30">
        <f t="shared" si="46"/>
        <v>9.8463132451112323E-3</v>
      </c>
      <c r="D736" s="30">
        <f t="shared" si="44"/>
        <v>9.6559840100832309E-2</v>
      </c>
      <c r="E736" s="30">
        <f t="shared" si="45"/>
        <v>0.13861089000173127</v>
      </c>
    </row>
    <row r="737" spans="2:5" ht="13.9" customHeight="1" x14ac:dyDescent="0.25">
      <c r="B737" s="29">
        <f t="shared" si="47"/>
        <v>7.5380115273774058</v>
      </c>
      <c r="C737" s="30">
        <f t="shared" si="46"/>
        <v>9.8202061421928354E-3</v>
      </c>
      <c r="D737" s="30">
        <f t="shared" si="44"/>
        <v>9.6303815574642473E-2</v>
      </c>
      <c r="E737" s="30">
        <f t="shared" si="45"/>
        <v>0.1386108900017313</v>
      </c>
    </row>
    <row r="738" spans="2:5" ht="13.9" customHeight="1" x14ac:dyDescent="0.25">
      <c r="B738" s="29">
        <f t="shared" si="47"/>
        <v>7.5480115273774055</v>
      </c>
      <c r="C738" s="30">
        <f t="shared" si="46"/>
        <v>9.7942027346846934E-3</v>
      </c>
      <c r="D738" s="30">
        <f t="shared" si="44"/>
        <v>9.6048807958232382E-2</v>
      </c>
      <c r="E738" s="30">
        <f t="shared" si="45"/>
        <v>0.1386108900017313</v>
      </c>
    </row>
    <row r="739" spans="2:5" ht="13.9" customHeight="1" x14ac:dyDescent="0.25">
      <c r="B739" s="29">
        <f t="shared" si="47"/>
        <v>7.5580115273774053</v>
      </c>
      <c r="C739" s="30">
        <f t="shared" si="46"/>
        <v>9.7683024741527149E-3</v>
      </c>
      <c r="D739" s="30">
        <f t="shared" si="44"/>
        <v>9.5794811873273419E-2</v>
      </c>
      <c r="E739" s="30">
        <f t="shared" si="45"/>
        <v>0.13861089000173127</v>
      </c>
    </row>
    <row r="740" spans="2:5" ht="13.9" customHeight="1" x14ac:dyDescent="0.25">
      <c r="B740" s="29">
        <f t="shared" si="47"/>
        <v>7.5680115273774051</v>
      </c>
      <c r="C740" s="30">
        <f t="shared" si="46"/>
        <v>9.7425048157837781E-3</v>
      </c>
      <c r="D740" s="30">
        <f t="shared" si="44"/>
        <v>9.5541821976946772E-2</v>
      </c>
      <c r="E740" s="30">
        <f t="shared" si="45"/>
        <v>0.1386108900017313</v>
      </c>
    </row>
    <row r="741" spans="2:5" ht="13.9" customHeight="1" x14ac:dyDescent="0.25">
      <c r="B741" s="29">
        <f t="shared" si="47"/>
        <v>7.5780115273774049</v>
      </c>
      <c r="C741" s="30">
        <f t="shared" si="46"/>
        <v>9.7168092183570857E-3</v>
      </c>
      <c r="D741" s="30">
        <f t="shared" si="44"/>
        <v>9.5289832961662421E-2</v>
      </c>
      <c r="E741" s="30">
        <f t="shared" si="45"/>
        <v>0.13861089000173127</v>
      </c>
    </row>
    <row r="742" spans="2:5" ht="13.9" customHeight="1" x14ac:dyDescent="0.25">
      <c r="B742" s="29">
        <f t="shared" si="47"/>
        <v>7.5880115273774047</v>
      </c>
      <c r="C742" s="30">
        <f t="shared" si="46"/>
        <v>9.6912151442157812E-3</v>
      </c>
      <c r="D742" s="30">
        <f t="shared" si="44"/>
        <v>9.5038839554780902E-2</v>
      </c>
      <c r="E742" s="30">
        <f t="shared" si="45"/>
        <v>0.13861089000173132</v>
      </c>
    </row>
    <row r="743" spans="2:5" ht="13.9" customHeight="1" x14ac:dyDescent="0.25">
      <c r="B743" s="29">
        <f t="shared" si="47"/>
        <v>7.5980115273774045</v>
      </c>
      <c r="C743" s="30">
        <f t="shared" si="46"/>
        <v>9.6657220592388116E-3</v>
      </c>
      <c r="D743" s="30">
        <f t="shared" si="44"/>
        <v>9.4788836518337249E-2</v>
      </c>
      <c r="E743" s="30">
        <f t="shared" si="45"/>
        <v>0.1386108900017313</v>
      </c>
    </row>
    <row r="744" spans="2:5" ht="13.9" customHeight="1" x14ac:dyDescent="0.25">
      <c r="B744" s="29">
        <f t="shared" si="47"/>
        <v>7.6080115273774043</v>
      </c>
      <c r="C744" s="30">
        <f t="shared" si="46"/>
        <v>9.6403294328130818E-3</v>
      </c>
      <c r="D744" s="30">
        <f t="shared" si="44"/>
        <v>9.4539818648768037E-2</v>
      </c>
      <c r="E744" s="30">
        <f t="shared" si="45"/>
        <v>0.13861089000173127</v>
      </c>
    </row>
    <row r="745" spans="2:5" ht="13.9" customHeight="1" x14ac:dyDescent="0.25">
      <c r="B745" s="29">
        <f t="shared" si="47"/>
        <v>7.6180115273774041</v>
      </c>
      <c r="C745" s="30">
        <f t="shared" si="46"/>
        <v>9.6150367378058186E-3</v>
      </c>
      <c r="D745" s="30">
        <f t="shared" si="44"/>
        <v>9.4291780776640313E-2</v>
      </c>
      <c r="E745" s="30">
        <f t="shared" si="45"/>
        <v>0.1386108900017313</v>
      </c>
    </row>
    <row r="746" spans="2:5" ht="13.9" customHeight="1" x14ac:dyDescent="0.25">
      <c r="B746" s="29">
        <f t="shared" si="47"/>
        <v>7.6280115273774038</v>
      </c>
      <c r="C746" s="30">
        <f t="shared" si="46"/>
        <v>9.5898434505372367E-3</v>
      </c>
      <c r="D746" s="30">
        <f t="shared" si="44"/>
        <v>9.4044717766383512E-2</v>
      </c>
      <c r="E746" s="30">
        <f t="shared" si="45"/>
        <v>0.1386108900017313</v>
      </c>
    </row>
    <row r="747" spans="2:5" ht="13.9" customHeight="1" x14ac:dyDescent="0.25">
      <c r="B747" s="29">
        <f t="shared" si="47"/>
        <v>7.6380115273774036</v>
      </c>
      <c r="C747" s="30">
        <f t="shared" si="46"/>
        <v>9.5647490507534128E-3</v>
      </c>
      <c r="D747" s="30">
        <f t="shared" si="44"/>
        <v>9.3798624516023485E-2</v>
      </c>
      <c r="E747" s="30">
        <f t="shared" si="45"/>
        <v>0.13861089000173127</v>
      </c>
    </row>
    <row r="748" spans="2:5" ht="13.9" customHeight="1" x14ac:dyDescent="0.25">
      <c r="B748" s="29">
        <f t="shared" si="47"/>
        <v>7.6480115273774034</v>
      </c>
      <c r="C748" s="30">
        <f t="shared" si="46"/>
        <v>9.5397530215994425E-3</v>
      </c>
      <c r="D748" s="30">
        <f t="shared" si="44"/>
        <v>9.3553495956919253E-2</v>
      </c>
      <c r="E748" s="30">
        <f t="shared" si="45"/>
        <v>0.1386108900017313</v>
      </c>
    </row>
    <row r="749" spans="2:5" ht="13.9" customHeight="1" x14ac:dyDescent="0.25">
      <c r="B749" s="29">
        <f t="shared" si="47"/>
        <v>7.6580115273774032</v>
      </c>
      <c r="C749" s="30">
        <f t="shared" si="46"/>
        <v>9.5148548495928124E-3</v>
      </c>
      <c r="D749" s="30">
        <f t="shared" si="44"/>
        <v>9.3309327053501825E-2</v>
      </c>
      <c r="E749" s="30">
        <f t="shared" si="45"/>
        <v>0.1386108900017313</v>
      </c>
    </row>
    <row r="750" spans="2:5" ht="13.9" customHeight="1" x14ac:dyDescent="0.25">
      <c r="B750" s="29">
        <f t="shared" si="47"/>
        <v>7.668011527377403</v>
      </c>
      <c r="C750" s="30">
        <f t="shared" si="46"/>
        <v>9.4900540245970409E-3</v>
      </c>
      <c r="D750" s="30">
        <f t="shared" si="44"/>
        <v>9.3066112803015799E-2</v>
      </c>
      <c r="E750" s="30">
        <f t="shared" si="45"/>
        <v>0.1386108900017313</v>
      </c>
    </row>
    <row r="751" spans="2:5" ht="13.9" customHeight="1" x14ac:dyDescent="0.25">
      <c r="B751" s="29">
        <f t="shared" si="47"/>
        <v>7.6780115273774028</v>
      </c>
      <c r="C751" s="30">
        <f t="shared" si="46"/>
        <v>9.465350039795541E-3</v>
      </c>
      <c r="D751" s="30">
        <f t="shared" si="44"/>
        <v>9.2823848235262921E-2</v>
      </c>
      <c r="E751" s="30">
        <f t="shared" si="45"/>
        <v>0.13861089000173127</v>
      </c>
    </row>
    <row r="752" spans="2:5" ht="13.9" customHeight="1" x14ac:dyDescent="0.25">
      <c r="B752" s="29">
        <f t="shared" si="47"/>
        <v>7.6880115273774026</v>
      </c>
      <c r="C752" s="30">
        <f t="shared" si="46"/>
        <v>9.4407423916657313E-3</v>
      </c>
      <c r="D752" s="30">
        <f t="shared" si="44"/>
        <v>9.2582528412348319E-2</v>
      </c>
      <c r="E752" s="30">
        <f t="shared" si="45"/>
        <v>0.1386108900017313</v>
      </c>
    </row>
    <row r="753" spans="2:5" ht="13.9" customHeight="1" x14ac:dyDescent="0.25">
      <c r="B753" s="29">
        <f t="shared" si="47"/>
        <v>7.6980115273774024</v>
      </c>
      <c r="C753" s="30">
        <f t="shared" si="46"/>
        <v>9.4162305799533712E-3</v>
      </c>
      <c r="D753" s="30">
        <f t="shared" si="44"/>
        <v>9.2342148428428722E-2</v>
      </c>
      <c r="E753" s="30">
        <f t="shared" si="45"/>
        <v>0.1386108900017313</v>
      </c>
    </row>
    <row r="754" spans="2:5" ht="13.9" customHeight="1" x14ac:dyDescent="0.25">
      <c r="B754" s="29">
        <f t="shared" si="47"/>
        <v>7.7080115273774021</v>
      </c>
      <c r="C754" s="30">
        <f t="shared" si="46"/>
        <v>9.3918141076471482E-3</v>
      </c>
      <c r="D754" s="30">
        <f t="shared" si="44"/>
        <v>9.2102703409463277E-2</v>
      </c>
      <c r="E754" s="30">
        <f t="shared" si="45"/>
        <v>0.1386108900017313</v>
      </c>
    </row>
    <row r="755" spans="2:5" ht="13.9" customHeight="1" x14ac:dyDescent="0.25">
      <c r="B755" s="29">
        <f t="shared" si="47"/>
        <v>7.7180115273774019</v>
      </c>
      <c r="C755" s="30">
        <f t="shared" si="46"/>
        <v>9.3674924809534713E-3</v>
      </c>
      <c r="D755" s="30">
        <f t="shared" si="44"/>
        <v>9.1864188512966405E-2</v>
      </c>
      <c r="E755" s="30">
        <f t="shared" si="45"/>
        <v>0.13861089000173132</v>
      </c>
    </row>
    <row r="756" spans="2:5" ht="13.9" customHeight="1" x14ac:dyDescent="0.25">
      <c r="B756" s="29">
        <f t="shared" si="47"/>
        <v>7.7280115273774017</v>
      </c>
      <c r="C756" s="30">
        <f t="shared" si="46"/>
        <v>9.343265209271515E-3</v>
      </c>
      <c r="D756" s="30">
        <f t="shared" si="44"/>
        <v>9.1626598927762953E-2</v>
      </c>
      <c r="E756" s="30">
        <f t="shared" si="45"/>
        <v>0.1386108900017313</v>
      </c>
    </row>
    <row r="757" spans="2:5" ht="13.9" customHeight="1" x14ac:dyDescent="0.25">
      <c r="B757" s="29">
        <f t="shared" si="47"/>
        <v>7.7380115273774015</v>
      </c>
      <c r="C757" s="30">
        <f t="shared" si="46"/>
        <v>9.3191318051684732E-3</v>
      </c>
      <c r="D757" s="30">
        <f t="shared" si="44"/>
        <v>9.1389929873745654E-2</v>
      </c>
      <c r="E757" s="30">
        <f t="shared" si="45"/>
        <v>0.13861089000173127</v>
      </c>
    </row>
    <row r="758" spans="2:5" ht="13.9" customHeight="1" x14ac:dyDescent="0.25">
      <c r="B758" s="29">
        <f t="shared" si="47"/>
        <v>7.7480115273774013</v>
      </c>
      <c r="C758" s="30">
        <f t="shared" si="46"/>
        <v>9.2950917843550428E-3</v>
      </c>
      <c r="D758" s="30">
        <f t="shared" si="44"/>
        <v>9.1154176601634593E-2</v>
      </c>
      <c r="E758" s="30">
        <f t="shared" si="45"/>
        <v>0.1386108900017313</v>
      </c>
    </row>
    <row r="759" spans="2:5" ht="13.9" customHeight="1" x14ac:dyDescent="0.25">
      <c r="B759" s="29">
        <f t="shared" si="47"/>
        <v>7.7580115273774011</v>
      </c>
      <c r="C759" s="30">
        <f t="shared" si="46"/>
        <v>9.2711446656611272E-3</v>
      </c>
      <c r="D759" s="30">
        <f t="shared" si="44"/>
        <v>9.0919334392738971E-2</v>
      </c>
      <c r="E759" s="30">
        <f t="shared" si="45"/>
        <v>0.13861089000173127</v>
      </c>
    </row>
    <row r="760" spans="2:5" ht="13.9" customHeight="1" x14ac:dyDescent="0.25">
      <c r="B760" s="29">
        <f t="shared" si="47"/>
        <v>7.7680115273774009</v>
      </c>
      <c r="C760" s="30">
        <f t="shared" si="46"/>
        <v>9.2472899710117646E-3</v>
      </c>
      <c r="D760" s="30">
        <f t="shared" si="44"/>
        <v>9.068539855872107E-2</v>
      </c>
      <c r="E760" s="30">
        <f t="shared" si="45"/>
        <v>0.1386108900017313</v>
      </c>
    </row>
    <row r="761" spans="2:5" ht="13.9" customHeight="1" x14ac:dyDescent="0.25">
      <c r="B761" s="29">
        <f t="shared" si="47"/>
        <v>7.7780115273774006</v>
      </c>
      <c r="C761" s="30">
        <f t="shared" si="46"/>
        <v>9.223527225403259E-3</v>
      </c>
      <c r="D761" s="30">
        <f t="shared" si="44"/>
        <v>9.0452364441362135E-2</v>
      </c>
      <c r="E761" s="30">
        <f t="shared" si="45"/>
        <v>0.1386108900017313</v>
      </c>
    </row>
    <row r="762" spans="2:5" ht="13.9" customHeight="1" x14ac:dyDescent="0.25">
      <c r="B762" s="29">
        <f t="shared" si="47"/>
        <v>7.7880115273774004</v>
      </c>
      <c r="C762" s="30">
        <f t="shared" si="46"/>
        <v>9.1998559568795372E-3</v>
      </c>
      <c r="D762" s="30">
        <f t="shared" si="44"/>
        <v>9.0220227412330545E-2</v>
      </c>
      <c r="E762" s="30">
        <f t="shared" si="45"/>
        <v>0.1386108900017313</v>
      </c>
    </row>
    <row r="763" spans="2:5" ht="13.9" customHeight="1" x14ac:dyDescent="0.25">
      <c r="B763" s="29">
        <f t="shared" si="47"/>
        <v>7.7980115273774002</v>
      </c>
      <c r="C763" s="30">
        <f t="shared" si="46"/>
        <v>9.1762756965087199E-3</v>
      </c>
      <c r="D763" s="30">
        <f t="shared" si="44"/>
        <v>8.9988982872952053E-2</v>
      </c>
      <c r="E763" s="30">
        <f t="shared" si="45"/>
        <v>0.1386108900017313</v>
      </c>
    </row>
    <row r="764" spans="2:5" ht="13.9" customHeight="1" x14ac:dyDescent="0.25">
      <c r="B764" s="29">
        <f t="shared" si="47"/>
        <v>7.8080115273774</v>
      </c>
      <c r="C764" s="30">
        <f t="shared" si="46"/>
        <v>9.152785978359888E-3</v>
      </c>
      <c r="D764" s="30">
        <f t="shared" si="44"/>
        <v>8.9758626253981913E-2</v>
      </c>
      <c r="E764" s="30">
        <f t="shared" si="45"/>
        <v>0.1386108900017313</v>
      </c>
    </row>
    <row r="765" spans="2:5" ht="13.9" customHeight="1" x14ac:dyDescent="0.25">
      <c r="B765" s="29">
        <f t="shared" si="47"/>
        <v>7.8180115273773998</v>
      </c>
      <c r="C765" s="30">
        <f t="shared" si="46"/>
        <v>9.129386339480074E-3</v>
      </c>
      <c r="D765" s="30">
        <f t="shared" si="44"/>
        <v>8.952915301537924E-2</v>
      </c>
      <c r="E765" s="30">
        <f t="shared" si="45"/>
        <v>0.1386108900017313</v>
      </c>
    </row>
    <row r="766" spans="2:5" ht="13.9" customHeight="1" x14ac:dyDescent="0.25">
      <c r="B766" s="29">
        <f t="shared" si="47"/>
        <v>7.8280115273773996</v>
      </c>
      <c r="C766" s="30">
        <f t="shared" si="46"/>
        <v>9.1060763198714482E-3</v>
      </c>
      <c r="D766" s="30">
        <f t="shared" si="44"/>
        <v>8.9300558646083328E-2</v>
      </c>
      <c r="E766" s="30">
        <f t="shared" si="45"/>
        <v>0.1386108900017313</v>
      </c>
    </row>
    <row r="767" spans="2:5" ht="13.9" customHeight="1" x14ac:dyDescent="0.25">
      <c r="B767" s="29">
        <f t="shared" si="47"/>
        <v>7.8380115273773994</v>
      </c>
      <c r="C767" s="30">
        <f t="shared" si="46"/>
        <v>9.08285546246871E-3</v>
      </c>
      <c r="D767" s="30">
        <f t="shared" si="44"/>
        <v>8.9072838663791898E-2</v>
      </c>
      <c r="E767" s="30">
        <f t="shared" si="45"/>
        <v>0.1386108900017313</v>
      </c>
    </row>
    <row r="768" spans="2:5" ht="13.9" customHeight="1" x14ac:dyDescent="0.25">
      <c r="B768" s="29">
        <f t="shared" si="47"/>
        <v>7.8480115273773992</v>
      </c>
      <c r="C768" s="30">
        <f t="shared" si="46"/>
        <v>9.0597233131166858E-3</v>
      </c>
      <c r="D768" s="30">
        <f t="shared" si="44"/>
        <v>8.8845988614741397E-2</v>
      </c>
      <c r="E768" s="30">
        <f t="shared" si="45"/>
        <v>0.1386108900017313</v>
      </c>
    </row>
    <row r="769" spans="2:5" ht="13.9" customHeight="1" x14ac:dyDescent="0.25">
      <c r="B769" s="29">
        <f t="shared" si="47"/>
        <v>7.8580115273773989</v>
      </c>
      <c r="C769" s="30">
        <f t="shared" si="46"/>
        <v>9.0366794205481195E-3</v>
      </c>
      <c r="D769" s="30">
        <f t="shared" si="44"/>
        <v>8.8620004073489231E-2</v>
      </c>
      <c r="E769" s="30">
        <f t="shared" si="45"/>
        <v>0.13861089000173127</v>
      </c>
    </row>
    <row r="770" spans="2:5" ht="13.9" customHeight="1" x14ac:dyDescent="0.25">
      <c r="B770" s="29">
        <f t="shared" si="47"/>
        <v>7.8680115273773987</v>
      </c>
      <c r="C770" s="30">
        <f t="shared" si="46"/>
        <v>9.0137233363616672E-3</v>
      </c>
      <c r="D770" s="30">
        <f t="shared" si="44"/>
        <v>8.8394880642697959E-2</v>
      </c>
      <c r="E770" s="30">
        <f t="shared" si="45"/>
        <v>0.1386108900017313</v>
      </c>
    </row>
    <row r="771" spans="2:5" ht="13.9" customHeight="1" x14ac:dyDescent="0.25">
      <c r="B771" s="29">
        <f t="shared" si="47"/>
        <v>7.8780115273773985</v>
      </c>
      <c r="C771" s="30">
        <f t="shared" si="46"/>
        <v>8.9908546150000799E-3</v>
      </c>
      <c r="D771" s="30">
        <f t="shared" si="44"/>
        <v>8.8170613952921278E-2</v>
      </c>
      <c r="E771" s="30">
        <f t="shared" si="45"/>
        <v>0.13861089000173132</v>
      </c>
    </row>
    <row r="772" spans="2:5" ht="13.9" customHeight="1" x14ac:dyDescent="0.25">
      <c r="B772" s="29">
        <f t="shared" si="47"/>
        <v>7.8880115273773983</v>
      </c>
      <c r="C772" s="30">
        <f t="shared" si="46"/>
        <v>8.9680728137285851E-3</v>
      </c>
      <c r="D772" s="30">
        <f t="shared" si="44"/>
        <v>8.7947199662392103E-2</v>
      </c>
      <c r="E772" s="30">
        <f t="shared" si="45"/>
        <v>0.1386108900017313</v>
      </c>
    </row>
    <row r="773" spans="2:5" ht="13.9" customHeight="1" x14ac:dyDescent="0.25">
      <c r="B773" s="29">
        <f t="shared" si="47"/>
        <v>7.8980115273773981</v>
      </c>
      <c r="C773" s="30">
        <f t="shared" si="46"/>
        <v>8.9453774926134631E-3</v>
      </c>
      <c r="D773" s="30">
        <f t="shared" si="44"/>
        <v>8.7724633456812445E-2</v>
      </c>
      <c r="E773" s="30">
        <f t="shared" si="45"/>
        <v>0.1386108900017313</v>
      </c>
    </row>
    <row r="774" spans="2:5" ht="13.9" customHeight="1" x14ac:dyDescent="0.25">
      <c r="B774" s="29">
        <f t="shared" si="47"/>
        <v>7.9080115273773979</v>
      </c>
      <c r="C774" s="30">
        <f t="shared" si="46"/>
        <v>8.9227682145008001E-3</v>
      </c>
      <c r="D774" s="30">
        <f t="shared" si="44"/>
        <v>8.7502911049144996E-2</v>
      </c>
      <c r="E774" s="30">
        <f t="shared" si="45"/>
        <v>0.1386108900017313</v>
      </c>
    </row>
    <row r="775" spans="2:5" ht="13.9" customHeight="1" x14ac:dyDescent="0.25">
      <c r="B775" s="29">
        <f t="shared" si="47"/>
        <v>7.9180115273773977</v>
      </c>
      <c r="C775" s="30">
        <f t="shared" si="46"/>
        <v>8.9002445449954445E-3</v>
      </c>
      <c r="D775" s="30">
        <f t="shared" si="44"/>
        <v>8.728202817940682E-2</v>
      </c>
      <c r="E775" s="30">
        <f t="shared" si="45"/>
        <v>0.13861089000173132</v>
      </c>
    </row>
    <row r="776" spans="2:5" ht="13.9" customHeight="1" x14ac:dyDescent="0.25">
      <c r="B776" s="29">
        <f t="shared" si="47"/>
        <v>7.9280115273773974</v>
      </c>
      <c r="C776" s="30">
        <f t="shared" si="46"/>
        <v>8.8778060524401323E-3</v>
      </c>
      <c r="D776" s="30">
        <f t="shared" si="44"/>
        <v>8.7061980614464643E-2</v>
      </c>
      <c r="E776" s="30">
        <f t="shared" si="45"/>
        <v>0.1386108900017313</v>
      </c>
    </row>
    <row r="777" spans="2:5" ht="13.9" customHeight="1" x14ac:dyDescent="0.25">
      <c r="B777" s="29">
        <f t="shared" si="47"/>
        <v>7.9380115273773972</v>
      </c>
      <c r="C777" s="30">
        <f t="shared" si="46"/>
        <v>8.8554523078948188E-3</v>
      </c>
      <c r="D777" s="30">
        <f t="shared" ref="D777:D840" si="48">C777*9.8067</f>
        <v>8.6842764147832111E-2</v>
      </c>
      <c r="E777" s="30">
        <f t="shared" ref="E777:E840" si="49">((B777^2)/(4*PI()^2))*D777</f>
        <v>0.13861089000173127</v>
      </c>
    </row>
    <row r="778" spans="2:5" ht="13.9" customHeight="1" x14ac:dyDescent="0.25">
      <c r="B778" s="29">
        <f t="shared" si="47"/>
        <v>7.948011527377397</v>
      </c>
      <c r="C778" s="30">
        <f t="shared" si="46"/>
        <v>8.8331828851161698E-3</v>
      </c>
      <c r="D778" s="30">
        <f t="shared" si="48"/>
        <v>8.6624374599468743E-2</v>
      </c>
      <c r="E778" s="30">
        <f t="shared" si="49"/>
        <v>0.1386108900017313</v>
      </c>
    </row>
    <row r="779" spans="2:5" ht="13.9" customHeight="1" x14ac:dyDescent="0.25">
      <c r="B779" s="29">
        <f t="shared" si="47"/>
        <v>7.9580115273773968</v>
      </c>
      <c r="C779" s="30">
        <f t="shared" si="46"/>
        <v>8.8109973605372399E-3</v>
      </c>
      <c r="D779" s="30">
        <f t="shared" si="48"/>
        <v>8.640680781558055E-2</v>
      </c>
      <c r="E779" s="30">
        <f t="shared" si="49"/>
        <v>0.13861089000173132</v>
      </c>
    </row>
    <row r="780" spans="2:5" ht="13.9" customHeight="1" x14ac:dyDescent="0.25">
      <c r="B780" s="29">
        <f t="shared" si="47"/>
        <v>7.9680115273773966</v>
      </c>
      <c r="C780" s="30">
        <f t="shared" si="46"/>
        <v>8.7888953132473392E-3</v>
      </c>
      <c r="D780" s="30">
        <f t="shared" si="48"/>
        <v>8.6190059668422678E-2</v>
      </c>
      <c r="E780" s="30">
        <f t="shared" si="49"/>
        <v>0.1386108900017313</v>
      </c>
    </row>
    <row r="781" spans="2:5" ht="13.9" customHeight="1" x14ac:dyDescent="0.25">
      <c r="B781" s="29">
        <f t="shared" si="47"/>
        <v>7.9780115273773964</v>
      </c>
      <c r="C781" s="30">
        <f t="shared" ref="C781:C844" si="50">IF(B781&lt;6,$C$5/B781,6*$C$5/B781^2)</f>
        <v>8.7668763249720665E-3</v>
      </c>
      <c r="D781" s="30">
        <f t="shared" si="48"/>
        <v>8.5974126056103564E-2</v>
      </c>
      <c r="E781" s="30">
        <f t="shared" si="49"/>
        <v>0.1386108900017313</v>
      </c>
    </row>
    <row r="782" spans="2:5" ht="13.9" customHeight="1" x14ac:dyDescent="0.25">
      <c r="B782" s="29">
        <f t="shared" ref="B782:B845" si="51">B781+0.01</f>
        <v>7.9880115273773962</v>
      </c>
      <c r="C782" s="30">
        <f t="shared" si="50"/>
        <v>8.7449399800535194E-3</v>
      </c>
      <c r="D782" s="30">
        <f t="shared" si="48"/>
        <v>8.5759002902390843E-2</v>
      </c>
      <c r="E782" s="30">
        <f t="shared" si="49"/>
        <v>0.1386108900017313</v>
      </c>
    </row>
    <row r="783" spans="2:5" ht="13.9" customHeight="1" x14ac:dyDescent="0.25">
      <c r="B783" s="29">
        <f t="shared" si="51"/>
        <v>7.998011527377396</v>
      </c>
      <c r="C783" s="30">
        <f t="shared" si="50"/>
        <v>8.7230858654306753E-3</v>
      </c>
      <c r="D783" s="30">
        <f t="shared" si="48"/>
        <v>8.5544686156519001E-2</v>
      </c>
      <c r="E783" s="30">
        <f t="shared" si="49"/>
        <v>0.1386108900017313</v>
      </c>
    </row>
    <row r="784" spans="2:5" ht="13.9" customHeight="1" x14ac:dyDescent="0.25">
      <c r="B784" s="29">
        <f t="shared" si="51"/>
        <v>8.0080115273773966</v>
      </c>
      <c r="C784" s="30">
        <f t="shared" si="50"/>
        <v>8.7013135706199493E-3</v>
      </c>
      <c r="D784" s="30">
        <f t="shared" si="48"/>
        <v>8.533117179299865E-2</v>
      </c>
      <c r="E784" s="30">
        <f t="shared" si="49"/>
        <v>0.1386108900017313</v>
      </c>
    </row>
    <row r="785" spans="2:5" ht="13.9" customHeight="1" x14ac:dyDescent="0.25">
      <c r="B785" s="29">
        <f t="shared" si="51"/>
        <v>8.0180115273773964</v>
      </c>
      <c r="C785" s="30">
        <f t="shared" si="50"/>
        <v>8.6796226876959225E-3</v>
      </c>
      <c r="D785" s="30">
        <f t="shared" si="48"/>
        <v>8.5118455811427601E-2</v>
      </c>
      <c r="E785" s="30">
        <f t="shared" si="49"/>
        <v>0.1386108900017313</v>
      </c>
    </row>
    <row r="786" spans="2:5" ht="13.9" customHeight="1" x14ac:dyDescent="0.25">
      <c r="B786" s="29">
        <f t="shared" si="51"/>
        <v>8.0280115273773962</v>
      </c>
      <c r="C786" s="30">
        <f t="shared" si="50"/>
        <v>8.6580128112722279E-3</v>
      </c>
      <c r="D786" s="30">
        <f t="shared" si="48"/>
        <v>8.4906534236303358E-2</v>
      </c>
      <c r="E786" s="30">
        <f t="shared" si="49"/>
        <v>0.1386108900017313</v>
      </c>
    </row>
    <row r="787" spans="2:5" ht="13.9" customHeight="1" x14ac:dyDescent="0.25">
      <c r="B787" s="29">
        <f t="shared" si="51"/>
        <v>8.038011527377396</v>
      </c>
      <c r="C787" s="30">
        <f t="shared" si="50"/>
        <v>8.6364835384826096E-3</v>
      </c>
      <c r="D787" s="30">
        <f t="shared" si="48"/>
        <v>8.4695403116837403E-2</v>
      </c>
      <c r="E787" s="30">
        <f t="shared" si="49"/>
        <v>0.1386108900017313</v>
      </c>
    </row>
    <row r="788" spans="2:5" ht="13.9" customHeight="1" x14ac:dyDescent="0.25">
      <c r="B788" s="29">
        <f t="shared" si="51"/>
        <v>8.0480115273773958</v>
      </c>
      <c r="C788" s="30">
        <f t="shared" si="50"/>
        <v>8.6150344689621544E-3</v>
      </c>
      <c r="D788" s="30">
        <f t="shared" si="48"/>
        <v>8.4485058526771156E-2</v>
      </c>
      <c r="E788" s="30">
        <f t="shared" si="49"/>
        <v>0.1386108900017313</v>
      </c>
    </row>
    <row r="789" spans="2:5" ht="13.9" customHeight="1" x14ac:dyDescent="0.25">
      <c r="B789" s="29">
        <f t="shared" si="51"/>
        <v>8.0580115273773956</v>
      </c>
      <c r="C789" s="30">
        <f t="shared" si="50"/>
        <v>8.5936652048286665E-3</v>
      </c>
      <c r="D789" s="30">
        <f t="shared" si="48"/>
        <v>8.4275496564193281E-2</v>
      </c>
      <c r="E789" s="30">
        <f t="shared" si="49"/>
        <v>0.1386108900017313</v>
      </c>
    </row>
    <row r="790" spans="2:5" ht="13.9" customHeight="1" x14ac:dyDescent="0.25">
      <c r="B790" s="29">
        <f t="shared" si="51"/>
        <v>8.0680115273773954</v>
      </c>
      <c r="C790" s="30">
        <f t="shared" si="50"/>
        <v>8.572375350664227E-3</v>
      </c>
      <c r="D790" s="30">
        <f t="shared" si="48"/>
        <v>8.4066713351358874E-2</v>
      </c>
      <c r="E790" s="30">
        <f t="shared" si="49"/>
        <v>0.1386108900017313</v>
      </c>
    </row>
    <row r="791" spans="2:5" ht="13.9" customHeight="1" x14ac:dyDescent="0.25">
      <c r="B791" s="29">
        <f t="shared" si="51"/>
        <v>8.0780115273773951</v>
      </c>
      <c r="C791" s="30">
        <f t="shared" si="50"/>
        <v>8.5511645134968926E-3</v>
      </c>
      <c r="D791" s="30">
        <f t="shared" si="48"/>
        <v>8.385870503450997E-2</v>
      </c>
      <c r="E791" s="30">
        <f t="shared" si="49"/>
        <v>0.13861089000173127</v>
      </c>
    </row>
    <row r="792" spans="2:5" ht="13.9" customHeight="1" x14ac:dyDescent="0.25">
      <c r="B792" s="29">
        <f t="shared" si="51"/>
        <v>8.0880115273773949</v>
      </c>
      <c r="C792" s="30">
        <f t="shared" si="50"/>
        <v>8.5300323027825715E-3</v>
      </c>
      <c r="D792" s="30">
        <f t="shared" si="48"/>
        <v>8.3651467783697836E-2</v>
      </c>
      <c r="E792" s="30">
        <f t="shared" si="49"/>
        <v>0.1386108900017313</v>
      </c>
    </row>
    <row r="793" spans="2:5" ht="13.9" customHeight="1" x14ac:dyDescent="0.25">
      <c r="B793" s="29">
        <f t="shared" si="51"/>
        <v>8.0980115273773947</v>
      </c>
      <c r="C793" s="30">
        <f t="shared" si="50"/>
        <v>8.5089783303870323E-3</v>
      </c>
      <c r="D793" s="30">
        <f t="shared" si="48"/>
        <v>8.3444997792606501E-2</v>
      </c>
      <c r="E793" s="30">
        <f t="shared" si="49"/>
        <v>0.1386108900017313</v>
      </c>
    </row>
    <row r="794" spans="2:5" ht="13.9" customHeight="1" x14ac:dyDescent="0.25">
      <c r="B794" s="29">
        <f t="shared" si="51"/>
        <v>8.1080115273773945</v>
      </c>
      <c r="C794" s="30">
        <f t="shared" si="50"/>
        <v>8.4880022105680956E-3</v>
      </c>
      <c r="D794" s="30">
        <f t="shared" si="48"/>
        <v>8.3239291278378133E-2</v>
      </c>
      <c r="E794" s="30">
        <f t="shared" si="49"/>
        <v>0.1386108900017313</v>
      </c>
    </row>
    <row r="795" spans="2:5" ht="13.9" customHeight="1" x14ac:dyDescent="0.25">
      <c r="B795" s="29">
        <f t="shared" si="51"/>
        <v>8.1180115273773943</v>
      </c>
      <c r="C795" s="30">
        <f t="shared" si="50"/>
        <v>8.4671035599579551E-3</v>
      </c>
      <c r="D795" s="30">
        <f t="shared" si="48"/>
        <v>8.3034344481439676E-2</v>
      </c>
      <c r="E795" s="30">
        <f t="shared" si="49"/>
        <v>0.13861089000173127</v>
      </c>
    </row>
    <row r="796" spans="2:5" ht="13.9" customHeight="1" x14ac:dyDescent="0.25">
      <c r="B796" s="29">
        <f t="shared" si="51"/>
        <v>8.1280115273773941</v>
      </c>
      <c r="C796" s="30">
        <f t="shared" si="50"/>
        <v>8.4462819975456693E-3</v>
      </c>
      <c r="D796" s="30">
        <f t="shared" si="48"/>
        <v>8.2830153665331113E-2</v>
      </c>
      <c r="E796" s="30">
        <f t="shared" si="49"/>
        <v>0.1386108900017313</v>
      </c>
    </row>
    <row r="797" spans="2:5" ht="13.9" customHeight="1" x14ac:dyDescent="0.25">
      <c r="B797" s="29">
        <f t="shared" si="51"/>
        <v>8.1380115273773939</v>
      </c>
      <c r="C797" s="30">
        <f t="shared" si="50"/>
        <v>8.4255371446597897E-3</v>
      </c>
      <c r="D797" s="30">
        <f t="shared" si="48"/>
        <v>8.262671511653516E-2</v>
      </c>
      <c r="E797" s="30">
        <f t="shared" si="49"/>
        <v>0.1386108900017313</v>
      </c>
    </row>
    <row r="798" spans="2:5" ht="13.9" customHeight="1" x14ac:dyDescent="0.25">
      <c r="B798" s="29">
        <f t="shared" si="51"/>
        <v>8.1480115273773936</v>
      </c>
      <c r="C798" s="30">
        <f t="shared" si="50"/>
        <v>8.404868624951144E-3</v>
      </c>
      <c r="D798" s="30">
        <f t="shared" si="48"/>
        <v>8.2424025144308383E-2</v>
      </c>
      <c r="E798" s="30">
        <f t="shared" si="49"/>
        <v>0.1386108900017313</v>
      </c>
    </row>
    <row r="799" spans="2:5" ht="13.9" customHeight="1" x14ac:dyDescent="0.25">
      <c r="B799" s="29">
        <f t="shared" si="51"/>
        <v>8.1580115273773934</v>
      </c>
      <c r="C799" s="30">
        <f t="shared" si="50"/>
        <v>8.3842760643757716E-3</v>
      </c>
      <c r="D799" s="30">
        <f t="shared" si="48"/>
        <v>8.2222080080513876E-2</v>
      </c>
      <c r="E799" s="30">
        <f t="shared" si="49"/>
        <v>0.1386108900017313</v>
      </c>
    </row>
    <row r="800" spans="2:5" ht="13.9" customHeight="1" x14ac:dyDescent="0.25">
      <c r="B800" s="29">
        <f t="shared" si="51"/>
        <v>8.1680115273773932</v>
      </c>
      <c r="C800" s="30">
        <f t="shared" si="50"/>
        <v>8.3637590911779924E-3</v>
      </c>
      <c r="D800" s="30">
        <f t="shared" si="48"/>
        <v>8.2020876279455215E-2</v>
      </c>
      <c r="E800" s="30">
        <f t="shared" si="49"/>
        <v>0.13861089000173127</v>
      </c>
    </row>
    <row r="801" spans="2:5" ht="13.9" customHeight="1" x14ac:dyDescent="0.25">
      <c r="B801" s="29">
        <f t="shared" si="51"/>
        <v>8.178011527377393</v>
      </c>
      <c r="C801" s="30">
        <f t="shared" si="50"/>
        <v>8.3433173358736425E-3</v>
      </c>
      <c r="D801" s="30">
        <f t="shared" si="48"/>
        <v>8.1820410117712045E-2</v>
      </c>
      <c r="E801" s="30">
        <f t="shared" si="49"/>
        <v>0.1386108900017313</v>
      </c>
    </row>
    <row r="802" spans="2:5" ht="13.9" customHeight="1" x14ac:dyDescent="0.25">
      <c r="B802" s="29">
        <f t="shared" si="51"/>
        <v>8.1880115273773928</v>
      </c>
      <c r="C802" s="30">
        <f t="shared" si="50"/>
        <v>8.3229504312334196E-3</v>
      </c>
      <c r="D802" s="30">
        <f t="shared" si="48"/>
        <v>8.1620677993976765E-2</v>
      </c>
      <c r="E802" s="30">
        <f t="shared" si="49"/>
        <v>0.1386108900017313</v>
      </c>
    </row>
    <row r="803" spans="2:5" ht="13.9" customHeight="1" x14ac:dyDescent="0.25">
      <c r="B803" s="29">
        <f t="shared" si="51"/>
        <v>8.1980115273773926</v>
      </c>
      <c r="C803" s="30">
        <f t="shared" si="50"/>
        <v>8.3026580122664093E-3</v>
      </c>
      <c r="D803" s="30">
        <f t="shared" si="48"/>
        <v>8.1421676328892995E-2</v>
      </c>
      <c r="E803" s="30">
        <f t="shared" si="49"/>
        <v>0.1386108900017313</v>
      </c>
    </row>
    <row r="804" spans="2:5" ht="13.9" customHeight="1" x14ac:dyDescent="0.25">
      <c r="B804" s="29">
        <f t="shared" si="51"/>
        <v>8.2080115273773924</v>
      </c>
      <c r="C804" s="30">
        <f t="shared" si="50"/>
        <v>8.2824397162037169E-3</v>
      </c>
      <c r="D804" s="30">
        <f t="shared" si="48"/>
        <v>8.1223401564894979E-2</v>
      </c>
      <c r="E804" s="30">
        <f t="shared" si="49"/>
        <v>0.13861089000173127</v>
      </c>
    </row>
    <row r="805" spans="2:5" ht="13.9" customHeight="1" x14ac:dyDescent="0.25">
      <c r="B805" s="29">
        <f t="shared" si="51"/>
        <v>8.2180115273773922</v>
      </c>
      <c r="C805" s="30">
        <f t="shared" si="50"/>
        <v>8.26229518248227E-3</v>
      </c>
      <c r="D805" s="30">
        <f t="shared" si="48"/>
        <v>8.1025850166048866E-2</v>
      </c>
      <c r="E805" s="30">
        <f t="shared" si="49"/>
        <v>0.13861089000173127</v>
      </c>
    </row>
    <row r="806" spans="2:5" ht="13.9" customHeight="1" x14ac:dyDescent="0.25">
      <c r="B806" s="29">
        <f t="shared" si="51"/>
        <v>8.2280115273773919</v>
      </c>
      <c r="C806" s="30">
        <f t="shared" si="50"/>
        <v>8.2422240527287253E-3</v>
      </c>
      <c r="D806" s="30">
        <f t="shared" si="48"/>
        <v>8.0829018617894779E-2</v>
      </c>
      <c r="E806" s="30">
        <f t="shared" si="49"/>
        <v>0.13861089000173127</v>
      </c>
    </row>
    <row r="807" spans="2:5" ht="13.9" customHeight="1" x14ac:dyDescent="0.25">
      <c r="B807" s="29">
        <f t="shared" si="51"/>
        <v>8.2380115273773917</v>
      </c>
      <c r="C807" s="30">
        <f t="shared" si="50"/>
        <v>8.222225970743546E-3</v>
      </c>
      <c r="D807" s="30">
        <f t="shared" si="48"/>
        <v>8.0632903427290722E-2</v>
      </c>
      <c r="E807" s="30">
        <f t="shared" si="49"/>
        <v>0.13861089000173127</v>
      </c>
    </row>
    <row r="808" spans="2:5" ht="13.9" customHeight="1" x14ac:dyDescent="0.25">
      <c r="B808" s="29">
        <f t="shared" si="51"/>
        <v>8.2480115273773915</v>
      </c>
      <c r="C808" s="30">
        <f t="shared" si="50"/>
        <v>8.202300582485186E-3</v>
      </c>
      <c r="D808" s="30">
        <f t="shared" si="48"/>
        <v>8.0437501122257463E-2</v>
      </c>
      <c r="E808" s="30">
        <f t="shared" si="49"/>
        <v>0.13861089000173127</v>
      </c>
    </row>
    <row r="809" spans="2:5" ht="13.9" customHeight="1" x14ac:dyDescent="0.25">
      <c r="B809" s="29">
        <f t="shared" si="51"/>
        <v>8.2580115273773913</v>
      </c>
      <c r="C809" s="30">
        <f t="shared" si="50"/>
        <v>8.182447536054429E-3</v>
      </c>
      <c r="D809" s="30">
        <f t="shared" si="48"/>
        <v>8.0242808251824962E-2</v>
      </c>
      <c r="E809" s="30">
        <f t="shared" si="49"/>
        <v>0.13861089000173127</v>
      </c>
    </row>
    <row r="810" spans="2:5" ht="13.9" customHeight="1" x14ac:dyDescent="0.25">
      <c r="B810" s="29">
        <f t="shared" si="51"/>
        <v>8.2680115273773911</v>
      </c>
      <c r="C810" s="30">
        <f t="shared" si="50"/>
        <v>8.1626664816788451E-3</v>
      </c>
      <c r="D810" s="30">
        <f t="shared" si="48"/>
        <v>8.0048821385879931E-2</v>
      </c>
      <c r="E810" s="30">
        <f t="shared" si="49"/>
        <v>0.1386108900017313</v>
      </c>
    </row>
    <row r="811" spans="2:5" ht="13.9" customHeight="1" x14ac:dyDescent="0.25">
      <c r="B811" s="29">
        <f t="shared" si="51"/>
        <v>8.2780115273773909</v>
      </c>
      <c r="C811" s="30">
        <f t="shared" si="50"/>
        <v>8.1429570716973886E-3</v>
      </c>
      <c r="D811" s="30">
        <f t="shared" si="48"/>
        <v>7.985553711501478E-2</v>
      </c>
      <c r="E811" s="30">
        <f t="shared" si="49"/>
        <v>0.1386108900017313</v>
      </c>
    </row>
    <row r="812" spans="2:5" ht="13.9" customHeight="1" x14ac:dyDescent="0.25">
      <c r="B812" s="29">
        <f t="shared" si="51"/>
        <v>8.2880115273773907</v>
      </c>
      <c r="C812" s="30">
        <f t="shared" si="50"/>
        <v>8.12331896054512E-3</v>
      </c>
      <c r="D812" s="30">
        <f t="shared" si="48"/>
        <v>7.9662952050377822E-2</v>
      </c>
      <c r="E812" s="30">
        <f t="shared" si="49"/>
        <v>0.1386108900017313</v>
      </c>
    </row>
    <row r="813" spans="2:5" ht="13.9" customHeight="1" x14ac:dyDescent="0.25">
      <c r="B813" s="29">
        <f t="shared" si="51"/>
        <v>8.2980115273773905</v>
      </c>
      <c r="C813" s="30">
        <f t="shared" si="50"/>
        <v>8.1037518047380585E-3</v>
      </c>
      <c r="D813" s="30">
        <f t="shared" si="48"/>
        <v>7.9471062823524716E-2</v>
      </c>
      <c r="E813" s="30">
        <f t="shared" si="49"/>
        <v>0.1386108900017313</v>
      </c>
    </row>
    <row r="814" spans="2:5" ht="13.9" customHeight="1" x14ac:dyDescent="0.25">
      <c r="B814" s="29">
        <f t="shared" si="51"/>
        <v>8.3080115273773902</v>
      </c>
      <c r="C814" s="30">
        <f t="shared" si="50"/>
        <v>8.084255262858166E-3</v>
      </c>
      <c r="D814" s="30">
        <f t="shared" si="48"/>
        <v>7.9279866086271175E-2</v>
      </c>
      <c r="E814" s="30">
        <f t="shared" si="49"/>
        <v>0.13861089000173127</v>
      </c>
    </row>
    <row r="815" spans="2:5" ht="13.9" customHeight="1" x14ac:dyDescent="0.25">
      <c r="B815" s="29">
        <f t="shared" si="51"/>
        <v>8.31801152737739</v>
      </c>
      <c r="C815" s="30">
        <f t="shared" si="50"/>
        <v>8.0648289955384516E-3</v>
      </c>
      <c r="D815" s="30">
        <f t="shared" si="48"/>
        <v>7.9089358510546923E-2</v>
      </c>
      <c r="E815" s="30">
        <f t="shared" si="49"/>
        <v>0.13861089000173127</v>
      </c>
    </row>
    <row r="816" spans="2:5" ht="13.9" customHeight="1" x14ac:dyDescent="0.25">
      <c r="B816" s="29">
        <f t="shared" si="51"/>
        <v>8.3280115273773898</v>
      </c>
      <c r="C816" s="30">
        <f t="shared" si="50"/>
        <v>8.0454726654482049E-3</v>
      </c>
      <c r="D816" s="30">
        <f t="shared" si="48"/>
        <v>7.8899536788250901E-2</v>
      </c>
      <c r="E816" s="30">
        <f t="shared" si="49"/>
        <v>0.1386108900017313</v>
      </c>
    </row>
    <row r="817" spans="2:5" ht="13.9" customHeight="1" x14ac:dyDescent="0.25">
      <c r="B817" s="29">
        <f t="shared" si="51"/>
        <v>8.3380115273773896</v>
      </c>
      <c r="C817" s="30">
        <f t="shared" si="50"/>
        <v>8.0261859372783451E-3</v>
      </c>
      <c r="D817" s="30">
        <f t="shared" si="48"/>
        <v>7.8710397631107543E-2</v>
      </c>
      <c r="E817" s="30">
        <f t="shared" si="49"/>
        <v>0.1386108900017313</v>
      </c>
    </row>
    <row r="818" spans="2:5" ht="13.9" customHeight="1" x14ac:dyDescent="0.25">
      <c r="B818" s="29">
        <f t="shared" si="51"/>
        <v>8.3480115273773894</v>
      </c>
      <c r="C818" s="30">
        <f t="shared" si="50"/>
        <v>8.0069684777269064E-3</v>
      </c>
      <c r="D818" s="30">
        <f t="shared" si="48"/>
        <v>7.852193777052445E-2</v>
      </c>
      <c r="E818" s="30">
        <f t="shared" si="49"/>
        <v>0.1386108900017313</v>
      </c>
    </row>
    <row r="819" spans="2:5" ht="13.9" customHeight="1" x14ac:dyDescent="0.25">
      <c r="B819" s="29">
        <f t="shared" si="51"/>
        <v>8.3580115273773892</v>
      </c>
      <c r="C819" s="30">
        <f t="shared" si="50"/>
        <v>7.987819955484643E-3</v>
      </c>
      <c r="D819" s="30">
        <f t="shared" si="48"/>
        <v>7.8334153957451247E-2</v>
      </c>
      <c r="E819" s="30">
        <f t="shared" si="49"/>
        <v>0.1386108900017313</v>
      </c>
    </row>
    <row r="820" spans="2:5" ht="13.9" customHeight="1" x14ac:dyDescent="0.25">
      <c r="B820" s="29">
        <f t="shared" si="51"/>
        <v>8.368011527377389</v>
      </c>
      <c r="C820" s="30">
        <f t="shared" si="50"/>
        <v>7.9687400412207336E-3</v>
      </c>
      <c r="D820" s="30">
        <f t="shared" si="48"/>
        <v>7.8147042962239358E-2</v>
      </c>
      <c r="E820" s="30">
        <f t="shared" si="49"/>
        <v>0.1386108900017313</v>
      </c>
    </row>
    <row r="821" spans="2:5" ht="13.9" customHeight="1" x14ac:dyDescent="0.25">
      <c r="B821" s="29">
        <f t="shared" si="51"/>
        <v>8.3780115273773887</v>
      </c>
      <c r="C821" s="30">
        <f t="shared" si="50"/>
        <v>7.94972840756864E-3</v>
      </c>
      <c r="D821" s="30">
        <f t="shared" si="48"/>
        <v>7.796060157450338E-2</v>
      </c>
      <c r="E821" s="30">
        <f t="shared" si="49"/>
        <v>0.1386108900017313</v>
      </c>
    </row>
    <row r="822" spans="2:5" ht="13.9" customHeight="1" x14ac:dyDescent="0.25">
      <c r="B822" s="29">
        <f t="shared" si="51"/>
        <v>8.3880115273773885</v>
      </c>
      <c r="C822" s="30">
        <f t="shared" si="50"/>
        <v>7.9307847291120448E-3</v>
      </c>
      <c r="D822" s="30">
        <f t="shared" si="48"/>
        <v>7.7774826602983085E-2</v>
      </c>
      <c r="E822" s="30">
        <f t="shared" si="49"/>
        <v>0.1386108900017313</v>
      </c>
    </row>
    <row r="823" spans="2:5" ht="13.9" customHeight="1" x14ac:dyDescent="0.25">
      <c r="B823" s="29">
        <f t="shared" si="51"/>
        <v>8.3980115273773883</v>
      </c>
      <c r="C823" s="30">
        <f t="shared" si="50"/>
        <v>7.9119086823709502E-3</v>
      </c>
      <c r="D823" s="30">
        <f t="shared" si="48"/>
        <v>7.7589714875407195E-2</v>
      </c>
      <c r="E823" s="30">
        <f t="shared" si="49"/>
        <v>0.1386108900017313</v>
      </c>
    </row>
    <row r="824" spans="2:5" ht="13.9" customHeight="1" x14ac:dyDescent="0.25">
      <c r="B824" s="29">
        <f t="shared" si="51"/>
        <v>8.4080115273773881</v>
      </c>
      <c r="C824" s="30">
        <f t="shared" si="50"/>
        <v>7.893099945787841E-3</v>
      </c>
      <c r="D824" s="30">
        <f t="shared" si="48"/>
        <v>7.7405263238357613E-2</v>
      </c>
      <c r="E824" s="30">
        <f t="shared" si="49"/>
        <v>0.1386108900017313</v>
      </c>
    </row>
    <row r="825" spans="2:5" ht="13.9" customHeight="1" x14ac:dyDescent="0.25">
      <c r="B825" s="29">
        <f t="shared" si="51"/>
        <v>8.4180115273773879</v>
      </c>
      <c r="C825" s="30">
        <f t="shared" si="50"/>
        <v>7.8743581997140141E-3</v>
      </c>
      <c r="D825" s="30">
        <f t="shared" si="48"/>
        <v>7.7221468557135423E-2</v>
      </c>
      <c r="E825" s="30">
        <f t="shared" si="49"/>
        <v>0.13861089000173127</v>
      </c>
    </row>
    <row r="826" spans="2:5" ht="13.9" customHeight="1" x14ac:dyDescent="0.25">
      <c r="B826" s="29">
        <f t="shared" si="51"/>
        <v>8.4280115273773877</v>
      </c>
      <c r="C826" s="30">
        <f t="shared" si="50"/>
        <v>7.8556831263959879E-3</v>
      </c>
      <c r="D826" s="30">
        <f t="shared" si="48"/>
        <v>7.7038327715627533E-2</v>
      </c>
      <c r="E826" s="30">
        <f t="shared" si="49"/>
        <v>0.1386108900017313</v>
      </c>
    </row>
    <row r="827" spans="2:5" ht="13.9" customHeight="1" x14ac:dyDescent="0.25">
      <c r="B827" s="29">
        <f t="shared" si="51"/>
        <v>8.4380115273773875</v>
      </c>
      <c r="C827" s="30">
        <f t="shared" si="50"/>
        <v>7.8370744099620256E-3</v>
      </c>
      <c r="D827" s="30">
        <f t="shared" si="48"/>
        <v>7.6855837616174594E-2</v>
      </c>
      <c r="E827" s="30">
        <f t="shared" si="49"/>
        <v>0.1386108900017313</v>
      </c>
    </row>
    <row r="828" spans="2:5" ht="13.9" customHeight="1" x14ac:dyDescent="0.25">
      <c r="B828" s="29">
        <f t="shared" si="51"/>
        <v>8.4480115273773873</v>
      </c>
      <c r="C828" s="30">
        <f t="shared" si="50"/>
        <v>7.8185317364087951E-3</v>
      </c>
      <c r="D828" s="30">
        <f t="shared" si="48"/>
        <v>7.6673995179440124E-2</v>
      </c>
      <c r="E828" s="30">
        <f t="shared" si="49"/>
        <v>0.13861089000173127</v>
      </c>
    </row>
    <row r="829" spans="2:5" ht="13.9" customHeight="1" x14ac:dyDescent="0.25">
      <c r="B829" s="29">
        <f t="shared" si="51"/>
        <v>8.458011527377387</v>
      </c>
      <c r="C829" s="30">
        <f t="shared" si="50"/>
        <v>7.8000547935881126E-3</v>
      </c>
      <c r="D829" s="30">
        <f t="shared" si="48"/>
        <v>7.6492797344280536E-2</v>
      </c>
      <c r="E829" s="30">
        <f t="shared" si="49"/>
        <v>0.1386108900017313</v>
      </c>
    </row>
    <row r="830" spans="2:5" ht="13.9" customHeight="1" x14ac:dyDescent="0.25">
      <c r="B830" s="29">
        <f t="shared" si="51"/>
        <v>8.4680115273773868</v>
      </c>
      <c r="C830" s="30">
        <f t="shared" si="50"/>
        <v>7.7816432711938039E-3</v>
      </c>
      <c r="D830" s="30">
        <f t="shared" si="48"/>
        <v>7.6312241067616277E-2</v>
      </c>
      <c r="E830" s="30">
        <f t="shared" si="49"/>
        <v>0.1386108900017313</v>
      </c>
    </row>
    <row r="831" spans="2:5" ht="13.9" customHeight="1" x14ac:dyDescent="0.25">
      <c r="B831" s="29">
        <f t="shared" si="51"/>
        <v>8.4780115273773866</v>
      </c>
      <c r="C831" s="30">
        <f t="shared" si="50"/>
        <v>7.7632968607486818E-3</v>
      </c>
      <c r="D831" s="30">
        <f t="shared" si="48"/>
        <v>7.6132323324304099E-2</v>
      </c>
      <c r="E831" s="30">
        <f t="shared" si="49"/>
        <v>0.1386108900017313</v>
      </c>
    </row>
    <row r="832" spans="2:5" ht="13.9" customHeight="1" x14ac:dyDescent="0.25">
      <c r="B832" s="29">
        <f t="shared" si="51"/>
        <v>8.4880115273773864</v>
      </c>
      <c r="C832" s="30">
        <f t="shared" si="50"/>
        <v>7.7450152555916226E-3</v>
      </c>
      <c r="D832" s="30">
        <f t="shared" si="48"/>
        <v>7.5953041107010358E-2</v>
      </c>
      <c r="E832" s="30">
        <f t="shared" si="49"/>
        <v>0.13861089000173127</v>
      </c>
    </row>
    <row r="833" spans="2:5" ht="13.9" customHeight="1" x14ac:dyDescent="0.25">
      <c r="B833" s="29">
        <f t="shared" si="51"/>
        <v>8.4980115273773862</v>
      </c>
      <c r="C833" s="30">
        <f t="shared" si="50"/>
        <v>7.7267981508647521E-3</v>
      </c>
      <c r="D833" s="30">
        <f t="shared" si="48"/>
        <v>7.5774391426085358E-2</v>
      </c>
      <c r="E833" s="30">
        <f t="shared" si="49"/>
        <v>0.13861089000173127</v>
      </c>
    </row>
    <row r="834" spans="2:5" ht="13.9" customHeight="1" x14ac:dyDescent="0.25">
      <c r="B834" s="29">
        <f t="shared" si="51"/>
        <v>8.508011527377386</v>
      </c>
      <c r="C834" s="30">
        <f t="shared" si="50"/>
        <v>7.7086452435007344E-3</v>
      </c>
      <c r="D834" s="30">
        <f t="shared" si="48"/>
        <v>7.5596371309438651E-2</v>
      </c>
      <c r="E834" s="30">
        <f t="shared" si="49"/>
        <v>0.1386108900017313</v>
      </c>
    </row>
    <row r="835" spans="2:5" ht="13.9" customHeight="1" x14ac:dyDescent="0.25">
      <c r="B835" s="29">
        <f t="shared" si="51"/>
        <v>8.5180115273773858</v>
      </c>
      <c r="C835" s="30">
        <f t="shared" si="50"/>
        <v>7.6905562322101689E-3</v>
      </c>
      <c r="D835" s="30">
        <f t="shared" si="48"/>
        <v>7.5418977802415452E-2</v>
      </c>
      <c r="E835" s="30">
        <f t="shared" si="49"/>
        <v>0.1386108900017313</v>
      </c>
    </row>
    <row r="836" spans="2:5" ht="13.9" customHeight="1" x14ac:dyDescent="0.25">
      <c r="B836" s="29">
        <f t="shared" si="51"/>
        <v>8.5280115273773855</v>
      </c>
      <c r="C836" s="30">
        <f t="shared" si="50"/>
        <v>7.6725308174690858E-3</v>
      </c>
      <c r="D836" s="30">
        <f t="shared" si="48"/>
        <v>7.5242207967674085E-2</v>
      </c>
      <c r="E836" s="30">
        <f t="shared" si="49"/>
        <v>0.1386108900017313</v>
      </c>
    </row>
    <row r="837" spans="2:5" ht="13.9" customHeight="1" x14ac:dyDescent="0.25">
      <c r="B837" s="29">
        <f t="shared" si="51"/>
        <v>8.5380115273773853</v>
      </c>
      <c r="C837" s="30">
        <f t="shared" si="50"/>
        <v>7.6545687015065539E-3</v>
      </c>
      <c r="D837" s="30">
        <f t="shared" si="48"/>
        <v>7.5066058885064318E-2</v>
      </c>
      <c r="E837" s="30">
        <f t="shared" si="49"/>
        <v>0.1386108900017313</v>
      </c>
    </row>
    <row r="838" spans="2:5" ht="13.9" customHeight="1" x14ac:dyDescent="0.25">
      <c r="B838" s="29">
        <f t="shared" si="51"/>
        <v>8.5480115273773851</v>
      </c>
      <c r="C838" s="30">
        <f t="shared" si="50"/>
        <v>7.6366695882923719E-3</v>
      </c>
      <c r="D838" s="30">
        <f t="shared" si="48"/>
        <v>7.4890527651506791E-2</v>
      </c>
      <c r="E838" s="30">
        <f t="shared" si="49"/>
        <v>0.13861089000173127</v>
      </c>
    </row>
    <row r="839" spans="2:5" ht="13.9" customHeight="1" x14ac:dyDescent="0.25">
      <c r="B839" s="29">
        <f t="shared" si="51"/>
        <v>8.5580115273773849</v>
      </c>
      <c r="C839" s="30">
        <f t="shared" si="50"/>
        <v>7.618833183524883E-3</v>
      </c>
      <c r="D839" s="30">
        <f t="shared" si="48"/>
        <v>7.4715611380873459E-2</v>
      </c>
      <c r="E839" s="30">
        <f t="shared" si="49"/>
        <v>0.13861089000173127</v>
      </c>
    </row>
    <row r="840" spans="2:5" ht="13.9" customHeight="1" x14ac:dyDescent="0.25">
      <c r="B840" s="29">
        <f t="shared" si="51"/>
        <v>8.5680115273773847</v>
      </c>
      <c r="C840" s="30">
        <f t="shared" si="50"/>
        <v>7.6010591946188691E-3</v>
      </c>
      <c r="D840" s="30">
        <f t="shared" si="48"/>
        <v>7.4541307203868853E-2</v>
      </c>
      <c r="E840" s="30">
        <f t="shared" si="49"/>
        <v>0.1386108900017313</v>
      </c>
    </row>
    <row r="841" spans="2:5" ht="13.9" customHeight="1" x14ac:dyDescent="0.25">
      <c r="B841" s="29">
        <f t="shared" si="51"/>
        <v>8.5780115273773845</v>
      </c>
      <c r="C841" s="30">
        <f t="shared" si="50"/>
        <v>7.5833473306935557E-3</v>
      </c>
      <c r="D841" s="30">
        <f t="shared" ref="D841:D904" si="52">C841*9.8067</f>
        <v>7.4367612267912483E-2</v>
      </c>
      <c r="E841" s="30">
        <f t="shared" ref="E841:E904" si="53">((B841^2)/(4*PI()^2))*D841</f>
        <v>0.13861089000173127</v>
      </c>
    </row>
    <row r="842" spans="2:5" ht="13.9" customHeight="1" x14ac:dyDescent="0.25">
      <c r="B842" s="29">
        <f t="shared" si="51"/>
        <v>8.5880115273773843</v>
      </c>
      <c r="C842" s="30">
        <f t="shared" si="50"/>
        <v>7.565697302560708E-3</v>
      </c>
      <c r="D842" s="30">
        <f t="shared" si="52"/>
        <v>7.4194523737022094E-2</v>
      </c>
      <c r="E842" s="30">
        <f t="shared" si="53"/>
        <v>0.1386108900017313</v>
      </c>
    </row>
    <row r="843" spans="2:5" ht="13.9" customHeight="1" x14ac:dyDescent="0.25">
      <c r="B843" s="29">
        <f t="shared" si="51"/>
        <v>8.5980115273773841</v>
      </c>
      <c r="C843" s="30">
        <f t="shared" si="50"/>
        <v>7.5481088227128314E-3</v>
      </c>
      <c r="D843" s="30">
        <f t="shared" si="52"/>
        <v>7.4022038791697914E-2</v>
      </c>
      <c r="E843" s="30">
        <f t="shared" si="53"/>
        <v>0.13861089000173127</v>
      </c>
    </row>
    <row r="844" spans="2:5" ht="13.9" customHeight="1" x14ac:dyDescent="0.25">
      <c r="B844" s="29">
        <f t="shared" si="51"/>
        <v>8.6080115273773838</v>
      </c>
      <c r="C844" s="30">
        <f t="shared" si="50"/>
        <v>7.5305816053114578E-3</v>
      </c>
      <c r="D844" s="30">
        <f t="shared" si="52"/>
        <v>7.3850154628807868E-2</v>
      </c>
      <c r="E844" s="30">
        <f t="shared" si="53"/>
        <v>0.1386108900017313</v>
      </c>
    </row>
    <row r="845" spans="2:5" ht="13.9" customHeight="1" x14ac:dyDescent="0.25">
      <c r="B845" s="29">
        <f t="shared" si="51"/>
        <v>8.6180115273773836</v>
      </c>
      <c r="C845" s="30">
        <f t="shared" ref="C845:C908" si="54">IF(B845&lt;6,$C$5/B845,6*$C$5/B845^2)</f>
        <v>7.5131153661755377E-3</v>
      </c>
      <c r="D845" s="30">
        <f t="shared" si="52"/>
        <v>7.3678868461473646E-2</v>
      </c>
      <c r="E845" s="30">
        <f t="shared" si="53"/>
        <v>0.1386108900017313</v>
      </c>
    </row>
    <row r="846" spans="2:5" ht="13.9" customHeight="1" x14ac:dyDescent="0.25">
      <c r="B846" s="29">
        <f t="shared" ref="B846:B909" si="55">B845+0.01</f>
        <v>8.6280115273773834</v>
      </c>
      <c r="C846" s="30">
        <f t="shared" si="54"/>
        <v>7.4957098227699118E-3</v>
      </c>
      <c r="D846" s="30">
        <f t="shared" si="52"/>
        <v>7.350817751895769E-2</v>
      </c>
      <c r="E846" s="30">
        <f t="shared" si="53"/>
        <v>0.1386108900017313</v>
      </c>
    </row>
    <row r="847" spans="2:5" ht="13.9" customHeight="1" x14ac:dyDescent="0.25">
      <c r="B847" s="29">
        <f t="shared" si="55"/>
        <v>8.6380115273773832</v>
      </c>
      <c r="C847" s="30">
        <f t="shared" si="54"/>
        <v>7.4783646941939006E-3</v>
      </c>
      <c r="D847" s="30">
        <f t="shared" si="52"/>
        <v>7.3338079046551319E-2</v>
      </c>
      <c r="E847" s="30">
        <f t="shared" si="53"/>
        <v>0.1386108900017313</v>
      </c>
    </row>
    <row r="848" spans="2:5" ht="13.9" customHeight="1" x14ac:dyDescent="0.25">
      <c r="B848" s="29">
        <f t="shared" si="55"/>
        <v>8.648011527377383</v>
      </c>
      <c r="C848" s="30">
        <f t="shared" si="54"/>
        <v>7.4610797011699535E-3</v>
      </c>
      <c r="D848" s="30">
        <f t="shared" si="52"/>
        <v>7.3168570305463379E-2</v>
      </c>
      <c r="E848" s="30">
        <f t="shared" si="53"/>
        <v>0.1386108900017313</v>
      </c>
    </row>
    <row r="849" spans="2:5" ht="13.9" customHeight="1" x14ac:dyDescent="0.25">
      <c r="B849" s="29">
        <f t="shared" si="55"/>
        <v>8.6580115273773828</v>
      </c>
      <c r="C849" s="30">
        <f t="shared" si="54"/>
        <v>7.4438545660324186E-3</v>
      </c>
      <c r="D849" s="30">
        <f t="shared" si="52"/>
        <v>7.2999648572710116E-2</v>
      </c>
      <c r="E849" s="30">
        <f t="shared" si="53"/>
        <v>0.1386108900017313</v>
      </c>
    </row>
    <row r="850" spans="2:5" ht="13.9" customHeight="1" x14ac:dyDescent="0.25">
      <c r="B850" s="29">
        <f t="shared" si="55"/>
        <v>8.6680115273773826</v>
      </c>
      <c r="C850" s="30">
        <f t="shared" si="54"/>
        <v>7.4266890127163889E-3</v>
      </c>
      <c r="D850" s="30">
        <f t="shared" si="52"/>
        <v>7.28313111410058E-2</v>
      </c>
      <c r="E850" s="30">
        <f t="shared" si="53"/>
        <v>0.13861089000173127</v>
      </c>
    </row>
    <row r="851" spans="2:5" ht="13.9" customHeight="1" x14ac:dyDescent="0.25">
      <c r="B851" s="29">
        <f t="shared" si="55"/>
        <v>8.6780115273773824</v>
      </c>
      <c r="C851" s="30">
        <f t="shared" si="54"/>
        <v>7.4095827667466398E-3</v>
      </c>
      <c r="D851" s="30">
        <f t="shared" si="52"/>
        <v>7.266355531865426E-2</v>
      </c>
      <c r="E851" s="30">
        <f t="shared" si="53"/>
        <v>0.13861089000173127</v>
      </c>
    </row>
    <row r="852" spans="2:5" ht="13.9" customHeight="1" x14ac:dyDescent="0.25">
      <c r="B852" s="29">
        <f t="shared" si="55"/>
        <v>8.6880115273773821</v>
      </c>
      <c r="C852" s="30">
        <f t="shared" si="54"/>
        <v>7.3925355552266576E-3</v>
      </c>
      <c r="D852" s="30">
        <f t="shared" si="52"/>
        <v>7.2496378429441261E-2</v>
      </c>
      <c r="E852" s="30">
        <f t="shared" si="53"/>
        <v>0.1386108900017313</v>
      </c>
    </row>
    <row r="853" spans="2:5" ht="13.9" customHeight="1" x14ac:dyDescent="0.25">
      <c r="B853" s="29">
        <f t="shared" si="55"/>
        <v>8.6980115273773819</v>
      </c>
      <c r="C853" s="30">
        <f t="shared" si="54"/>
        <v>7.3755471068277555E-3</v>
      </c>
      <c r="D853" s="30">
        <f t="shared" si="52"/>
        <v>7.2329777812527751E-2</v>
      </c>
      <c r="E853" s="30">
        <f t="shared" si="53"/>
        <v>0.1386108900017313</v>
      </c>
    </row>
    <row r="854" spans="2:5" ht="13.9" customHeight="1" x14ac:dyDescent="0.25">
      <c r="B854" s="29">
        <f t="shared" si="55"/>
        <v>8.7080115273773817</v>
      </c>
      <c r="C854" s="30">
        <f t="shared" si="54"/>
        <v>7.358617151778277E-3</v>
      </c>
      <c r="D854" s="30">
        <f t="shared" si="52"/>
        <v>7.2163750822344025E-2</v>
      </c>
      <c r="E854" s="30">
        <f t="shared" si="53"/>
        <v>0.1386108900017313</v>
      </c>
    </row>
    <row r="855" spans="2:5" ht="13.9" customHeight="1" x14ac:dyDescent="0.25">
      <c r="B855" s="29">
        <f t="shared" si="55"/>
        <v>8.7180115273773815</v>
      </c>
      <c r="C855" s="30">
        <f t="shared" si="54"/>
        <v>7.3417454218528862E-3</v>
      </c>
      <c r="D855" s="30">
        <f t="shared" si="52"/>
        <v>7.1998294828484688E-2</v>
      </c>
      <c r="E855" s="30">
        <f t="shared" si="53"/>
        <v>0.1386108900017313</v>
      </c>
    </row>
    <row r="856" spans="2:5" ht="13.9" customHeight="1" x14ac:dyDescent="0.25">
      <c r="B856" s="29">
        <f t="shared" si="55"/>
        <v>8.7280115273773813</v>
      </c>
      <c r="C856" s="30">
        <f t="shared" si="54"/>
        <v>7.3249316503619438E-3</v>
      </c>
      <c r="D856" s="30">
        <f t="shared" si="52"/>
        <v>7.1833407215604467E-2</v>
      </c>
      <c r="E856" s="30">
        <f t="shared" si="53"/>
        <v>0.13861089000173127</v>
      </c>
    </row>
    <row r="857" spans="2:5" ht="13.9" customHeight="1" x14ac:dyDescent="0.25">
      <c r="B857" s="29">
        <f t="shared" si="55"/>
        <v>8.7380115273773811</v>
      </c>
      <c r="C857" s="30">
        <f t="shared" si="54"/>
        <v>7.3081755721409718E-3</v>
      </c>
      <c r="D857" s="30">
        <f t="shared" si="52"/>
        <v>7.1669085383314859E-2</v>
      </c>
      <c r="E857" s="30">
        <f t="shared" si="53"/>
        <v>0.13861089000173127</v>
      </c>
    </row>
    <row r="858" spans="2:5" ht="13.9" customHeight="1" x14ac:dyDescent="0.25">
      <c r="B858" s="29">
        <f t="shared" si="55"/>
        <v>8.7480115273773809</v>
      </c>
      <c r="C858" s="30">
        <f t="shared" si="54"/>
        <v>7.2914769235401921E-3</v>
      </c>
      <c r="D858" s="30">
        <f t="shared" si="52"/>
        <v>7.1505326746081593E-2</v>
      </c>
      <c r="E858" s="30">
        <f t="shared" si="53"/>
        <v>0.13861089000173127</v>
      </c>
    </row>
    <row r="859" spans="2:5" ht="13.9" customHeight="1" x14ac:dyDescent="0.25">
      <c r="B859" s="29">
        <f t="shared" si="55"/>
        <v>8.7580115273773806</v>
      </c>
      <c r="C859" s="30">
        <f t="shared" si="54"/>
        <v>7.2748354424141577E-3</v>
      </c>
      <c r="D859" s="30">
        <f t="shared" si="52"/>
        <v>7.1342128733122914E-2</v>
      </c>
      <c r="E859" s="30">
        <f t="shared" si="53"/>
        <v>0.1386108900017313</v>
      </c>
    </row>
    <row r="860" spans="2:5" ht="13.9" customHeight="1" x14ac:dyDescent="0.25">
      <c r="B860" s="29">
        <f t="shared" si="55"/>
        <v>8.7680115273773804</v>
      </c>
      <c r="C860" s="30">
        <f t="shared" si="54"/>
        <v>7.2582508681114681E-3</v>
      </c>
      <c r="D860" s="30">
        <f t="shared" si="52"/>
        <v>7.1179488788308723E-2</v>
      </c>
      <c r="E860" s="30">
        <f t="shared" si="53"/>
        <v>0.13861089000173127</v>
      </c>
    </row>
    <row r="861" spans="2:5" ht="13.9" customHeight="1" x14ac:dyDescent="0.25">
      <c r="B861" s="29">
        <f t="shared" si="55"/>
        <v>8.7780115273773802</v>
      </c>
      <c r="C861" s="30">
        <f t="shared" si="54"/>
        <v>7.2417229414645599E-3</v>
      </c>
      <c r="D861" s="30">
        <f t="shared" si="52"/>
        <v>7.1017404370060488E-2</v>
      </c>
      <c r="E861" s="30">
        <f t="shared" si="53"/>
        <v>0.13861089000173127</v>
      </c>
    </row>
    <row r="862" spans="2:5" ht="13.9" customHeight="1" x14ac:dyDescent="0.25">
      <c r="B862" s="29">
        <f t="shared" si="55"/>
        <v>8.78801152737738</v>
      </c>
      <c r="C862" s="30">
        <f t="shared" si="54"/>
        <v>7.2252514047795816E-3</v>
      </c>
      <c r="D862" s="30">
        <f t="shared" si="52"/>
        <v>7.0855872951251925E-2</v>
      </c>
      <c r="E862" s="30">
        <f t="shared" si="53"/>
        <v>0.1386108900017313</v>
      </c>
    </row>
    <row r="863" spans="2:5" ht="13.9" customHeight="1" x14ac:dyDescent="0.25">
      <c r="B863" s="29">
        <f t="shared" si="55"/>
        <v>8.7980115273773798</v>
      </c>
      <c r="C863" s="30">
        <f t="shared" si="54"/>
        <v>7.2088360018263487E-3</v>
      </c>
      <c r="D863" s="30">
        <f t="shared" si="52"/>
        <v>7.0694892019110445E-2</v>
      </c>
      <c r="E863" s="30">
        <f t="shared" si="53"/>
        <v>0.13861089000173127</v>
      </c>
    </row>
    <row r="864" spans="2:5" ht="13.9" customHeight="1" x14ac:dyDescent="0.25">
      <c r="B864" s="29">
        <f t="shared" si="55"/>
        <v>8.8080115273773796</v>
      </c>
      <c r="C864" s="30">
        <f t="shared" si="54"/>
        <v>7.1924764778283799E-3</v>
      </c>
      <c r="D864" s="30">
        <f t="shared" si="52"/>
        <v>7.0534459075119571E-2</v>
      </c>
      <c r="E864" s="30">
        <f t="shared" si="53"/>
        <v>0.1386108900017313</v>
      </c>
    </row>
    <row r="865" spans="2:5" ht="13.9" customHeight="1" x14ac:dyDescent="0.25">
      <c r="B865" s="29">
        <f t="shared" si="55"/>
        <v>8.8180115273773794</v>
      </c>
      <c r="C865" s="30">
        <f t="shared" si="54"/>
        <v>7.1761725794530131E-3</v>
      </c>
      <c r="D865" s="30">
        <f t="shared" si="52"/>
        <v>7.0374571634921862E-2</v>
      </c>
      <c r="E865" s="30">
        <f t="shared" si="53"/>
        <v>0.1386108900017313</v>
      </c>
    </row>
    <row r="866" spans="2:5" ht="13.9" customHeight="1" x14ac:dyDescent="0.25">
      <c r="B866" s="29">
        <f t="shared" si="55"/>
        <v>8.8280115273773792</v>
      </c>
      <c r="C866" s="30">
        <f t="shared" si="54"/>
        <v>7.1599240548015928E-3</v>
      </c>
      <c r="D866" s="30">
        <f t="shared" si="52"/>
        <v>7.0215227228222779E-2</v>
      </c>
      <c r="E866" s="30">
        <f t="shared" si="53"/>
        <v>0.1386108900017313</v>
      </c>
    </row>
    <row r="867" spans="2:5" ht="13.9" customHeight="1" x14ac:dyDescent="0.25">
      <c r="B867" s="29">
        <f t="shared" si="55"/>
        <v>8.8380115273773789</v>
      </c>
      <c r="C867" s="30">
        <f t="shared" si="54"/>
        <v>7.1437306533997458E-3</v>
      </c>
      <c r="D867" s="30">
        <f t="shared" si="52"/>
        <v>7.0056423398695278E-2</v>
      </c>
      <c r="E867" s="30">
        <f t="shared" si="53"/>
        <v>0.13861089000173127</v>
      </c>
    </row>
    <row r="868" spans="2:5" ht="13.9" customHeight="1" x14ac:dyDescent="0.25">
      <c r="B868" s="29">
        <f t="shared" si="55"/>
        <v>8.8480115273773787</v>
      </c>
      <c r="C868" s="30">
        <f t="shared" si="54"/>
        <v>7.1275921261877264E-3</v>
      </c>
      <c r="D868" s="30">
        <f t="shared" si="52"/>
        <v>6.9898157703885175E-2</v>
      </c>
      <c r="E868" s="30">
        <f t="shared" si="53"/>
        <v>0.1386108900017313</v>
      </c>
    </row>
    <row r="869" spans="2:5" ht="13.9" customHeight="1" x14ac:dyDescent="0.25">
      <c r="B869" s="29">
        <f t="shared" si="55"/>
        <v>8.8580115273773785</v>
      </c>
      <c r="C869" s="30">
        <f t="shared" si="54"/>
        <v>7.1115082255108373E-3</v>
      </c>
      <c r="D869" s="30">
        <f t="shared" si="52"/>
        <v>6.9740427715117126E-2</v>
      </c>
      <c r="E869" s="30">
        <f t="shared" si="53"/>
        <v>0.1386108900017313</v>
      </c>
    </row>
    <row r="870" spans="2:5" ht="13.9" customHeight="1" x14ac:dyDescent="0.25">
      <c r="B870" s="29">
        <f t="shared" si="55"/>
        <v>8.8680115273773783</v>
      </c>
      <c r="C870" s="30">
        <f t="shared" si="54"/>
        <v>7.0954787051099328E-3</v>
      </c>
      <c r="D870" s="30">
        <f t="shared" si="52"/>
        <v>6.9583231017401576E-2</v>
      </c>
      <c r="E870" s="30">
        <f t="shared" si="53"/>
        <v>0.1386108900017313</v>
      </c>
    </row>
    <row r="871" spans="2:5" ht="13.9" customHeight="1" x14ac:dyDescent="0.25">
      <c r="B871" s="29">
        <f t="shared" si="55"/>
        <v>8.8780115273773781</v>
      </c>
      <c r="C871" s="30">
        <f t="shared" si="54"/>
        <v>7.0795033201119899E-3</v>
      </c>
      <c r="D871" s="30">
        <f t="shared" si="52"/>
        <v>6.9426565209342248E-2</v>
      </c>
      <c r="E871" s="30">
        <f t="shared" si="53"/>
        <v>0.1386108900017313</v>
      </c>
    </row>
    <row r="872" spans="2:5" ht="13.9" customHeight="1" x14ac:dyDescent="0.25">
      <c r="B872" s="29">
        <f t="shared" si="55"/>
        <v>8.8880115273773779</v>
      </c>
      <c r="C872" s="30">
        <f t="shared" si="54"/>
        <v>7.063581827020755E-3</v>
      </c>
      <c r="D872" s="30">
        <f t="shared" si="52"/>
        <v>6.927042790304444E-2</v>
      </c>
      <c r="E872" s="30">
        <f t="shared" si="53"/>
        <v>0.1386108900017313</v>
      </c>
    </row>
    <row r="873" spans="2:5" ht="13.9" customHeight="1" x14ac:dyDescent="0.25">
      <c r="B873" s="29">
        <f t="shared" si="55"/>
        <v>8.8980115273773777</v>
      </c>
      <c r="C873" s="30">
        <f t="shared" si="54"/>
        <v>7.0477139837074694E-3</v>
      </c>
      <c r="D873" s="30">
        <f t="shared" si="52"/>
        <v>6.9114816724024031E-2</v>
      </c>
      <c r="E873" s="30">
        <f t="shared" si="53"/>
        <v>0.13861089000173127</v>
      </c>
    </row>
    <row r="874" spans="2:5" ht="13.9" customHeight="1" x14ac:dyDescent="0.25">
      <c r="B874" s="29">
        <f t="shared" si="55"/>
        <v>8.9080115273773774</v>
      </c>
      <c r="C874" s="30">
        <f t="shared" si="54"/>
        <v>7.0318995494016625E-3</v>
      </c>
      <c r="D874" s="30">
        <f t="shared" si="52"/>
        <v>6.8959729311117282E-2</v>
      </c>
      <c r="E874" s="30">
        <f t="shared" si="53"/>
        <v>0.1386108900017313</v>
      </c>
    </row>
    <row r="875" spans="2:5" ht="13.9" customHeight="1" x14ac:dyDescent="0.25">
      <c r="B875" s="29">
        <f t="shared" si="55"/>
        <v>8.9180115273773772</v>
      </c>
      <c r="C875" s="30">
        <f t="shared" si="54"/>
        <v>7.0161382846820174E-3</v>
      </c>
      <c r="D875" s="30">
        <f t="shared" si="52"/>
        <v>6.8805163316391138E-2</v>
      </c>
      <c r="E875" s="30">
        <f t="shared" si="53"/>
        <v>0.1386108900017313</v>
      </c>
    </row>
    <row r="876" spans="2:5" ht="13.9" customHeight="1" x14ac:dyDescent="0.25">
      <c r="B876" s="29">
        <f t="shared" si="55"/>
        <v>8.928011527377377</v>
      </c>
      <c r="C876" s="30">
        <f t="shared" si="54"/>
        <v>7.0004299514673067E-3</v>
      </c>
      <c r="D876" s="30">
        <f t="shared" si="52"/>
        <v>6.8651116405054433E-2</v>
      </c>
      <c r="E876" s="30">
        <f t="shared" si="53"/>
        <v>0.1386108900017313</v>
      </c>
    </row>
    <row r="877" spans="2:5" ht="13.9" customHeight="1" x14ac:dyDescent="0.25">
      <c r="B877" s="29">
        <f t="shared" si="55"/>
        <v>8.9380115273773768</v>
      </c>
      <c r="C877" s="30">
        <f t="shared" si="54"/>
        <v>6.9847743130074056E-3</v>
      </c>
      <c r="D877" s="30">
        <f t="shared" si="52"/>
        <v>6.8497586255369725E-2</v>
      </c>
      <c r="E877" s="30">
        <f t="shared" si="53"/>
        <v>0.1386108900017313</v>
      </c>
    </row>
    <row r="878" spans="2:5" ht="13.9" customHeight="1" x14ac:dyDescent="0.25">
      <c r="B878" s="29">
        <f t="shared" si="55"/>
        <v>8.9480115273773766</v>
      </c>
      <c r="C878" s="30">
        <f t="shared" si="54"/>
        <v>6.9691711338743714E-3</v>
      </c>
      <c r="D878" s="30">
        <f t="shared" si="52"/>
        <v>6.8344570558565798E-2</v>
      </c>
      <c r="E878" s="30">
        <f t="shared" si="53"/>
        <v>0.1386108900017313</v>
      </c>
    </row>
    <row r="879" spans="2:5" ht="13.9" customHeight="1" x14ac:dyDescent="0.25">
      <c r="B879" s="29">
        <f t="shared" si="55"/>
        <v>8.9580115273773764</v>
      </c>
      <c r="C879" s="30">
        <f t="shared" si="54"/>
        <v>6.95362017995359E-3</v>
      </c>
      <c r="D879" s="30">
        <f t="shared" si="52"/>
        <v>6.8192067018750871E-2</v>
      </c>
      <c r="E879" s="30">
        <f t="shared" si="53"/>
        <v>0.1386108900017313</v>
      </c>
    </row>
    <row r="880" spans="2:5" ht="13.9" customHeight="1" x14ac:dyDescent="0.25">
      <c r="B880" s="29">
        <f t="shared" si="55"/>
        <v>8.9680115273773762</v>
      </c>
      <c r="C880" s="30">
        <f t="shared" si="54"/>
        <v>6.9381212184349951E-3</v>
      </c>
      <c r="D880" s="30">
        <f t="shared" si="52"/>
        <v>6.8040073352826455E-2</v>
      </c>
      <c r="E880" s="30">
        <f t="shared" si="53"/>
        <v>0.13861089000173127</v>
      </c>
    </row>
    <row r="881" spans="2:5" ht="13.9" customHeight="1" x14ac:dyDescent="0.25">
      <c r="B881" s="29">
        <f t="shared" si="55"/>
        <v>8.978011527377376</v>
      </c>
      <c r="C881" s="30">
        <f t="shared" si="54"/>
        <v>6.9226740178043554E-3</v>
      </c>
      <c r="D881" s="30">
        <f t="shared" si="52"/>
        <v>6.7888587290401967E-2</v>
      </c>
      <c r="E881" s="30">
        <f t="shared" si="53"/>
        <v>0.13861089000173127</v>
      </c>
    </row>
    <row r="882" spans="2:5" ht="13.9" customHeight="1" x14ac:dyDescent="0.25">
      <c r="B882" s="29">
        <f t="shared" si="55"/>
        <v>8.9880115273773757</v>
      </c>
      <c r="C882" s="30">
        <f t="shared" si="54"/>
        <v>6.9072783478346285E-3</v>
      </c>
      <c r="D882" s="30">
        <f t="shared" si="52"/>
        <v>6.7737606573709849E-2</v>
      </c>
      <c r="E882" s="30">
        <f t="shared" si="53"/>
        <v>0.1386108900017313</v>
      </c>
    </row>
    <row r="883" spans="2:5" ht="13.9" customHeight="1" x14ac:dyDescent="0.25">
      <c r="B883" s="29">
        <f t="shared" si="55"/>
        <v>8.9980115273773755</v>
      </c>
      <c r="C883" s="30">
        <f t="shared" si="54"/>
        <v>6.8919339795773804E-3</v>
      </c>
      <c r="D883" s="30">
        <f t="shared" si="52"/>
        <v>6.7587128957521489E-2</v>
      </c>
      <c r="E883" s="30">
        <f t="shared" si="53"/>
        <v>0.13861089000173127</v>
      </c>
    </row>
    <row r="884" spans="2:5" ht="13.9" customHeight="1" x14ac:dyDescent="0.25">
      <c r="B884" s="29">
        <f t="shared" si="55"/>
        <v>9.0080115273773753</v>
      </c>
      <c r="C884" s="30">
        <f t="shared" si="54"/>
        <v>6.8766406853542801E-3</v>
      </c>
      <c r="D884" s="30">
        <f t="shared" si="52"/>
        <v>6.7437152209063808E-2</v>
      </c>
      <c r="E884" s="30">
        <f t="shared" si="53"/>
        <v>0.13861089000173127</v>
      </c>
    </row>
    <row r="885" spans="2:5" ht="13.9" customHeight="1" x14ac:dyDescent="0.25">
      <c r="B885" s="29">
        <f t="shared" si="55"/>
        <v>9.0180115273773751</v>
      </c>
      <c r="C885" s="30">
        <f t="shared" si="54"/>
        <v>6.8613982387486453E-3</v>
      </c>
      <c r="D885" s="30">
        <f t="shared" si="52"/>
        <v>6.7287674107936332E-2</v>
      </c>
      <c r="E885" s="30">
        <f t="shared" si="53"/>
        <v>0.1386108900017313</v>
      </c>
    </row>
    <row r="886" spans="2:5" ht="13.9" customHeight="1" x14ac:dyDescent="0.25">
      <c r="B886" s="29">
        <f t="shared" si="55"/>
        <v>9.0280115273773749</v>
      </c>
      <c r="C886" s="30">
        <f t="shared" si="54"/>
        <v>6.846206414597069E-3</v>
      </c>
      <c r="D886" s="30">
        <f t="shared" si="52"/>
        <v>6.7138692446029075E-2</v>
      </c>
      <c r="E886" s="30">
        <f t="shared" si="53"/>
        <v>0.1386108900017313</v>
      </c>
    </row>
    <row r="887" spans="2:5" ht="13.9" customHeight="1" x14ac:dyDescent="0.25">
      <c r="B887" s="29">
        <f t="shared" si="55"/>
        <v>9.0380115273773747</v>
      </c>
      <c r="C887" s="30">
        <f t="shared" si="54"/>
        <v>6.8310649889811005E-3</v>
      </c>
      <c r="D887" s="30">
        <f t="shared" si="52"/>
        <v>6.6990205027440949E-2</v>
      </c>
      <c r="E887" s="30">
        <f t="shared" si="53"/>
        <v>0.1386108900017313</v>
      </c>
    </row>
    <row r="888" spans="2:5" ht="13.9" customHeight="1" x14ac:dyDescent="0.25">
      <c r="B888" s="29">
        <f t="shared" si="55"/>
        <v>9.0480115273773745</v>
      </c>
      <c r="C888" s="30">
        <f t="shared" si="54"/>
        <v>6.8159737392189963E-3</v>
      </c>
      <c r="D888" s="30">
        <f t="shared" si="52"/>
        <v>6.6842209668398919E-2</v>
      </c>
      <c r="E888" s="30">
        <f t="shared" si="53"/>
        <v>0.1386108900017313</v>
      </c>
    </row>
    <row r="889" spans="2:5" ht="13.9" customHeight="1" x14ac:dyDescent="0.25">
      <c r="B889" s="29">
        <f t="shared" si="55"/>
        <v>9.0580115273773743</v>
      </c>
      <c r="C889" s="30">
        <f t="shared" si="54"/>
        <v>6.8009324438575297E-3</v>
      </c>
      <c r="D889" s="30">
        <f t="shared" si="52"/>
        <v>6.6694704197177629E-2</v>
      </c>
      <c r="E889" s="30">
        <f t="shared" si="53"/>
        <v>0.1386108900017313</v>
      </c>
    </row>
    <row r="890" spans="2:5" ht="13.9" customHeight="1" x14ac:dyDescent="0.25">
      <c r="B890" s="29">
        <f t="shared" si="55"/>
        <v>9.068011527377374</v>
      </c>
      <c r="C890" s="30">
        <f t="shared" si="54"/>
        <v>6.7859408826638698E-3</v>
      </c>
      <c r="D890" s="30">
        <f t="shared" si="52"/>
        <v>6.6547686454019761E-2</v>
      </c>
      <c r="E890" s="30">
        <f t="shared" si="53"/>
        <v>0.13861089000173127</v>
      </c>
    </row>
    <row r="891" spans="2:5" ht="13.9" customHeight="1" x14ac:dyDescent="0.25">
      <c r="B891" s="29">
        <f t="shared" si="55"/>
        <v>9.0780115273773738</v>
      </c>
      <c r="C891" s="30">
        <f t="shared" si="54"/>
        <v>6.7709988366175203E-3</v>
      </c>
      <c r="D891" s="30">
        <f t="shared" si="52"/>
        <v>6.640115429105703E-2</v>
      </c>
      <c r="E891" s="30">
        <f t="shared" si="53"/>
        <v>0.13861089000173127</v>
      </c>
    </row>
    <row r="892" spans="2:5" ht="13.9" customHeight="1" x14ac:dyDescent="0.25">
      <c r="B892" s="29">
        <f t="shared" si="55"/>
        <v>9.0880115273773736</v>
      </c>
      <c r="C892" s="30">
        <f t="shared" si="54"/>
        <v>6.7561060879023178E-3</v>
      </c>
      <c r="D892" s="30">
        <f t="shared" si="52"/>
        <v>6.625510557223166E-2</v>
      </c>
      <c r="E892" s="30">
        <f t="shared" si="53"/>
        <v>0.1386108900017313</v>
      </c>
    </row>
    <row r="893" spans="2:5" ht="13.9" customHeight="1" x14ac:dyDescent="0.25">
      <c r="B893" s="29">
        <f t="shared" si="55"/>
        <v>9.0980115273773734</v>
      </c>
      <c r="C893" s="30">
        <f t="shared" si="54"/>
        <v>6.7412624198984906E-3</v>
      </c>
      <c r="D893" s="30">
        <f t="shared" si="52"/>
        <v>6.6109538173218518E-2</v>
      </c>
      <c r="E893" s="30">
        <f t="shared" si="53"/>
        <v>0.13861089000173127</v>
      </c>
    </row>
    <row r="894" spans="2:5" ht="13.9" customHeight="1" x14ac:dyDescent="0.25">
      <c r="B894" s="29">
        <f t="shared" si="55"/>
        <v>9.1080115273773732</v>
      </c>
      <c r="C894" s="30">
        <f t="shared" si="54"/>
        <v>6.7264676171747912E-3</v>
      </c>
      <c r="D894" s="30">
        <f t="shared" si="52"/>
        <v>6.5964449981348025E-2</v>
      </c>
      <c r="E894" s="30">
        <f t="shared" si="53"/>
        <v>0.1386108900017313</v>
      </c>
    </row>
    <row r="895" spans="2:5" ht="13.9" customHeight="1" x14ac:dyDescent="0.25">
      <c r="B895" s="29">
        <f t="shared" si="55"/>
        <v>9.118011527377373</v>
      </c>
      <c r="C895" s="30">
        <f t="shared" si="54"/>
        <v>6.71172146548067E-3</v>
      </c>
      <c r="D895" s="30">
        <f t="shared" si="52"/>
        <v>6.5819838895529281E-2</v>
      </c>
      <c r="E895" s="30">
        <f t="shared" si="53"/>
        <v>0.1386108900017313</v>
      </c>
    </row>
    <row r="896" spans="2:5" ht="13.9" customHeight="1" x14ac:dyDescent="0.25">
      <c r="B896" s="29">
        <f t="shared" si="55"/>
        <v>9.1280115273773728</v>
      </c>
      <c r="C896" s="30">
        <f t="shared" si="54"/>
        <v>6.697023751738522E-3</v>
      </c>
      <c r="D896" s="30">
        <f t="shared" si="52"/>
        <v>6.5675702826174159E-2</v>
      </c>
      <c r="E896" s="30">
        <f t="shared" si="53"/>
        <v>0.13861089000173127</v>
      </c>
    </row>
    <row r="897" spans="2:5" ht="13.9" customHeight="1" x14ac:dyDescent="0.25">
      <c r="B897" s="29">
        <f t="shared" si="55"/>
        <v>9.1380115273773725</v>
      </c>
      <c r="C897" s="30">
        <f t="shared" si="54"/>
        <v>6.6823742640359941E-3</v>
      </c>
      <c r="D897" s="30">
        <f t="shared" si="52"/>
        <v>6.553203969512178E-2</v>
      </c>
      <c r="E897" s="30">
        <f t="shared" si="53"/>
        <v>0.13861089000173132</v>
      </c>
    </row>
    <row r="898" spans="2:5" ht="13.9" customHeight="1" x14ac:dyDescent="0.25">
      <c r="B898" s="29">
        <f t="shared" si="55"/>
        <v>9.1480115273773723</v>
      </c>
      <c r="C898" s="30">
        <f t="shared" si="54"/>
        <v>6.6677727916183375E-3</v>
      </c>
      <c r="D898" s="30">
        <f t="shared" si="52"/>
        <v>6.5388847435563544E-2</v>
      </c>
      <c r="E898" s="30">
        <f t="shared" si="53"/>
        <v>0.1386108900017313</v>
      </c>
    </row>
    <row r="899" spans="2:5" ht="13.9" customHeight="1" x14ac:dyDescent="0.25">
      <c r="B899" s="29">
        <f t="shared" si="55"/>
        <v>9.1580115273773721</v>
      </c>
      <c r="C899" s="30">
        <f t="shared" si="54"/>
        <v>6.6532191248808367E-3</v>
      </c>
      <c r="D899" s="30">
        <f t="shared" si="52"/>
        <v>6.5246123991968899E-2</v>
      </c>
      <c r="E899" s="30">
        <f t="shared" si="53"/>
        <v>0.13861089000173132</v>
      </c>
    </row>
    <row r="900" spans="2:5" ht="13.9" customHeight="1" x14ac:dyDescent="0.25">
      <c r="B900" s="29">
        <f t="shared" si="55"/>
        <v>9.1680115273773719</v>
      </c>
      <c r="C900" s="30">
        <f t="shared" si="54"/>
        <v>6.6387130553612799E-3</v>
      </c>
      <c r="D900" s="30">
        <f t="shared" si="52"/>
        <v>6.5103867320011458E-2</v>
      </c>
      <c r="E900" s="30">
        <f t="shared" si="53"/>
        <v>0.13861089000173127</v>
      </c>
    </row>
    <row r="901" spans="2:5" ht="13.9" customHeight="1" x14ac:dyDescent="0.25">
      <c r="B901" s="29">
        <f t="shared" si="55"/>
        <v>9.1780115273773717</v>
      </c>
      <c r="C901" s="30">
        <f t="shared" si="54"/>
        <v>6.6242543757325011E-3</v>
      </c>
      <c r="D901" s="30">
        <f t="shared" si="52"/>
        <v>6.4962075386495913E-2</v>
      </c>
      <c r="E901" s="30">
        <f t="shared" si="53"/>
        <v>0.13861089000173127</v>
      </c>
    </row>
    <row r="902" spans="2:5" ht="13.9" customHeight="1" x14ac:dyDescent="0.25">
      <c r="B902" s="29">
        <f t="shared" si="55"/>
        <v>9.1880115273773715</v>
      </c>
      <c r="C902" s="30">
        <f t="shared" si="54"/>
        <v>6.6098428797949646E-3</v>
      </c>
      <c r="D902" s="30">
        <f t="shared" si="52"/>
        <v>6.4820746169285279E-2</v>
      </c>
      <c r="E902" s="30">
        <f t="shared" si="53"/>
        <v>0.13861089000173127</v>
      </c>
    </row>
    <row r="903" spans="2:5" ht="13.9" customHeight="1" x14ac:dyDescent="0.25">
      <c r="B903" s="29">
        <f t="shared" si="55"/>
        <v>9.1980115273773713</v>
      </c>
      <c r="C903" s="30">
        <f t="shared" si="54"/>
        <v>6.5954783624694183E-3</v>
      </c>
      <c r="D903" s="30">
        <f t="shared" si="52"/>
        <v>6.4679877657228838E-2</v>
      </c>
      <c r="E903" s="30">
        <f t="shared" si="53"/>
        <v>0.1386108900017313</v>
      </c>
    </row>
    <row r="904" spans="2:5" ht="13.9" customHeight="1" x14ac:dyDescent="0.25">
      <c r="B904" s="29">
        <f t="shared" si="55"/>
        <v>9.2080115273773711</v>
      </c>
      <c r="C904" s="30">
        <f t="shared" si="54"/>
        <v>6.5811606197895981E-3</v>
      </c>
      <c r="D904" s="30">
        <f t="shared" si="52"/>
        <v>6.4539467850090654E-2</v>
      </c>
      <c r="E904" s="30">
        <f t="shared" si="53"/>
        <v>0.1386108900017313</v>
      </c>
    </row>
    <row r="905" spans="2:5" ht="13.9" customHeight="1" x14ac:dyDescent="0.25">
      <c r="B905" s="29">
        <f t="shared" si="55"/>
        <v>9.2180115273773708</v>
      </c>
      <c r="C905" s="30">
        <f t="shared" si="54"/>
        <v>6.5668894488949839E-3</v>
      </c>
      <c r="D905" s="30">
        <f t="shared" ref="D905:D968" si="56">C905*9.8067</f>
        <v>6.4399514758478438E-2</v>
      </c>
      <c r="E905" s="30">
        <f t="shared" ref="E905:E968" si="57">((B905^2)/(4*PI()^2))*D905</f>
        <v>0.1386108900017313</v>
      </c>
    </row>
    <row r="906" spans="2:5" ht="13.9" customHeight="1" x14ac:dyDescent="0.25">
      <c r="B906" s="29">
        <f t="shared" si="55"/>
        <v>9.2280115273773706</v>
      </c>
      <c r="C906" s="30">
        <f t="shared" si="54"/>
        <v>6.5526646480236162E-3</v>
      </c>
      <c r="D906" s="30">
        <f t="shared" si="56"/>
        <v>6.4260016403773199E-2</v>
      </c>
      <c r="E906" s="30">
        <f t="shared" si="57"/>
        <v>0.1386108900017313</v>
      </c>
    </row>
    <row r="907" spans="2:5" ht="13.9" customHeight="1" x14ac:dyDescent="0.25">
      <c r="B907" s="29">
        <f t="shared" si="55"/>
        <v>9.2380115273773704</v>
      </c>
      <c r="C907" s="30">
        <f t="shared" si="54"/>
        <v>6.5384860165049637E-3</v>
      </c>
      <c r="D907" s="30">
        <f t="shared" si="56"/>
        <v>6.4120970818059217E-2</v>
      </c>
      <c r="E907" s="30">
        <f t="shared" si="57"/>
        <v>0.13861089000173127</v>
      </c>
    </row>
    <row r="908" spans="2:5" ht="13.9" customHeight="1" x14ac:dyDescent="0.25">
      <c r="B908" s="29">
        <f t="shared" si="55"/>
        <v>9.2480115273773702</v>
      </c>
      <c r="C908" s="30">
        <f t="shared" si="54"/>
        <v>6.5243533547528496E-3</v>
      </c>
      <c r="D908" s="30">
        <f t="shared" si="56"/>
        <v>6.3982376044054767E-2</v>
      </c>
      <c r="E908" s="30">
        <f t="shared" si="57"/>
        <v>0.1386108900017313</v>
      </c>
    </row>
    <row r="909" spans="2:5" ht="13.9" customHeight="1" x14ac:dyDescent="0.25">
      <c r="B909" s="29">
        <f t="shared" si="55"/>
        <v>9.25801152737737</v>
      </c>
      <c r="C909" s="30">
        <f t="shared" ref="C909:C972" si="58">IF(B909&lt;6,$C$5/B909,6*$C$5/B909^2)</f>
        <v>6.5102664642584249E-3</v>
      </c>
      <c r="D909" s="30">
        <f t="shared" si="56"/>
        <v>6.384423013504309E-2</v>
      </c>
      <c r="E909" s="30">
        <f t="shared" si="57"/>
        <v>0.1386108900017313</v>
      </c>
    </row>
    <row r="910" spans="2:5" ht="13.9" customHeight="1" x14ac:dyDescent="0.25">
      <c r="B910" s="29">
        <f t="shared" ref="B910:B973" si="59">B909+0.01</f>
        <v>9.2680115273773698</v>
      </c>
      <c r="C910" s="30">
        <f t="shared" si="58"/>
        <v>6.4962251475831944E-3</v>
      </c>
      <c r="D910" s="30">
        <f t="shared" si="56"/>
        <v>6.3706531154804111E-2</v>
      </c>
      <c r="E910" s="30">
        <f t="shared" si="57"/>
        <v>0.1386108900017313</v>
      </c>
    </row>
    <row r="911" spans="2:5" ht="13.9" customHeight="1" x14ac:dyDescent="0.25">
      <c r="B911" s="29">
        <f t="shared" si="59"/>
        <v>9.2780115273773696</v>
      </c>
      <c r="C911" s="30">
        <f t="shared" si="58"/>
        <v>6.4822292083521055E-3</v>
      </c>
      <c r="D911" s="30">
        <f t="shared" si="56"/>
        <v>6.3569277177546582E-2</v>
      </c>
      <c r="E911" s="30">
        <f t="shared" si="57"/>
        <v>0.13861089000173127</v>
      </c>
    </row>
    <row r="912" spans="2:5" ht="13.9" customHeight="1" x14ac:dyDescent="0.25">
      <c r="B912" s="29">
        <f t="shared" si="59"/>
        <v>9.2880115273773693</v>
      </c>
      <c r="C912" s="30">
        <f t="shared" si="58"/>
        <v>6.468278451246679E-3</v>
      </c>
      <c r="D912" s="30">
        <f t="shared" si="56"/>
        <v>6.34324662878408E-2</v>
      </c>
      <c r="E912" s="30">
        <f t="shared" si="57"/>
        <v>0.13861089000173127</v>
      </c>
    </row>
    <row r="913" spans="2:5" ht="13.9" customHeight="1" x14ac:dyDescent="0.25">
      <c r="B913" s="29">
        <f t="shared" si="59"/>
        <v>9.2980115273773691</v>
      </c>
      <c r="C913" s="30">
        <f t="shared" si="58"/>
        <v>6.4543726819981922E-3</v>
      </c>
      <c r="D913" s="30">
        <f t="shared" si="56"/>
        <v>6.3296096580551672E-2</v>
      </c>
      <c r="E913" s="30">
        <f t="shared" si="57"/>
        <v>0.1386108900017313</v>
      </c>
    </row>
    <row r="914" spans="2:5" ht="13.9" customHeight="1" x14ac:dyDescent="0.25">
      <c r="B914" s="29">
        <f t="shared" si="59"/>
        <v>9.3080115273773689</v>
      </c>
      <c r="C914" s="30">
        <f t="shared" si="58"/>
        <v>6.4405117073809207E-3</v>
      </c>
      <c r="D914" s="30">
        <f t="shared" si="56"/>
        <v>6.3160166160772468E-2</v>
      </c>
      <c r="E914" s="30">
        <f t="shared" si="57"/>
        <v>0.13861089000173127</v>
      </c>
    </row>
    <row r="915" spans="2:5" ht="13.9" customHeight="1" x14ac:dyDescent="0.25">
      <c r="B915" s="29">
        <f t="shared" si="59"/>
        <v>9.3180115273773687</v>
      </c>
      <c r="C915" s="30">
        <f t="shared" si="58"/>
        <v>6.4266953352054203E-3</v>
      </c>
      <c r="D915" s="30">
        <f t="shared" si="56"/>
        <v>6.3024673143758994E-2</v>
      </c>
      <c r="E915" s="30">
        <f t="shared" si="57"/>
        <v>0.1386108900017313</v>
      </c>
    </row>
    <row r="916" spans="2:5" ht="13.9" customHeight="1" x14ac:dyDescent="0.25">
      <c r="B916" s="29">
        <f t="shared" si="59"/>
        <v>9.3280115273773685</v>
      </c>
      <c r="C916" s="30">
        <f t="shared" si="58"/>
        <v>6.4129233743118706E-3</v>
      </c>
      <c r="D916" s="30">
        <f t="shared" si="56"/>
        <v>6.2889615654864214E-2</v>
      </c>
      <c r="E916" s="30">
        <f t="shared" si="57"/>
        <v>0.1386108900017313</v>
      </c>
    </row>
    <row r="917" spans="2:5" ht="13.9" customHeight="1" x14ac:dyDescent="0.25">
      <c r="B917" s="29">
        <f t="shared" si="59"/>
        <v>9.3380115273773683</v>
      </c>
      <c r="C917" s="30">
        <f t="shared" si="58"/>
        <v>6.3991956345634616E-3</v>
      </c>
      <c r="D917" s="30">
        <f t="shared" si="56"/>
        <v>6.27549918294735E-2</v>
      </c>
      <c r="E917" s="30">
        <f t="shared" si="57"/>
        <v>0.13861089000173132</v>
      </c>
    </row>
    <row r="918" spans="2:5" ht="13.9" customHeight="1" x14ac:dyDescent="0.25">
      <c r="B918" s="29">
        <f t="shared" si="59"/>
        <v>9.3480115273773681</v>
      </c>
      <c r="C918" s="30">
        <f t="shared" si="58"/>
        <v>6.3855119268398227E-3</v>
      </c>
      <c r="D918" s="30">
        <f t="shared" si="56"/>
        <v>6.2620799812940081E-2</v>
      </c>
      <c r="E918" s="30">
        <f t="shared" si="57"/>
        <v>0.13861089000173127</v>
      </c>
    </row>
    <row r="919" spans="2:5" ht="13.9" customHeight="1" x14ac:dyDescent="0.25">
      <c r="B919" s="29">
        <f t="shared" si="59"/>
        <v>9.3580115273773679</v>
      </c>
      <c r="C919" s="30">
        <f t="shared" si="58"/>
        <v>6.371872063030525E-3</v>
      </c>
      <c r="D919" s="30">
        <f t="shared" si="56"/>
        <v>6.2487037760521447E-2</v>
      </c>
      <c r="E919" s="30">
        <f t="shared" si="57"/>
        <v>0.13861089000173127</v>
      </c>
    </row>
    <row r="920" spans="2:5" ht="13.9" customHeight="1" x14ac:dyDescent="0.25">
      <c r="B920" s="29">
        <f t="shared" si="59"/>
        <v>9.3680115273773676</v>
      </c>
      <c r="C920" s="30">
        <f t="shared" si="58"/>
        <v>6.3582758560286031E-3</v>
      </c>
      <c r="D920" s="30">
        <f t="shared" si="56"/>
        <v>6.2353703837315699E-2</v>
      </c>
      <c r="E920" s="30">
        <f t="shared" si="57"/>
        <v>0.1386108900017313</v>
      </c>
    </row>
    <row r="921" spans="2:5" ht="13.9" customHeight="1" x14ac:dyDescent="0.25">
      <c r="B921" s="29">
        <f t="shared" si="59"/>
        <v>9.3780115273773674</v>
      </c>
      <c r="C921" s="30">
        <f t="shared" si="58"/>
        <v>6.3447231197241412E-3</v>
      </c>
      <c r="D921" s="30">
        <f t="shared" si="56"/>
        <v>6.2220796218198732E-2</v>
      </c>
      <c r="E921" s="30">
        <f t="shared" si="57"/>
        <v>0.1386108900017313</v>
      </c>
    </row>
    <row r="922" spans="2:5" ht="13.9" customHeight="1" x14ac:dyDescent="0.25">
      <c r="B922" s="29">
        <f t="shared" si="59"/>
        <v>9.3880115273773672</v>
      </c>
      <c r="C922" s="30">
        <f t="shared" si="58"/>
        <v>6.3312136689979079E-3</v>
      </c>
      <c r="D922" s="30">
        <f t="shared" si="56"/>
        <v>6.2088313087761776E-2</v>
      </c>
      <c r="E922" s="30">
        <f t="shared" si="57"/>
        <v>0.1386108900017313</v>
      </c>
    </row>
    <row r="923" spans="2:5" ht="13.9" customHeight="1" x14ac:dyDescent="0.25">
      <c r="B923" s="29">
        <f t="shared" si="59"/>
        <v>9.398011527377367</v>
      </c>
      <c r="C923" s="30">
        <f t="shared" si="58"/>
        <v>6.3177473197150343E-3</v>
      </c>
      <c r="D923" s="30">
        <f t="shared" si="56"/>
        <v>6.1956252640249419E-2</v>
      </c>
      <c r="E923" s="30">
        <f t="shared" si="57"/>
        <v>0.1386108900017313</v>
      </c>
    </row>
    <row r="924" spans="2:5" ht="13.9" customHeight="1" x14ac:dyDescent="0.25">
      <c r="B924" s="29">
        <f t="shared" si="59"/>
        <v>9.4080115273773668</v>
      </c>
      <c r="C924" s="30">
        <f t="shared" si="58"/>
        <v>6.3043238887187363E-3</v>
      </c>
      <c r="D924" s="30">
        <f t="shared" si="56"/>
        <v>6.1824613079498027E-2</v>
      </c>
      <c r="E924" s="30">
        <f t="shared" si="57"/>
        <v>0.1386108900017313</v>
      </c>
    </row>
    <row r="925" spans="2:5" ht="13.9" customHeight="1" x14ac:dyDescent="0.25">
      <c r="B925" s="29">
        <f t="shared" si="59"/>
        <v>9.4180115273773666</v>
      </c>
      <c r="C925" s="30">
        <f t="shared" si="58"/>
        <v>6.2909431938240855E-3</v>
      </c>
      <c r="D925" s="30">
        <f t="shared" si="56"/>
        <v>6.1693392618874653E-2</v>
      </c>
      <c r="E925" s="30">
        <f t="shared" si="57"/>
        <v>0.1386108900017313</v>
      </c>
    </row>
    <row r="926" spans="2:5" ht="13.9" customHeight="1" x14ac:dyDescent="0.25">
      <c r="B926" s="29">
        <f t="shared" si="59"/>
        <v>9.4280115273773664</v>
      </c>
      <c r="C926" s="30">
        <f t="shared" si="58"/>
        <v>6.2776050538118347E-3</v>
      </c>
      <c r="D926" s="30">
        <f t="shared" si="56"/>
        <v>6.1562589481216512E-2</v>
      </c>
      <c r="E926" s="30">
        <f t="shared" si="57"/>
        <v>0.13861089000173127</v>
      </c>
    </row>
    <row r="927" spans="2:5" ht="13.9" customHeight="1" x14ac:dyDescent="0.25">
      <c r="B927" s="29">
        <f t="shared" si="59"/>
        <v>9.4380115273773661</v>
      </c>
      <c r="C927" s="30">
        <f t="shared" si="58"/>
        <v>6.2643092884222765E-3</v>
      </c>
      <c r="D927" s="30">
        <f t="shared" si="56"/>
        <v>6.1432201898770737E-2</v>
      </c>
      <c r="E927" s="30">
        <f t="shared" si="57"/>
        <v>0.1386108900017313</v>
      </c>
    </row>
    <row r="928" spans="2:5" ht="13.9" customHeight="1" x14ac:dyDescent="0.25">
      <c r="B928" s="29">
        <f t="shared" si="59"/>
        <v>9.4480115273773659</v>
      </c>
      <c r="C928" s="30">
        <f t="shared" si="58"/>
        <v>6.2510557183491529E-3</v>
      </c>
      <c r="D928" s="30">
        <f t="shared" si="56"/>
        <v>6.1302228113134634E-2</v>
      </c>
      <c r="E928" s="30">
        <f t="shared" si="57"/>
        <v>0.1386108900017313</v>
      </c>
    </row>
    <row r="929" spans="2:5" ht="13.9" customHeight="1" x14ac:dyDescent="0.25">
      <c r="B929" s="29">
        <f t="shared" si="59"/>
        <v>9.4580115273773657</v>
      </c>
      <c r="C929" s="30">
        <f t="shared" si="58"/>
        <v>6.2378441652336135E-3</v>
      </c>
      <c r="D929" s="30">
        <f t="shared" si="56"/>
        <v>6.1172666375196472E-2</v>
      </c>
      <c r="E929" s="30">
        <f t="shared" si="57"/>
        <v>0.1386108900017313</v>
      </c>
    </row>
    <row r="930" spans="2:5" ht="13.9" customHeight="1" x14ac:dyDescent="0.25">
      <c r="B930" s="29">
        <f t="shared" si="59"/>
        <v>9.4680115273773655</v>
      </c>
      <c r="C930" s="30">
        <f t="shared" si="58"/>
        <v>6.2246744516582086E-3</v>
      </c>
      <c r="D930" s="30">
        <f t="shared" si="56"/>
        <v>6.1043514945076552E-2</v>
      </c>
      <c r="E930" s="30">
        <f t="shared" si="57"/>
        <v>0.1386108900017313</v>
      </c>
    </row>
    <row r="931" spans="2:5" ht="13.9" customHeight="1" x14ac:dyDescent="0.25">
      <c r="B931" s="29">
        <f t="shared" si="59"/>
        <v>9.4780115273773653</v>
      </c>
      <c r="C931" s="30">
        <f t="shared" si="58"/>
        <v>6.2115464011409417E-3</v>
      </c>
      <c r="D931" s="30">
        <f t="shared" si="56"/>
        <v>6.0914772092068872E-2</v>
      </c>
      <c r="E931" s="30">
        <f t="shared" si="57"/>
        <v>0.1386108900017313</v>
      </c>
    </row>
    <row r="932" spans="2:5" ht="13.9" customHeight="1" x14ac:dyDescent="0.25">
      <c r="B932" s="29">
        <f t="shared" si="59"/>
        <v>9.4880115273773651</v>
      </c>
      <c r="C932" s="30">
        <f t="shared" si="58"/>
        <v>6.1984598381293497E-3</v>
      </c>
      <c r="D932" s="30">
        <f t="shared" si="56"/>
        <v>6.0786436094583091E-2</v>
      </c>
      <c r="E932" s="30">
        <f t="shared" si="57"/>
        <v>0.1386108900017313</v>
      </c>
    </row>
    <row r="933" spans="2:5" ht="13.9" customHeight="1" x14ac:dyDescent="0.25">
      <c r="B933" s="29">
        <f t="shared" si="59"/>
        <v>9.4980115273773649</v>
      </c>
      <c r="C933" s="30">
        <f t="shared" si="58"/>
        <v>6.1854145879946349E-3</v>
      </c>
      <c r="D933" s="30">
        <f t="shared" si="56"/>
        <v>6.065850524008698E-2</v>
      </c>
      <c r="E933" s="30">
        <f t="shared" si="57"/>
        <v>0.13861089000173127</v>
      </c>
    </row>
    <row r="934" spans="2:5" ht="13.9" customHeight="1" x14ac:dyDescent="0.25">
      <c r="B934" s="29">
        <f t="shared" si="59"/>
        <v>9.5080115273773647</v>
      </c>
      <c r="C934" s="30">
        <f t="shared" si="58"/>
        <v>6.1724104770258465E-3</v>
      </c>
      <c r="D934" s="30">
        <f t="shared" si="56"/>
        <v>6.0530977825049362E-2</v>
      </c>
      <c r="E934" s="30">
        <f t="shared" si="57"/>
        <v>0.1386108900017313</v>
      </c>
    </row>
    <row r="935" spans="2:5" ht="13.9" customHeight="1" x14ac:dyDescent="0.25">
      <c r="B935" s="29">
        <f t="shared" si="59"/>
        <v>9.5180115273773644</v>
      </c>
      <c r="C935" s="30">
        <f t="shared" si="58"/>
        <v>6.1594473324240841E-3</v>
      </c>
      <c r="D935" s="30">
        <f t="shared" si="56"/>
        <v>6.040385215488326E-2</v>
      </c>
      <c r="E935" s="30">
        <f t="shared" si="57"/>
        <v>0.1386108900017313</v>
      </c>
    </row>
    <row r="936" spans="2:5" ht="13.9" customHeight="1" x14ac:dyDescent="0.25">
      <c r="B936" s="29">
        <f t="shared" si="59"/>
        <v>9.5280115273773642</v>
      </c>
      <c r="C936" s="30">
        <f t="shared" si="58"/>
        <v>6.1465249822967721E-3</v>
      </c>
      <c r="D936" s="30">
        <f t="shared" si="56"/>
        <v>6.0277126543889753E-2</v>
      </c>
      <c r="E936" s="30">
        <f t="shared" si="57"/>
        <v>0.1386108900017313</v>
      </c>
    </row>
    <row r="937" spans="2:5" ht="13.9" customHeight="1" x14ac:dyDescent="0.25">
      <c r="B937" s="29">
        <f t="shared" si="59"/>
        <v>9.538011527377364</v>
      </c>
      <c r="C937" s="30">
        <f t="shared" si="58"/>
        <v>6.133643255651953E-3</v>
      </c>
      <c r="D937" s="30">
        <f t="shared" si="56"/>
        <v>6.0150799315202001E-2</v>
      </c>
      <c r="E937" s="30">
        <f t="shared" si="57"/>
        <v>0.13861089000173127</v>
      </c>
    </row>
    <row r="938" spans="2:5" ht="13.9" customHeight="1" x14ac:dyDescent="0.25">
      <c r="B938" s="29">
        <f t="shared" si="59"/>
        <v>9.5480115273773638</v>
      </c>
      <c r="C938" s="30">
        <f t="shared" si="58"/>
        <v>6.1208019823926294E-3</v>
      </c>
      <c r="D938" s="30">
        <f t="shared" si="56"/>
        <v>6.0024868800729797E-2</v>
      </c>
      <c r="E938" s="30">
        <f t="shared" si="57"/>
        <v>0.1386108900017313</v>
      </c>
    </row>
    <row r="939" spans="2:5" ht="13.9" customHeight="1" x14ac:dyDescent="0.25">
      <c r="B939" s="29">
        <f t="shared" si="59"/>
        <v>9.5580115273773636</v>
      </c>
      <c r="C939" s="30">
        <f t="shared" si="58"/>
        <v>6.1080009933111544E-3</v>
      </c>
      <c r="D939" s="30">
        <f t="shared" si="56"/>
        <v>5.9899333341104491E-2</v>
      </c>
      <c r="E939" s="30">
        <f t="shared" si="57"/>
        <v>0.13861089000173127</v>
      </c>
    </row>
    <row r="940" spans="2:5" ht="13.9" customHeight="1" x14ac:dyDescent="0.25">
      <c r="B940" s="29">
        <f t="shared" si="59"/>
        <v>9.5680115273773634</v>
      </c>
      <c r="C940" s="30">
        <f t="shared" si="58"/>
        <v>6.0952401200836566E-3</v>
      </c>
      <c r="D940" s="30">
        <f t="shared" si="56"/>
        <v>5.977419128562439E-2</v>
      </c>
      <c r="E940" s="30">
        <f t="shared" si="57"/>
        <v>0.1386108900017313</v>
      </c>
    </row>
    <row r="941" spans="2:5" ht="13.9" customHeight="1" x14ac:dyDescent="0.25">
      <c r="B941" s="29">
        <f t="shared" si="59"/>
        <v>9.5780115273773632</v>
      </c>
      <c r="C941" s="30">
        <f t="shared" si="58"/>
        <v>6.0825191952645005E-3</v>
      </c>
      <c r="D941" s="30">
        <f t="shared" si="56"/>
        <v>5.9649440992200375E-2</v>
      </c>
      <c r="E941" s="30">
        <f t="shared" si="57"/>
        <v>0.1386108900017313</v>
      </c>
    </row>
    <row r="942" spans="2:5" ht="13.9" customHeight="1" x14ac:dyDescent="0.25">
      <c r="B942" s="29">
        <f t="shared" si="59"/>
        <v>9.588011527377363</v>
      </c>
      <c r="C942" s="30">
        <f t="shared" si="58"/>
        <v>6.0698380522808031E-3</v>
      </c>
      <c r="D942" s="30">
        <f t="shared" si="56"/>
        <v>5.9525080827302145E-2</v>
      </c>
      <c r="E942" s="30">
        <f t="shared" si="57"/>
        <v>0.1386108900017313</v>
      </c>
    </row>
    <row r="943" spans="2:5" ht="13.9" customHeight="1" x14ac:dyDescent="0.25">
      <c r="B943" s="29">
        <f t="shared" si="59"/>
        <v>9.5980115273773627</v>
      </c>
      <c r="C943" s="30">
        <f t="shared" si="58"/>
        <v>6.0571965254269718E-3</v>
      </c>
      <c r="D943" s="30">
        <f t="shared" si="56"/>
        <v>5.9401109165904679E-2</v>
      </c>
      <c r="E943" s="30">
        <f t="shared" si="57"/>
        <v>0.1386108900017313</v>
      </c>
    </row>
    <row r="944" spans="2:5" ht="13.9" customHeight="1" x14ac:dyDescent="0.25">
      <c r="B944" s="29">
        <f t="shared" si="59"/>
        <v>9.6080115273773625</v>
      </c>
      <c r="C944" s="30">
        <f t="shared" si="58"/>
        <v>6.0445944498592986E-3</v>
      </c>
      <c r="D944" s="30">
        <f t="shared" si="56"/>
        <v>5.9277524391435181E-2</v>
      </c>
      <c r="E944" s="30">
        <f t="shared" si="57"/>
        <v>0.1386108900017313</v>
      </c>
    </row>
    <row r="945" spans="2:5" ht="13.9" customHeight="1" x14ac:dyDescent="0.25">
      <c r="B945" s="29">
        <f t="shared" si="59"/>
        <v>9.6180115273773623</v>
      </c>
      <c r="C945" s="30">
        <f t="shared" si="58"/>
        <v>6.0320316615905811E-3</v>
      </c>
      <c r="D945" s="30">
        <f t="shared" si="56"/>
        <v>5.9154324895720346E-2</v>
      </c>
      <c r="E945" s="30">
        <f t="shared" si="57"/>
        <v>0.1386108900017313</v>
      </c>
    </row>
    <row r="946" spans="2:5" ht="13.9" customHeight="1" x14ac:dyDescent="0.25">
      <c r="B946" s="29">
        <f t="shared" si="59"/>
        <v>9.6280115273773621</v>
      </c>
      <c r="C946" s="30">
        <f t="shared" si="58"/>
        <v>6.0195079974847895E-3</v>
      </c>
      <c r="D946" s="30">
        <f t="shared" si="56"/>
        <v>5.9031509078934084E-2</v>
      </c>
      <c r="E946" s="30">
        <f t="shared" si="57"/>
        <v>0.1386108900017313</v>
      </c>
    </row>
    <row r="947" spans="2:5" ht="13.9" customHeight="1" x14ac:dyDescent="0.25">
      <c r="B947" s="29">
        <f t="shared" si="59"/>
        <v>9.6380115273773619</v>
      </c>
      <c r="C947" s="30">
        <f t="shared" si="58"/>
        <v>6.007023295251772E-3</v>
      </c>
      <c r="D947" s="30">
        <f t="shared" si="56"/>
        <v>5.890907534954555E-2</v>
      </c>
      <c r="E947" s="30">
        <f t="shared" si="57"/>
        <v>0.1386108900017313</v>
      </c>
    </row>
    <row r="948" spans="2:5" ht="13.9" customHeight="1" x14ac:dyDescent="0.25">
      <c r="B948" s="29">
        <f t="shared" si="59"/>
        <v>9.6480115273773617</v>
      </c>
      <c r="C948" s="30">
        <f t="shared" si="58"/>
        <v>5.9945773934419935E-3</v>
      </c>
      <c r="D948" s="30">
        <f t="shared" si="56"/>
        <v>5.8787022124267591E-2</v>
      </c>
      <c r="E948" s="30">
        <f t="shared" si="57"/>
        <v>0.13861089000173127</v>
      </c>
    </row>
    <row r="949" spans="2:5" ht="13.9" customHeight="1" x14ac:dyDescent="0.25">
      <c r="B949" s="29">
        <f t="shared" si="59"/>
        <v>9.6580115273773615</v>
      </c>
      <c r="C949" s="30">
        <f t="shared" si="58"/>
        <v>5.9821701314413198E-3</v>
      </c>
      <c r="D949" s="30">
        <f t="shared" si="56"/>
        <v>5.8665347828005587E-2</v>
      </c>
      <c r="E949" s="30">
        <f t="shared" si="57"/>
        <v>0.1386108900017313</v>
      </c>
    </row>
    <row r="950" spans="2:5" ht="13.9" customHeight="1" x14ac:dyDescent="0.25">
      <c r="B950" s="29">
        <f t="shared" si="59"/>
        <v>9.6680115273773612</v>
      </c>
      <c r="C950" s="30">
        <f t="shared" si="58"/>
        <v>5.9698013494658341E-3</v>
      </c>
      <c r="D950" s="30">
        <f t="shared" si="56"/>
        <v>5.8544050893806591E-2</v>
      </c>
      <c r="E950" s="30">
        <f t="shared" si="57"/>
        <v>0.1386108900017313</v>
      </c>
    </row>
    <row r="951" spans="2:5" ht="13.9" customHeight="1" x14ac:dyDescent="0.25">
      <c r="B951" s="29">
        <f t="shared" si="59"/>
        <v>9.678011527377361</v>
      </c>
      <c r="C951" s="30">
        <f t="shared" si="58"/>
        <v>5.9574708885566912E-3</v>
      </c>
      <c r="D951" s="30">
        <f t="shared" si="56"/>
        <v>5.8423129762808897E-2</v>
      </c>
      <c r="E951" s="30">
        <f t="shared" si="57"/>
        <v>0.13861089000173127</v>
      </c>
    </row>
    <row r="952" spans="2:5" ht="13.9" customHeight="1" x14ac:dyDescent="0.25">
      <c r="B952" s="29">
        <f t="shared" si="59"/>
        <v>9.6880115273773608</v>
      </c>
      <c r="C952" s="30">
        <f t="shared" si="58"/>
        <v>5.9451785905750123E-3</v>
      </c>
      <c r="D952" s="30">
        <f t="shared" si="56"/>
        <v>5.8302582884191968E-2</v>
      </c>
      <c r="E952" s="30">
        <f t="shared" si="57"/>
        <v>0.13861089000173127</v>
      </c>
    </row>
    <row r="953" spans="2:5" ht="13.9" customHeight="1" x14ac:dyDescent="0.25">
      <c r="B953" s="29">
        <f t="shared" si="59"/>
        <v>9.6980115273773606</v>
      </c>
      <c r="C953" s="30">
        <f t="shared" si="58"/>
        <v>5.9329242981968153E-3</v>
      </c>
      <c r="D953" s="30">
        <f t="shared" si="56"/>
        <v>5.8182408715126706E-2</v>
      </c>
      <c r="E953" s="30">
        <f t="shared" si="57"/>
        <v>0.1386108900017313</v>
      </c>
    </row>
    <row r="954" spans="2:5" ht="13.9" customHeight="1" x14ac:dyDescent="0.25">
      <c r="B954" s="29">
        <f t="shared" si="59"/>
        <v>9.7080115273773604</v>
      </c>
      <c r="C954" s="30">
        <f t="shared" si="58"/>
        <v>5.9207078549079785E-3</v>
      </c>
      <c r="D954" s="30">
        <f t="shared" si="56"/>
        <v>5.8062605720726065E-2</v>
      </c>
      <c r="E954" s="30">
        <f t="shared" si="57"/>
        <v>0.1386108900017313</v>
      </c>
    </row>
    <row r="955" spans="2:5" ht="13.9" customHeight="1" x14ac:dyDescent="0.25">
      <c r="B955" s="29">
        <f t="shared" si="59"/>
        <v>9.7180115273773602</v>
      </c>
      <c r="C955" s="30">
        <f t="shared" si="58"/>
        <v>5.9085291049992428E-3</v>
      </c>
      <c r="D955" s="30">
        <f t="shared" si="56"/>
        <v>5.7943172373996071E-2</v>
      </c>
      <c r="E955" s="30">
        <f t="shared" si="57"/>
        <v>0.1386108900017313</v>
      </c>
    </row>
    <row r="956" spans="2:5" ht="13.9" customHeight="1" x14ac:dyDescent="0.25">
      <c r="B956" s="29">
        <f t="shared" si="59"/>
        <v>9.72801152737736</v>
      </c>
      <c r="C956" s="30">
        <f t="shared" si="58"/>
        <v>5.8963878935612557E-3</v>
      </c>
      <c r="D956" s="30">
        <f t="shared" si="56"/>
        <v>5.7824107155787161E-2</v>
      </c>
      <c r="E956" s="30">
        <f t="shared" si="57"/>
        <v>0.1386108900017313</v>
      </c>
    </row>
    <row r="957" spans="2:5" ht="13.9" customHeight="1" x14ac:dyDescent="0.25">
      <c r="B957" s="29">
        <f t="shared" si="59"/>
        <v>9.7380115273773598</v>
      </c>
      <c r="C957" s="30">
        <f t="shared" si="58"/>
        <v>5.8842840664796369E-3</v>
      </c>
      <c r="D957" s="30">
        <f t="shared" si="56"/>
        <v>5.7705408554745853E-2</v>
      </c>
      <c r="E957" s="30">
        <f t="shared" si="57"/>
        <v>0.1386108900017313</v>
      </c>
    </row>
    <row r="958" spans="2:5" ht="13.9" customHeight="1" x14ac:dyDescent="0.25">
      <c r="B958" s="29">
        <f t="shared" si="59"/>
        <v>9.7480115273773595</v>
      </c>
      <c r="C958" s="30">
        <f t="shared" si="58"/>
        <v>5.8722174704300923E-3</v>
      </c>
      <c r="D958" s="30">
        <f t="shared" si="56"/>
        <v>5.7587075067266784E-2</v>
      </c>
      <c r="E958" s="30">
        <f t="shared" si="57"/>
        <v>0.1386108900017313</v>
      </c>
    </row>
    <row r="959" spans="2:5" ht="13.9" customHeight="1" x14ac:dyDescent="0.25">
      <c r="B959" s="29">
        <f t="shared" si="59"/>
        <v>9.7580115273773593</v>
      </c>
      <c r="C959" s="30">
        <f t="shared" si="58"/>
        <v>5.8601879528735615E-3</v>
      </c>
      <c r="D959" s="30">
        <f t="shared" si="56"/>
        <v>5.746910519744515E-2</v>
      </c>
      <c r="E959" s="30">
        <f t="shared" si="57"/>
        <v>0.1386108900017313</v>
      </c>
    </row>
    <row r="960" spans="2:5" ht="13.9" customHeight="1" x14ac:dyDescent="0.25">
      <c r="B960" s="29">
        <f t="shared" si="59"/>
        <v>9.7680115273773591</v>
      </c>
      <c r="C960" s="30">
        <f t="shared" si="58"/>
        <v>5.8481953620513876E-3</v>
      </c>
      <c r="D960" s="30">
        <f t="shared" si="56"/>
        <v>5.7351497457029339E-2</v>
      </c>
      <c r="E960" s="30">
        <f t="shared" si="57"/>
        <v>0.1386108900017313</v>
      </c>
    </row>
    <row r="961" spans="2:5" ht="13.9" customHeight="1" x14ac:dyDescent="0.25">
      <c r="B961" s="29">
        <f t="shared" si="59"/>
        <v>9.7780115273773589</v>
      </c>
      <c r="C961" s="30">
        <f t="shared" si="58"/>
        <v>5.8362395469805425E-3</v>
      </c>
      <c r="D961" s="30">
        <f t="shared" si="56"/>
        <v>5.7234250365374079E-2</v>
      </c>
      <c r="E961" s="30">
        <f t="shared" si="57"/>
        <v>0.13861089000173127</v>
      </c>
    </row>
    <row r="962" spans="2:5" ht="13.9" customHeight="1" x14ac:dyDescent="0.25">
      <c r="B962" s="29">
        <f t="shared" si="59"/>
        <v>9.7880115273773587</v>
      </c>
      <c r="C962" s="30">
        <f t="shared" si="58"/>
        <v>5.8243203574488657E-3</v>
      </c>
      <c r="D962" s="30">
        <f t="shared" si="56"/>
        <v>5.7117362449393784E-2</v>
      </c>
      <c r="E962" s="30">
        <f t="shared" si="57"/>
        <v>0.1386108900017313</v>
      </c>
    </row>
    <row r="963" spans="2:5" ht="13.9" customHeight="1" x14ac:dyDescent="0.25">
      <c r="B963" s="29">
        <f t="shared" si="59"/>
        <v>9.7980115273773585</v>
      </c>
      <c r="C963" s="30">
        <f t="shared" si="58"/>
        <v>5.8124376440103495E-3</v>
      </c>
      <c r="D963" s="30">
        <f t="shared" si="56"/>
        <v>5.7000832243516292E-2</v>
      </c>
      <c r="E963" s="30">
        <f t="shared" si="57"/>
        <v>0.1386108900017313</v>
      </c>
    </row>
    <row r="964" spans="2:5" ht="13.9" customHeight="1" x14ac:dyDescent="0.25">
      <c r="B964" s="29">
        <f t="shared" si="59"/>
        <v>9.8080115273773583</v>
      </c>
      <c r="C964" s="30">
        <f t="shared" si="58"/>
        <v>5.8005912579804546E-3</v>
      </c>
      <c r="D964" s="30">
        <f t="shared" si="56"/>
        <v>5.6884658289636923E-2</v>
      </c>
      <c r="E964" s="30">
        <f t="shared" si="57"/>
        <v>0.1386108900017313</v>
      </c>
    </row>
    <row r="965" spans="2:5" ht="13.9" customHeight="1" x14ac:dyDescent="0.25">
      <c r="B965" s="29">
        <f t="shared" si="59"/>
        <v>9.818011527377358</v>
      </c>
      <c r="C965" s="30">
        <f t="shared" si="58"/>
        <v>5.7887810514314604E-3</v>
      </c>
      <c r="D965" s="30">
        <f t="shared" si="56"/>
        <v>5.6768839137072896E-2</v>
      </c>
      <c r="E965" s="30">
        <f t="shared" si="57"/>
        <v>0.1386108900017313</v>
      </c>
    </row>
    <row r="966" spans="2:5" ht="13.9" customHeight="1" x14ac:dyDescent="0.25">
      <c r="B966" s="29">
        <f t="shared" si="59"/>
        <v>9.8280115273773578</v>
      </c>
      <c r="C966" s="30">
        <f t="shared" si="58"/>
        <v>5.7770068771878435E-3</v>
      </c>
      <c r="D966" s="30">
        <f t="shared" si="56"/>
        <v>5.6653373342518021E-2</v>
      </c>
      <c r="E966" s="30">
        <f t="shared" si="57"/>
        <v>0.1386108900017313</v>
      </c>
    </row>
    <row r="967" spans="2:5" ht="13.9" customHeight="1" x14ac:dyDescent="0.25">
      <c r="B967" s="29">
        <f t="shared" si="59"/>
        <v>9.8380115273773576</v>
      </c>
      <c r="C967" s="30">
        <f t="shared" si="58"/>
        <v>5.7652685888216959E-3</v>
      </c>
      <c r="D967" s="30">
        <f t="shared" si="56"/>
        <v>5.6538259469997722E-2</v>
      </c>
      <c r="E967" s="30">
        <f t="shared" si="57"/>
        <v>0.1386108900017313</v>
      </c>
    </row>
    <row r="968" spans="2:5" ht="13.9" customHeight="1" x14ac:dyDescent="0.25">
      <c r="B968" s="29">
        <f t="shared" si="59"/>
        <v>9.8480115273773574</v>
      </c>
      <c r="C968" s="30">
        <f t="shared" si="58"/>
        <v>5.7535660406481696E-3</v>
      </c>
      <c r="D968" s="30">
        <f t="shared" si="56"/>
        <v>5.64234960908244E-2</v>
      </c>
      <c r="E968" s="30">
        <f t="shared" si="57"/>
        <v>0.13861089000173127</v>
      </c>
    </row>
    <row r="969" spans="2:5" ht="13.9" customHeight="1" x14ac:dyDescent="0.25">
      <c r="B969" s="29">
        <f t="shared" si="59"/>
        <v>9.8580115273773572</v>
      </c>
      <c r="C969" s="30">
        <f t="shared" si="58"/>
        <v>5.7418990877209581E-3</v>
      </c>
      <c r="D969" s="30">
        <f t="shared" ref="D969:D976" si="60">C969*9.8067</f>
        <v>5.6309081783553115E-2</v>
      </c>
      <c r="E969" s="30">
        <f t="shared" ref="E969:E976" si="61">((B969^2)/(4*PI()^2))*D969</f>
        <v>0.1386108900017313</v>
      </c>
    </row>
    <row r="970" spans="2:5" ht="13.9" customHeight="1" x14ac:dyDescent="0.25">
      <c r="B970" s="29">
        <f t="shared" si="59"/>
        <v>9.868011527377357</v>
      </c>
      <c r="C970" s="30">
        <f t="shared" si="58"/>
        <v>5.730267585827808E-3</v>
      </c>
      <c r="D970" s="30">
        <f t="shared" si="60"/>
        <v>5.6195015133937563E-2</v>
      </c>
      <c r="E970" s="30">
        <f t="shared" si="61"/>
        <v>0.13861089000173132</v>
      </c>
    </row>
    <row r="971" spans="2:5" ht="13.9" customHeight="1" x14ac:dyDescent="0.25">
      <c r="B971" s="29">
        <f t="shared" si="59"/>
        <v>9.8780115273773568</v>
      </c>
      <c r="C971" s="30">
        <f t="shared" si="58"/>
        <v>5.7186713914860621E-3</v>
      </c>
      <c r="D971" s="30">
        <f t="shared" si="60"/>
        <v>5.6081294734886364E-2</v>
      </c>
      <c r="E971" s="30">
        <f t="shared" si="61"/>
        <v>0.13861089000173132</v>
      </c>
    </row>
    <row r="972" spans="2:5" ht="13.9" customHeight="1" x14ac:dyDescent="0.25">
      <c r="B972" s="29">
        <f t="shared" si="59"/>
        <v>9.8880115273773566</v>
      </c>
      <c r="C972" s="30">
        <f t="shared" si="58"/>
        <v>5.7071103619382333E-3</v>
      </c>
      <c r="D972" s="30">
        <f t="shared" si="60"/>
        <v>5.5967919186419669E-2</v>
      </c>
      <c r="E972" s="30">
        <f t="shared" si="61"/>
        <v>0.1386108900017313</v>
      </c>
    </row>
    <row r="973" spans="2:5" ht="13.9" customHeight="1" x14ac:dyDescent="0.25">
      <c r="B973" s="29">
        <f t="shared" si="59"/>
        <v>9.8980115273773563</v>
      </c>
      <c r="C973" s="30">
        <f>IF(B973&lt;6,$C$5/B973,6*$C$5/B973^2)</f>
        <v>5.6955843551476154E-3</v>
      </c>
      <c r="D973" s="30">
        <f t="shared" si="60"/>
        <v>5.5854887095626117E-2</v>
      </c>
      <c r="E973" s="30">
        <f t="shared" si="61"/>
        <v>0.1386108900017313</v>
      </c>
    </row>
    <row r="974" spans="2:5" ht="13.9" customHeight="1" x14ac:dyDescent="0.25">
      <c r="B974" s="29">
        <f>B973+0.01</f>
        <v>9.9080115273773561</v>
      </c>
      <c r="C974" s="30">
        <f>IF(B974&lt;6,$C$5/B974,6*$C$5/B974^2)</f>
        <v>5.6840932297939134E-3</v>
      </c>
      <c r="D974" s="30">
        <f t="shared" si="60"/>
        <v>5.5742197076619968E-2</v>
      </c>
      <c r="E974" s="30">
        <f t="shared" si="61"/>
        <v>0.1386108900017313</v>
      </c>
    </row>
    <row r="975" spans="2:5" ht="13.9" customHeight="1" x14ac:dyDescent="0.25">
      <c r="B975" s="29">
        <f>B974+0.01</f>
        <v>9.9180115273773559</v>
      </c>
      <c r="C975" s="30">
        <f>IF(B975&lt;6,$C$5/B975,6*$C$5/B975^2)</f>
        <v>5.6726368452689191E-3</v>
      </c>
      <c r="D975" s="30">
        <f t="shared" si="60"/>
        <v>5.5629847750498708E-2</v>
      </c>
      <c r="E975" s="30">
        <f t="shared" si="61"/>
        <v>0.1386108900017313</v>
      </c>
    </row>
    <row r="976" spans="2:5" ht="13.9" customHeight="1" x14ac:dyDescent="0.25">
      <c r="B976" s="29">
        <f>B975+0.01</f>
        <v>9.9280115273773557</v>
      </c>
      <c r="C976" s="30">
        <f>IF(B976&lt;6,$C$5/B976,6*$C$5/B976^2)</f>
        <v>5.6612150616722054E-3</v>
      </c>
      <c r="D976" s="30">
        <f t="shared" si="60"/>
        <v>5.5517837745300815E-2</v>
      </c>
      <c r="E976" s="30">
        <f t="shared" si="61"/>
        <v>0.1386108900017313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2" t="s">
        <v>48</v>
      </c>
      <c r="C1" s="53"/>
      <c r="D1" s="53"/>
      <c r="E1" s="53"/>
      <c r="F1" s="53"/>
      <c r="G1" s="53"/>
      <c r="H1" s="53"/>
      <c r="I1" s="54"/>
    </row>
    <row r="2" spans="2:9" ht="13.9" customHeight="1" x14ac:dyDescent="0.2">
      <c r="B2" s="69" t="s">
        <v>21</v>
      </c>
      <c r="C2" s="34" t="s">
        <v>22</v>
      </c>
      <c r="D2" s="52" t="s">
        <v>26</v>
      </c>
      <c r="E2" s="53"/>
      <c r="F2" s="53"/>
      <c r="G2" s="53"/>
      <c r="H2" s="53"/>
      <c r="I2" s="54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1.3114618108715586</v>
      </c>
      <c r="D4" s="30">
        <v>3.2810970754914387E-8</v>
      </c>
      <c r="E4" s="30">
        <v>0.75785498695699005</v>
      </c>
      <c r="F4" s="30">
        <v>2.7552785860759481E-6</v>
      </c>
      <c r="G4" s="29">
        <v>3.2810970754914387E-8</v>
      </c>
      <c r="H4" s="29">
        <v>0.75785498695699005</v>
      </c>
      <c r="I4" s="29">
        <v>2.7552785860759481E-6</v>
      </c>
    </row>
    <row r="5" spans="2:9" ht="13.9" customHeight="1" x14ac:dyDescent="0.2">
      <c r="B5" s="27">
        <v>2</v>
      </c>
      <c r="C5" s="30">
        <v>1.3088503144910892</v>
      </c>
      <c r="D5" s="30">
        <v>0.77445142403376022</v>
      </c>
      <c r="E5" s="30">
        <v>3.3059456616513518E-8</v>
      </c>
      <c r="F5" s="30">
        <v>1.3063588111773967E-6</v>
      </c>
      <c r="G5" s="29">
        <v>0.77445145684473093</v>
      </c>
      <c r="H5" s="29">
        <v>0.75785502001644667</v>
      </c>
      <c r="I5" s="29">
        <v>4.0616373972533444E-6</v>
      </c>
    </row>
    <row r="6" spans="2:9" ht="13.9" customHeight="1" x14ac:dyDescent="0.2">
      <c r="B6" s="27">
        <v>3</v>
      </c>
      <c r="C6" s="30">
        <v>1.1412119886240772</v>
      </c>
      <c r="D6" s="30">
        <v>1.6380537692366586E-6</v>
      </c>
      <c r="E6" s="30">
        <v>3.3648530630894757E-6</v>
      </c>
      <c r="F6" s="30">
        <v>0.76789828218688205</v>
      </c>
      <c r="G6" s="29">
        <v>0.77445309489850012</v>
      </c>
      <c r="H6" s="29">
        <v>0.75785838486950974</v>
      </c>
      <c r="I6" s="29">
        <v>0.76790234382427935</v>
      </c>
    </row>
    <row r="7" spans="2:9" ht="13.9" customHeight="1" x14ac:dyDescent="0.2">
      <c r="B7" s="27">
        <v>4</v>
      </c>
      <c r="C7" s="30">
        <v>0.36984763989795399</v>
      </c>
      <c r="D7" s="30">
        <v>0.13070073921442829</v>
      </c>
      <c r="E7" s="30">
        <v>4.6943996031148428E-10</v>
      </c>
      <c r="F7" s="30">
        <v>2.8422441592773265E-6</v>
      </c>
      <c r="G7" s="29">
        <v>0.90515383411292838</v>
      </c>
      <c r="H7" s="29">
        <v>0.75785838533894967</v>
      </c>
      <c r="I7" s="29">
        <v>0.76790518606843861</v>
      </c>
    </row>
    <row r="8" spans="2:9" ht="13.9" customHeight="1" x14ac:dyDescent="0.2">
      <c r="B8" s="27">
        <v>5</v>
      </c>
      <c r="C8" s="30">
        <v>0.35589557021731583</v>
      </c>
      <c r="D8" s="30">
        <v>9.6723750429908666E-10</v>
      </c>
      <c r="E8" s="30">
        <v>0.14168895480322863</v>
      </c>
      <c r="F8" s="30">
        <v>8.8173126422274251E-6</v>
      </c>
      <c r="G8" s="29">
        <v>0.90515383508016589</v>
      </c>
      <c r="H8" s="29">
        <v>0.8995473401421783</v>
      </c>
      <c r="I8" s="29">
        <v>0.76791400338108085</v>
      </c>
    </row>
    <row r="9" spans="2:9" ht="13.9" customHeight="1" x14ac:dyDescent="0.2">
      <c r="B9" s="27">
        <v>6</v>
      </c>
      <c r="C9" s="30">
        <v>0.3186715074125237</v>
      </c>
      <c r="D9" s="30">
        <v>2.2555471400353265E-6</v>
      </c>
      <c r="E9" s="30">
        <v>7.783450608165415E-6</v>
      </c>
      <c r="F9" s="30">
        <v>0.1347152962195664</v>
      </c>
      <c r="G9" s="29">
        <v>0.90515609062730595</v>
      </c>
      <c r="H9" s="29">
        <v>0.89955512359278644</v>
      </c>
      <c r="I9" s="29">
        <v>0.90262929960064731</v>
      </c>
    </row>
    <row r="10" spans="2:9" ht="13.9" customHeight="1" x14ac:dyDescent="0.2">
      <c r="B10" s="27">
        <v>7</v>
      </c>
      <c r="C10" s="30">
        <v>0.17631980917628381</v>
      </c>
      <c r="D10" s="30">
        <v>5.7174482105323089E-2</v>
      </c>
      <c r="E10" s="30">
        <v>6.6013433272197789E-11</v>
      </c>
      <c r="F10" s="30">
        <v>1.5953102659381808E-7</v>
      </c>
      <c r="G10" s="29">
        <v>0.96233057273262901</v>
      </c>
      <c r="H10" s="29">
        <v>0.89955512365879986</v>
      </c>
      <c r="I10" s="29">
        <v>0.90262945913167392</v>
      </c>
    </row>
    <row r="11" spans="2:9" ht="13.9" customHeight="1" x14ac:dyDescent="0.2">
      <c r="B11" s="27">
        <v>8</v>
      </c>
      <c r="C11" s="30">
        <v>0.16152478143513518</v>
      </c>
      <c r="D11" s="30">
        <v>5.0858041565113825E-11</v>
      </c>
      <c r="E11" s="30">
        <v>6.0865585335680761E-2</v>
      </c>
      <c r="F11" s="30">
        <v>5.314753331058679E-7</v>
      </c>
      <c r="G11" s="29">
        <v>0.9623305727834871</v>
      </c>
      <c r="H11" s="29">
        <v>0.96042070899448062</v>
      </c>
      <c r="I11" s="29">
        <v>0.90262999060700699</v>
      </c>
    </row>
    <row r="12" spans="2:9" ht="13.9" customHeight="1" x14ac:dyDescent="0.2">
      <c r="B12" s="27">
        <v>9</v>
      </c>
      <c r="C12" s="30">
        <v>0.14990419912778247</v>
      </c>
      <c r="D12" s="30">
        <v>8.5843243816763068E-9</v>
      </c>
      <c r="E12" s="30">
        <v>1.3984014125165867E-7</v>
      </c>
      <c r="F12" s="30">
        <v>5.8647148817860435E-2</v>
      </c>
      <c r="G12" s="29">
        <v>0.96233058136781147</v>
      </c>
      <c r="H12" s="29">
        <v>0.96042084883462187</v>
      </c>
      <c r="I12" s="29">
        <v>0.96127713942486748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>
      <selection activeCell="O1" sqref="O1:Z1"/>
    </sheetView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1.5703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60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55" t="s">
        <v>96</v>
      </c>
      <c r="P1" s="56"/>
      <c r="Q1" s="56"/>
      <c r="R1" s="56"/>
      <c r="S1" s="56"/>
      <c r="T1" s="56"/>
      <c r="U1" s="56"/>
      <c r="V1" s="56"/>
      <c r="W1" s="56"/>
      <c r="X1" s="56"/>
      <c r="Y1" s="56"/>
      <c r="Z1" s="57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58" t="s">
        <v>37</v>
      </c>
      <c r="P2" s="58" t="s">
        <v>39</v>
      </c>
      <c r="Q2" s="58" t="s">
        <v>38</v>
      </c>
      <c r="R2" s="58" t="s">
        <v>60</v>
      </c>
      <c r="S2" s="58" t="s">
        <v>46</v>
      </c>
      <c r="T2" s="58" t="s">
        <v>45</v>
      </c>
      <c r="U2" s="60" t="s">
        <v>61</v>
      </c>
      <c r="V2" s="55" t="s">
        <v>42</v>
      </c>
      <c r="W2" s="57"/>
      <c r="X2" s="55" t="s">
        <v>43</v>
      </c>
      <c r="Y2" s="57"/>
      <c r="Z2" s="58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948</v>
      </c>
      <c r="K3" s="22" t="s">
        <v>40</v>
      </c>
      <c r="L3" s="22" t="s">
        <v>949</v>
      </c>
      <c r="M3" s="60"/>
      <c r="O3" s="59"/>
      <c r="P3" s="59"/>
      <c r="Q3" s="59"/>
      <c r="R3" s="59"/>
      <c r="S3" s="59"/>
      <c r="T3" s="59"/>
      <c r="U3" s="60"/>
      <c r="V3" s="22" t="s">
        <v>40</v>
      </c>
      <c r="W3" s="22" t="s">
        <v>948</v>
      </c>
      <c r="X3" s="22" t="s">
        <v>40</v>
      </c>
      <c r="Y3" s="22" t="s">
        <v>949</v>
      </c>
      <c r="Z3" s="59"/>
    </row>
    <row r="4" spans="2:26" x14ac:dyDescent="0.2">
      <c r="B4" s="27" t="s">
        <v>134</v>
      </c>
      <c r="C4" s="27">
        <v>189</v>
      </c>
      <c r="D4" s="27" t="s">
        <v>127</v>
      </c>
      <c r="E4" s="27" t="s">
        <v>106</v>
      </c>
      <c r="F4" s="27" t="s">
        <v>135</v>
      </c>
      <c r="G4" s="27" t="s">
        <v>63</v>
      </c>
      <c r="H4" s="27">
        <v>60</v>
      </c>
      <c r="I4" s="27">
        <v>14</v>
      </c>
      <c r="J4" s="37">
        <v>-5.53E-4</v>
      </c>
      <c r="K4" s="27">
        <v>3</v>
      </c>
      <c r="L4" s="38">
        <v>5.6599999999999999E-4</v>
      </c>
      <c r="M4" s="27" t="s">
        <v>65</v>
      </c>
      <c r="O4" s="27" t="s">
        <v>134</v>
      </c>
      <c r="P4" s="27">
        <v>189</v>
      </c>
      <c r="Q4" s="27" t="s">
        <v>127</v>
      </c>
      <c r="R4" s="27" t="s">
        <v>379</v>
      </c>
      <c r="S4" s="27" t="s">
        <v>135</v>
      </c>
      <c r="T4" s="27" t="s">
        <v>63</v>
      </c>
      <c r="U4" s="27">
        <v>10</v>
      </c>
      <c r="V4" s="27">
        <v>14</v>
      </c>
      <c r="W4" s="37">
        <v>-5.53E-4</v>
      </c>
      <c r="X4" s="27">
        <v>3</v>
      </c>
      <c r="Y4" s="38">
        <v>5.6599999999999999E-4</v>
      </c>
      <c r="Z4" s="27" t="s">
        <v>65</v>
      </c>
    </row>
    <row r="5" spans="2:26" x14ac:dyDescent="0.2">
      <c r="B5" s="27" t="s">
        <v>134</v>
      </c>
      <c r="C5" s="27">
        <v>189</v>
      </c>
      <c r="D5" s="27" t="s">
        <v>127</v>
      </c>
      <c r="E5" s="27" t="s">
        <v>106</v>
      </c>
      <c r="F5" s="27" t="s">
        <v>136</v>
      </c>
      <c r="G5" s="27" t="s">
        <v>64</v>
      </c>
      <c r="H5" s="27">
        <v>60</v>
      </c>
      <c r="I5" s="27">
        <v>11</v>
      </c>
      <c r="J5" s="37">
        <v>-5.1800000000000001E-4</v>
      </c>
      <c r="K5" s="27">
        <v>4</v>
      </c>
      <c r="L5" s="38">
        <v>5.22E-4</v>
      </c>
      <c r="M5" s="27" t="s">
        <v>65</v>
      </c>
      <c r="O5" s="27" t="s">
        <v>134</v>
      </c>
      <c r="P5" s="27">
        <v>189</v>
      </c>
      <c r="Q5" s="27" t="s">
        <v>127</v>
      </c>
      <c r="R5" s="27" t="s">
        <v>379</v>
      </c>
      <c r="S5" s="27" t="s">
        <v>136</v>
      </c>
      <c r="T5" s="27" t="s">
        <v>64</v>
      </c>
      <c r="U5" s="27">
        <v>10</v>
      </c>
      <c r="V5" s="27">
        <v>11</v>
      </c>
      <c r="W5" s="37">
        <v>-5.1699999999999999E-4</v>
      </c>
      <c r="X5" s="27">
        <v>4</v>
      </c>
      <c r="Y5" s="38">
        <v>5.22E-4</v>
      </c>
      <c r="Z5" s="27" t="s">
        <v>65</v>
      </c>
    </row>
    <row r="6" spans="2:26" x14ac:dyDescent="0.2">
      <c r="B6" s="27" t="s">
        <v>134</v>
      </c>
      <c r="C6" s="27">
        <v>201</v>
      </c>
      <c r="D6" s="27" t="s">
        <v>128</v>
      </c>
      <c r="E6" s="27" t="s">
        <v>106</v>
      </c>
      <c r="F6" s="27" t="s">
        <v>137</v>
      </c>
      <c r="G6" s="27" t="s">
        <v>63</v>
      </c>
      <c r="H6" s="27">
        <v>60</v>
      </c>
      <c r="I6" s="27">
        <v>20</v>
      </c>
      <c r="J6" s="37">
        <v>-1.3799999999999999E-4</v>
      </c>
      <c r="K6" s="27">
        <v>4</v>
      </c>
      <c r="L6" s="38">
        <v>-1.3200000000000001E-4</v>
      </c>
      <c r="M6" s="27" t="s">
        <v>65</v>
      </c>
      <c r="O6" s="27" t="s">
        <v>134</v>
      </c>
      <c r="P6" s="27">
        <v>201</v>
      </c>
      <c r="Q6" s="27" t="s">
        <v>128</v>
      </c>
      <c r="R6" s="27" t="s">
        <v>379</v>
      </c>
      <c r="S6" s="27" t="s">
        <v>137</v>
      </c>
      <c r="T6" s="27" t="s">
        <v>63</v>
      </c>
      <c r="U6" s="27">
        <v>10</v>
      </c>
      <c r="V6" s="27">
        <v>20</v>
      </c>
      <c r="W6" s="37">
        <v>-1.3799999999999999E-4</v>
      </c>
      <c r="X6" s="27">
        <v>4</v>
      </c>
      <c r="Y6" s="38">
        <v>-1.3100000000000001E-4</v>
      </c>
      <c r="Z6" s="27" t="s">
        <v>65</v>
      </c>
    </row>
    <row r="7" spans="2:26" x14ac:dyDescent="0.2">
      <c r="B7" s="27" t="s">
        <v>134</v>
      </c>
      <c r="C7" s="27">
        <v>201</v>
      </c>
      <c r="D7" s="27" t="s">
        <v>128</v>
      </c>
      <c r="E7" s="27" t="s">
        <v>106</v>
      </c>
      <c r="F7" s="27" t="s">
        <v>138</v>
      </c>
      <c r="G7" s="27" t="s">
        <v>64</v>
      </c>
      <c r="H7" s="27">
        <v>60</v>
      </c>
      <c r="I7" s="27">
        <v>17</v>
      </c>
      <c r="J7" s="37">
        <v>-1.84E-4</v>
      </c>
      <c r="K7" s="27">
        <v>3</v>
      </c>
      <c r="L7" s="38">
        <v>-1.7100000000000001E-4</v>
      </c>
      <c r="M7" s="27" t="s">
        <v>65</v>
      </c>
      <c r="O7" s="27" t="s">
        <v>134</v>
      </c>
      <c r="P7" s="27">
        <v>201</v>
      </c>
      <c r="Q7" s="27" t="s">
        <v>128</v>
      </c>
      <c r="R7" s="27" t="s">
        <v>379</v>
      </c>
      <c r="S7" s="27" t="s">
        <v>138</v>
      </c>
      <c r="T7" s="27" t="s">
        <v>64</v>
      </c>
      <c r="U7" s="27">
        <v>10</v>
      </c>
      <c r="V7" s="27">
        <v>17</v>
      </c>
      <c r="W7" s="37">
        <v>-1.84E-4</v>
      </c>
      <c r="X7" s="27">
        <v>3</v>
      </c>
      <c r="Y7" s="38">
        <v>-1.7100000000000001E-4</v>
      </c>
      <c r="Z7" s="27" t="s">
        <v>65</v>
      </c>
    </row>
    <row r="8" spans="2:26" x14ac:dyDescent="0.2">
      <c r="B8" s="27" t="s">
        <v>134</v>
      </c>
      <c r="C8" s="27">
        <v>197</v>
      </c>
      <c r="D8" s="27" t="s">
        <v>129</v>
      </c>
      <c r="E8" s="27" t="s">
        <v>106</v>
      </c>
      <c r="F8" s="27" t="s">
        <v>139</v>
      </c>
      <c r="G8" s="27" t="s">
        <v>63</v>
      </c>
      <c r="H8" s="27">
        <v>60</v>
      </c>
      <c r="I8" s="27">
        <v>15</v>
      </c>
      <c r="J8" s="37">
        <v>-2.4000000000000001E-4</v>
      </c>
      <c r="K8" s="27">
        <v>12</v>
      </c>
      <c r="L8" s="38">
        <v>-2.1000000000000001E-4</v>
      </c>
      <c r="M8" s="27" t="s">
        <v>65</v>
      </c>
      <c r="O8" s="27" t="s">
        <v>134</v>
      </c>
      <c r="P8" s="27">
        <v>197</v>
      </c>
      <c r="Q8" s="27" t="s">
        <v>129</v>
      </c>
      <c r="R8" s="27" t="s">
        <v>379</v>
      </c>
      <c r="S8" s="27" t="s">
        <v>139</v>
      </c>
      <c r="T8" s="27" t="s">
        <v>63</v>
      </c>
      <c r="U8" s="27">
        <v>10</v>
      </c>
      <c r="V8" s="27">
        <v>15</v>
      </c>
      <c r="W8" s="37">
        <v>-2.4000000000000001E-4</v>
      </c>
      <c r="X8" s="27">
        <v>12</v>
      </c>
      <c r="Y8" s="38">
        <v>-2.1000000000000001E-4</v>
      </c>
      <c r="Z8" s="27" t="s">
        <v>65</v>
      </c>
    </row>
    <row r="9" spans="2:26" x14ac:dyDescent="0.2">
      <c r="B9" s="27" t="s">
        <v>134</v>
      </c>
      <c r="C9" s="27">
        <v>197</v>
      </c>
      <c r="D9" s="27" t="s">
        <v>129</v>
      </c>
      <c r="E9" s="27" t="s">
        <v>106</v>
      </c>
      <c r="F9" s="27" t="s">
        <v>140</v>
      </c>
      <c r="G9" s="27" t="s">
        <v>64</v>
      </c>
      <c r="H9" s="27">
        <v>60</v>
      </c>
      <c r="I9" s="27">
        <v>17</v>
      </c>
      <c r="J9" s="37">
        <v>-2.4000000000000001E-4</v>
      </c>
      <c r="K9" s="27">
        <v>6</v>
      </c>
      <c r="L9" s="38">
        <v>-2.1000000000000001E-4</v>
      </c>
      <c r="M9" s="27" t="s">
        <v>65</v>
      </c>
      <c r="O9" s="27" t="s">
        <v>134</v>
      </c>
      <c r="P9" s="27">
        <v>197</v>
      </c>
      <c r="Q9" s="27" t="s">
        <v>129</v>
      </c>
      <c r="R9" s="27" t="s">
        <v>379</v>
      </c>
      <c r="S9" s="27" t="s">
        <v>140</v>
      </c>
      <c r="T9" s="27" t="s">
        <v>64</v>
      </c>
      <c r="U9" s="27">
        <v>10</v>
      </c>
      <c r="V9" s="27">
        <v>17</v>
      </c>
      <c r="W9" s="37">
        <v>-2.4000000000000001E-4</v>
      </c>
      <c r="X9" s="27">
        <v>6</v>
      </c>
      <c r="Y9" s="38">
        <v>-2.1000000000000001E-4</v>
      </c>
      <c r="Z9" s="27" t="s">
        <v>65</v>
      </c>
    </row>
    <row r="10" spans="2:26" x14ac:dyDescent="0.2">
      <c r="B10" s="27" t="s">
        <v>134</v>
      </c>
      <c r="C10" s="27">
        <v>198</v>
      </c>
      <c r="D10" s="27" t="s">
        <v>129</v>
      </c>
      <c r="E10" s="27" t="s">
        <v>106</v>
      </c>
      <c r="F10" s="27" t="s">
        <v>141</v>
      </c>
      <c r="G10" s="27" t="s">
        <v>63</v>
      </c>
      <c r="H10" s="27">
        <v>60</v>
      </c>
      <c r="I10" s="27">
        <v>15</v>
      </c>
      <c r="J10" s="37">
        <v>-2.4000000000000001E-4</v>
      </c>
      <c r="K10" s="27">
        <v>12</v>
      </c>
      <c r="L10" s="38">
        <v>-2.1000000000000001E-4</v>
      </c>
      <c r="M10" s="27" t="s">
        <v>65</v>
      </c>
      <c r="O10" s="27" t="s">
        <v>134</v>
      </c>
      <c r="P10" s="27">
        <v>198</v>
      </c>
      <c r="Q10" s="27" t="s">
        <v>129</v>
      </c>
      <c r="R10" s="27" t="s">
        <v>379</v>
      </c>
      <c r="S10" s="27" t="s">
        <v>141</v>
      </c>
      <c r="T10" s="27" t="s">
        <v>63</v>
      </c>
      <c r="U10" s="27">
        <v>10</v>
      </c>
      <c r="V10" s="27">
        <v>15</v>
      </c>
      <c r="W10" s="37">
        <v>-2.41E-4</v>
      </c>
      <c r="X10" s="27">
        <v>12</v>
      </c>
      <c r="Y10" s="38">
        <v>-2.1000000000000001E-4</v>
      </c>
      <c r="Z10" s="27" t="s">
        <v>65</v>
      </c>
    </row>
    <row r="11" spans="2:26" x14ac:dyDescent="0.2">
      <c r="B11" s="27" t="s">
        <v>134</v>
      </c>
      <c r="C11" s="27">
        <v>198</v>
      </c>
      <c r="D11" s="27" t="s">
        <v>129</v>
      </c>
      <c r="E11" s="27" t="s">
        <v>106</v>
      </c>
      <c r="F11" s="27" t="s">
        <v>142</v>
      </c>
      <c r="G11" s="27" t="s">
        <v>64</v>
      </c>
      <c r="H11" s="27">
        <v>60</v>
      </c>
      <c r="I11" s="27">
        <v>17</v>
      </c>
      <c r="J11" s="37">
        <v>-2.3900000000000001E-4</v>
      </c>
      <c r="K11" s="27">
        <v>6</v>
      </c>
      <c r="L11" s="38">
        <v>-2.1000000000000001E-4</v>
      </c>
      <c r="M11" s="27" t="s">
        <v>65</v>
      </c>
      <c r="O11" s="27" t="s">
        <v>134</v>
      </c>
      <c r="P11" s="27">
        <v>198</v>
      </c>
      <c r="Q11" s="27" t="s">
        <v>129</v>
      </c>
      <c r="R11" s="27" t="s">
        <v>379</v>
      </c>
      <c r="S11" s="27" t="s">
        <v>142</v>
      </c>
      <c r="T11" s="27" t="s">
        <v>64</v>
      </c>
      <c r="U11" s="27">
        <v>10</v>
      </c>
      <c r="V11" s="27">
        <v>17</v>
      </c>
      <c r="W11" s="37">
        <v>-2.3900000000000001E-4</v>
      </c>
      <c r="X11" s="27">
        <v>6</v>
      </c>
      <c r="Y11" s="38">
        <v>-2.1000000000000001E-4</v>
      </c>
      <c r="Z11" s="27" t="s">
        <v>65</v>
      </c>
    </row>
    <row r="12" spans="2:26" x14ac:dyDescent="0.2">
      <c r="B12" s="27" t="s">
        <v>134</v>
      </c>
      <c r="C12" s="27">
        <v>202</v>
      </c>
      <c r="D12" s="27" t="s">
        <v>128</v>
      </c>
      <c r="E12" s="27" t="s">
        <v>106</v>
      </c>
      <c r="F12" s="27" t="s">
        <v>143</v>
      </c>
      <c r="G12" s="27" t="s">
        <v>63</v>
      </c>
      <c r="H12" s="27">
        <v>60</v>
      </c>
      <c r="I12" s="27">
        <v>20</v>
      </c>
      <c r="J12" s="37">
        <v>-1.4999999999999999E-4</v>
      </c>
      <c r="K12" s="27">
        <v>4</v>
      </c>
      <c r="L12" s="38">
        <v>-1.4200000000000001E-4</v>
      </c>
      <c r="M12" s="27" t="s">
        <v>65</v>
      </c>
      <c r="O12" s="27" t="s">
        <v>134</v>
      </c>
      <c r="P12" s="27">
        <v>202</v>
      </c>
      <c r="Q12" s="27" t="s">
        <v>128</v>
      </c>
      <c r="R12" s="27" t="s">
        <v>379</v>
      </c>
      <c r="S12" s="27" t="s">
        <v>143</v>
      </c>
      <c r="T12" s="27" t="s">
        <v>63</v>
      </c>
      <c r="U12" s="27">
        <v>10</v>
      </c>
      <c r="V12" s="27">
        <v>20</v>
      </c>
      <c r="W12" s="37">
        <v>-1.4999999999999999E-4</v>
      </c>
      <c r="X12" s="27">
        <v>4</v>
      </c>
      <c r="Y12" s="38">
        <v>-1.4200000000000001E-4</v>
      </c>
      <c r="Z12" s="27" t="s">
        <v>65</v>
      </c>
    </row>
    <row r="13" spans="2:26" x14ac:dyDescent="0.2">
      <c r="B13" s="27" t="s">
        <v>134</v>
      </c>
      <c r="C13" s="27">
        <v>202</v>
      </c>
      <c r="D13" s="27" t="s">
        <v>128</v>
      </c>
      <c r="E13" s="27" t="s">
        <v>106</v>
      </c>
      <c r="F13" s="27" t="s">
        <v>144</v>
      </c>
      <c r="G13" s="27" t="s">
        <v>64</v>
      </c>
      <c r="H13" s="27">
        <v>60</v>
      </c>
      <c r="I13" s="27">
        <v>17</v>
      </c>
      <c r="J13" s="37">
        <v>-1.8599999999999999E-4</v>
      </c>
      <c r="K13" s="27">
        <v>3</v>
      </c>
      <c r="L13" s="38">
        <v>-1.7100000000000001E-4</v>
      </c>
      <c r="M13" s="27" t="s">
        <v>65</v>
      </c>
      <c r="O13" s="27" t="s">
        <v>134</v>
      </c>
      <c r="P13" s="27">
        <v>202</v>
      </c>
      <c r="Q13" s="27" t="s">
        <v>128</v>
      </c>
      <c r="R13" s="27" t="s">
        <v>379</v>
      </c>
      <c r="S13" s="27" t="s">
        <v>144</v>
      </c>
      <c r="T13" s="27" t="s">
        <v>64</v>
      </c>
      <c r="U13" s="27">
        <v>10</v>
      </c>
      <c r="V13" s="27">
        <v>17</v>
      </c>
      <c r="W13" s="37">
        <v>-1.8599999999999999E-4</v>
      </c>
      <c r="X13" s="27">
        <v>3</v>
      </c>
      <c r="Y13" s="38">
        <v>-1.7100000000000001E-4</v>
      </c>
      <c r="Z13" s="27" t="s">
        <v>65</v>
      </c>
    </row>
    <row r="14" spans="2:26" x14ac:dyDescent="0.2">
      <c r="B14" s="27" t="s">
        <v>134</v>
      </c>
      <c r="C14" s="27">
        <v>190</v>
      </c>
      <c r="D14" s="27" t="s">
        <v>127</v>
      </c>
      <c r="E14" s="27" t="s">
        <v>106</v>
      </c>
      <c r="F14" s="27" t="s">
        <v>145</v>
      </c>
      <c r="G14" s="27" t="s">
        <v>63</v>
      </c>
      <c r="H14" s="27">
        <v>60</v>
      </c>
      <c r="I14" s="27">
        <v>9</v>
      </c>
      <c r="J14" s="37">
        <v>-3.5799999999999997E-4</v>
      </c>
      <c r="K14" s="27">
        <v>1</v>
      </c>
      <c r="L14" s="38">
        <v>3.4699999999999998E-4</v>
      </c>
      <c r="M14" s="27" t="s">
        <v>65</v>
      </c>
      <c r="O14" s="27" t="s">
        <v>134</v>
      </c>
      <c r="P14" s="27">
        <v>190</v>
      </c>
      <c r="Q14" s="27" t="s">
        <v>127</v>
      </c>
      <c r="R14" s="27" t="s">
        <v>379</v>
      </c>
      <c r="S14" s="27" t="s">
        <v>145</v>
      </c>
      <c r="T14" s="27" t="s">
        <v>63</v>
      </c>
      <c r="U14" s="27">
        <v>10</v>
      </c>
      <c r="V14" s="27">
        <v>9</v>
      </c>
      <c r="W14" s="37">
        <v>-3.5799999999999997E-4</v>
      </c>
      <c r="X14" s="27">
        <v>1</v>
      </c>
      <c r="Y14" s="38">
        <v>3.4699999999999998E-4</v>
      </c>
      <c r="Z14" s="27" t="s">
        <v>65</v>
      </c>
    </row>
    <row r="15" spans="2:26" x14ac:dyDescent="0.2">
      <c r="B15" s="27" t="s">
        <v>134</v>
      </c>
      <c r="C15" s="27">
        <v>190</v>
      </c>
      <c r="D15" s="27" t="s">
        <v>127</v>
      </c>
      <c r="E15" s="27" t="s">
        <v>106</v>
      </c>
      <c r="F15" s="27" t="s">
        <v>146</v>
      </c>
      <c r="G15" s="27" t="s">
        <v>64</v>
      </c>
      <c r="H15" s="27">
        <v>60</v>
      </c>
      <c r="I15" s="27">
        <v>16</v>
      </c>
      <c r="J15" s="37">
        <v>-1.7899999999999999E-4</v>
      </c>
      <c r="K15" s="27">
        <v>1</v>
      </c>
      <c r="L15" s="38">
        <v>-1.4999999999999999E-4</v>
      </c>
      <c r="M15" s="27" t="s">
        <v>65</v>
      </c>
      <c r="O15" s="27" t="s">
        <v>134</v>
      </c>
      <c r="P15" s="27">
        <v>190</v>
      </c>
      <c r="Q15" s="27" t="s">
        <v>127</v>
      </c>
      <c r="R15" s="27" t="s">
        <v>379</v>
      </c>
      <c r="S15" s="27" t="s">
        <v>146</v>
      </c>
      <c r="T15" s="27" t="s">
        <v>64</v>
      </c>
      <c r="U15" s="27">
        <v>10</v>
      </c>
      <c r="V15" s="27">
        <v>16</v>
      </c>
      <c r="W15" s="37">
        <v>-1.7899999999999999E-4</v>
      </c>
      <c r="X15" s="27">
        <v>1</v>
      </c>
      <c r="Y15" s="38">
        <v>-1.4999999999999999E-4</v>
      </c>
      <c r="Z15" s="27" t="s">
        <v>65</v>
      </c>
    </row>
    <row r="16" spans="2:26" x14ac:dyDescent="0.2">
      <c r="B16" s="27" t="s">
        <v>134</v>
      </c>
      <c r="C16" s="27">
        <v>206</v>
      </c>
      <c r="D16" s="27" t="s">
        <v>128</v>
      </c>
      <c r="E16" s="27" t="s">
        <v>106</v>
      </c>
      <c r="F16" s="27" t="s">
        <v>147</v>
      </c>
      <c r="G16" s="27" t="s">
        <v>63</v>
      </c>
      <c r="H16" s="27">
        <v>60</v>
      </c>
      <c r="I16" s="27">
        <v>22</v>
      </c>
      <c r="J16" s="37">
        <v>-1.47E-4</v>
      </c>
      <c r="K16" s="27">
        <v>1</v>
      </c>
      <c r="L16" s="38">
        <v>-1.2400000000000001E-4</v>
      </c>
      <c r="M16" s="27" t="s">
        <v>65</v>
      </c>
      <c r="O16" s="27" t="s">
        <v>134</v>
      </c>
      <c r="P16" s="27">
        <v>206</v>
      </c>
      <c r="Q16" s="27" t="s">
        <v>128</v>
      </c>
      <c r="R16" s="27" t="s">
        <v>379</v>
      </c>
      <c r="S16" s="27" t="s">
        <v>147</v>
      </c>
      <c r="T16" s="27" t="s">
        <v>63</v>
      </c>
      <c r="U16" s="27">
        <v>10</v>
      </c>
      <c r="V16" s="27">
        <v>22</v>
      </c>
      <c r="W16" s="37">
        <v>-1.47E-4</v>
      </c>
      <c r="X16" s="27">
        <v>1</v>
      </c>
      <c r="Y16" s="38">
        <v>-1.2400000000000001E-4</v>
      </c>
      <c r="Z16" s="27" t="s">
        <v>65</v>
      </c>
    </row>
    <row r="17" spans="2:26" x14ac:dyDescent="0.2">
      <c r="B17" s="27" t="s">
        <v>134</v>
      </c>
      <c r="C17" s="27">
        <v>206</v>
      </c>
      <c r="D17" s="27" t="s">
        <v>128</v>
      </c>
      <c r="E17" s="27" t="s">
        <v>106</v>
      </c>
      <c r="F17" s="27" t="s">
        <v>148</v>
      </c>
      <c r="G17" s="27" t="s">
        <v>64</v>
      </c>
      <c r="H17" s="27">
        <v>60</v>
      </c>
      <c r="I17" s="27">
        <v>15</v>
      </c>
      <c r="J17" s="37">
        <v>-1.9900000000000001E-4</v>
      </c>
      <c r="K17" s="27">
        <v>6</v>
      </c>
      <c r="L17" s="38">
        <v>-1.66E-4</v>
      </c>
      <c r="M17" s="27" t="s">
        <v>65</v>
      </c>
      <c r="O17" s="27" t="s">
        <v>134</v>
      </c>
      <c r="P17" s="27">
        <v>206</v>
      </c>
      <c r="Q17" s="27" t="s">
        <v>128</v>
      </c>
      <c r="R17" s="27" t="s">
        <v>379</v>
      </c>
      <c r="S17" s="27" t="s">
        <v>148</v>
      </c>
      <c r="T17" s="27" t="s">
        <v>64</v>
      </c>
      <c r="U17" s="27">
        <v>10</v>
      </c>
      <c r="V17" s="27">
        <v>15</v>
      </c>
      <c r="W17" s="37">
        <v>-1.9900000000000001E-4</v>
      </c>
      <c r="X17" s="27">
        <v>6</v>
      </c>
      <c r="Y17" s="38">
        <v>-1.66E-4</v>
      </c>
      <c r="Z17" s="27" t="s">
        <v>65</v>
      </c>
    </row>
    <row r="18" spans="2:26" x14ac:dyDescent="0.2">
      <c r="B18" s="27" t="s">
        <v>134</v>
      </c>
      <c r="C18" s="27">
        <v>191</v>
      </c>
      <c r="D18" s="27" t="s">
        <v>129</v>
      </c>
      <c r="E18" s="27" t="s">
        <v>106</v>
      </c>
      <c r="F18" s="27" t="s">
        <v>149</v>
      </c>
      <c r="G18" s="27" t="s">
        <v>63</v>
      </c>
      <c r="H18" s="27">
        <v>60</v>
      </c>
      <c r="I18" s="27">
        <v>16</v>
      </c>
      <c r="J18" s="37">
        <v>-7.7999999999999999E-5</v>
      </c>
      <c r="K18" s="27">
        <v>6</v>
      </c>
      <c r="L18" s="38">
        <v>-7.7999999999999999E-5</v>
      </c>
      <c r="M18" s="27" t="s">
        <v>65</v>
      </c>
      <c r="O18" s="27" t="s">
        <v>134</v>
      </c>
      <c r="P18" s="27">
        <v>191</v>
      </c>
      <c r="Q18" s="27" t="s">
        <v>129</v>
      </c>
      <c r="R18" s="27" t="s">
        <v>379</v>
      </c>
      <c r="S18" s="27" t="s">
        <v>149</v>
      </c>
      <c r="T18" s="27" t="s">
        <v>63</v>
      </c>
      <c r="U18" s="27">
        <v>10</v>
      </c>
      <c r="V18" s="27">
        <v>16</v>
      </c>
      <c r="W18" s="37">
        <v>-7.7999999999999999E-5</v>
      </c>
      <c r="X18" s="27">
        <v>6</v>
      </c>
      <c r="Y18" s="38">
        <v>-7.7999999999999999E-5</v>
      </c>
      <c r="Z18" s="27" t="s">
        <v>65</v>
      </c>
    </row>
    <row r="19" spans="2:26" x14ac:dyDescent="0.2">
      <c r="B19" s="27" t="s">
        <v>134</v>
      </c>
      <c r="C19" s="27">
        <v>191</v>
      </c>
      <c r="D19" s="27" t="s">
        <v>129</v>
      </c>
      <c r="E19" s="27" t="s">
        <v>106</v>
      </c>
      <c r="F19" s="27" t="s">
        <v>150</v>
      </c>
      <c r="G19" s="27" t="s">
        <v>64</v>
      </c>
      <c r="H19" s="27">
        <v>60</v>
      </c>
      <c r="I19" s="27">
        <v>15</v>
      </c>
      <c r="J19" s="37">
        <v>-1.0900000000000001E-4</v>
      </c>
      <c r="K19" s="27">
        <v>12</v>
      </c>
      <c r="L19" s="38">
        <v>-1.0900000000000001E-4</v>
      </c>
      <c r="M19" s="27" t="s">
        <v>65</v>
      </c>
      <c r="O19" s="27" t="s">
        <v>134</v>
      </c>
      <c r="P19" s="27">
        <v>191</v>
      </c>
      <c r="Q19" s="27" t="s">
        <v>129</v>
      </c>
      <c r="R19" s="27" t="s">
        <v>379</v>
      </c>
      <c r="S19" s="27" t="s">
        <v>150</v>
      </c>
      <c r="T19" s="27" t="s">
        <v>64</v>
      </c>
      <c r="U19" s="27">
        <v>10</v>
      </c>
      <c r="V19" s="27">
        <v>15</v>
      </c>
      <c r="W19" s="37">
        <v>-1.0900000000000001E-4</v>
      </c>
      <c r="X19" s="27">
        <v>12</v>
      </c>
      <c r="Y19" s="38">
        <v>-1.0900000000000001E-4</v>
      </c>
      <c r="Z19" s="27" t="s">
        <v>65</v>
      </c>
    </row>
    <row r="20" spans="2:26" x14ac:dyDescent="0.2">
      <c r="B20" s="27" t="s">
        <v>134</v>
      </c>
      <c r="C20" s="27">
        <v>209</v>
      </c>
      <c r="D20" s="27" t="s">
        <v>128</v>
      </c>
      <c r="E20" s="27" t="s">
        <v>106</v>
      </c>
      <c r="F20" s="27" t="s">
        <v>151</v>
      </c>
      <c r="G20" s="27" t="s">
        <v>63</v>
      </c>
      <c r="H20" s="27">
        <v>60</v>
      </c>
      <c r="I20" s="27">
        <v>20</v>
      </c>
      <c r="J20" s="37">
        <v>-1.15E-4</v>
      </c>
      <c r="K20" s="27">
        <v>1</v>
      </c>
      <c r="L20" s="38">
        <v>-1.01E-4</v>
      </c>
      <c r="M20" s="27" t="s">
        <v>65</v>
      </c>
      <c r="O20" s="27" t="s">
        <v>134</v>
      </c>
      <c r="P20" s="27">
        <v>209</v>
      </c>
      <c r="Q20" s="27" t="s">
        <v>128</v>
      </c>
      <c r="R20" s="27" t="s">
        <v>379</v>
      </c>
      <c r="S20" s="27" t="s">
        <v>151</v>
      </c>
      <c r="T20" s="27" t="s">
        <v>63</v>
      </c>
      <c r="U20" s="27">
        <v>10</v>
      </c>
      <c r="V20" s="27">
        <v>20</v>
      </c>
      <c r="W20" s="37">
        <v>-1.15E-4</v>
      </c>
      <c r="X20" s="27">
        <v>1</v>
      </c>
      <c r="Y20" s="38">
        <v>-1E-4</v>
      </c>
      <c r="Z20" s="27" t="s">
        <v>65</v>
      </c>
    </row>
    <row r="21" spans="2:26" x14ac:dyDescent="0.2">
      <c r="B21" s="27" t="s">
        <v>134</v>
      </c>
      <c r="C21" s="27">
        <v>209</v>
      </c>
      <c r="D21" s="27" t="s">
        <v>128</v>
      </c>
      <c r="E21" s="27" t="s">
        <v>106</v>
      </c>
      <c r="F21" s="27" t="s">
        <v>152</v>
      </c>
      <c r="G21" s="27" t="s">
        <v>64</v>
      </c>
      <c r="H21" s="27">
        <v>60</v>
      </c>
      <c r="I21" s="27">
        <v>15</v>
      </c>
      <c r="J21" s="37">
        <v>-1.47E-4</v>
      </c>
      <c r="K21" s="27">
        <v>6</v>
      </c>
      <c r="L21" s="38">
        <v>-1.27E-4</v>
      </c>
      <c r="M21" s="27" t="s">
        <v>65</v>
      </c>
      <c r="O21" s="27" t="s">
        <v>134</v>
      </c>
      <c r="P21" s="27">
        <v>209</v>
      </c>
      <c r="Q21" s="27" t="s">
        <v>128</v>
      </c>
      <c r="R21" s="27" t="s">
        <v>379</v>
      </c>
      <c r="S21" s="27" t="s">
        <v>152</v>
      </c>
      <c r="T21" s="27" t="s">
        <v>64</v>
      </c>
      <c r="U21" s="27">
        <v>10</v>
      </c>
      <c r="V21" s="27">
        <v>15</v>
      </c>
      <c r="W21" s="37">
        <v>-1.47E-4</v>
      </c>
      <c r="X21" s="27">
        <v>6</v>
      </c>
      <c r="Y21" s="38">
        <v>-1.27E-4</v>
      </c>
      <c r="Z21" s="27" t="s">
        <v>65</v>
      </c>
    </row>
    <row r="22" spans="2:26" x14ac:dyDescent="0.2">
      <c r="B22" s="27" t="s">
        <v>134</v>
      </c>
      <c r="C22" s="27">
        <v>210</v>
      </c>
      <c r="D22" s="27" t="s">
        <v>128</v>
      </c>
      <c r="E22" s="27" t="s">
        <v>106</v>
      </c>
      <c r="F22" s="27" t="s">
        <v>153</v>
      </c>
      <c r="G22" s="27" t="s">
        <v>63</v>
      </c>
      <c r="H22" s="27">
        <v>60</v>
      </c>
      <c r="I22" s="27">
        <v>20</v>
      </c>
      <c r="J22" s="37">
        <v>-1.11E-4</v>
      </c>
      <c r="K22" s="27">
        <v>4</v>
      </c>
      <c r="L22" s="38">
        <v>-9.7999999999999997E-5</v>
      </c>
      <c r="M22" s="27" t="s">
        <v>65</v>
      </c>
      <c r="O22" s="27" t="s">
        <v>134</v>
      </c>
      <c r="P22" s="27">
        <v>210</v>
      </c>
      <c r="Q22" s="27" t="s">
        <v>128</v>
      </c>
      <c r="R22" s="27" t="s">
        <v>379</v>
      </c>
      <c r="S22" s="27" t="s">
        <v>153</v>
      </c>
      <c r="T22" s="27" t="s">
        <v>63</v>
      </c>
      <c r="U22" s="27">
        <v>10</v>
      </c>
      <c r="V22" s="27">
        <v>20</v>
      </c>
      <c r="W22" s="37">
        <v>-1.11E-4</v>
      </c>
      <c r="X22" s="27">
        <v>1</v>
      </c>
      <c r="Y22" s="38">
        <v>-9.7E-5</v>
      </c>
      <c r="Z22" s="27" t="s">
        <v>65</v>
      </c>
    </row>
    <row r="23" spans="2:26" x14ac:dyDescent="0.2">
      <c r="B23" s="27" t="s">
        <v>134</v>
      </c>
      <c r="C23" s="27">
        <v>210</v>
      </c>
      <c r="D23" s="27" t="s">
        <v>128</v>
      </c>
      <c r="E23" s="27" t="s">
        <v>106</v>
      </c>
      <c r="F23" s="27" t="s">
        <v>154</v>
      </c>
      <c r="G23" s="27" t="s">
        <v>64</v>
      </c>
      <c r="H23" s="27">
        <v>60</v>
      </c>
      <c r="I23" s="27">
        <v>15</v>
      </c>
      <c r="J23" s="37">
        <v>-1.45E-4</v>
      </c>
      <c r="K23" s="27">
        <v>6</v>
      </c>
      <c r="L23" s="38">
        <v>-1.25E-4</v>
      </c>
      <c r="M23" s="27" t="s">
        <v>65</v>
      </c>
      <c r="O23" s="27" t="s">
        <v>134</v>
      </c>
      <c r="P23" s="27">
        <v>210</v>
      </c>
      <c r="Q23" s="27" t="s">
        <v>128</v>
      </c>
      <c r="R23" s="27" t="s">
        <v>379</v>
      </c>
      <c r="S23" s="27" t="s">
        <v>154</v>
      </c>
      <c r="T23" s="27" t="s">
        <v>64</v>
      </c>
      <c r="U23" s="27">
        <v>10</v>
      </c>
      <c r="V23" s="27">
        <v>15</v>
      </c>
      <c r="W23" s="37">
        <v>-1.45E-4</v>
      </c>
      <c r="X23" s="27">
        <v>6</v>
      </c>
      <c r="Y23" s="38">
        <v>-1.25E-4</v>
      </c>
      <c r="Z23" s="27" t="s">
        <v>65</v>
      </c>
    </row>
    <row r="24" spans="2:26" x14ac:dyDescent="0.2">
      <c r="B24" s="27" t="s">
        <v>134</v>
      </c>
      <c r="C24" s="27">
        <v>193</v>
      </c>
      <c r="D24" s="27" t="s">
        <v>129</v>
      </c>
      <c r="E24" s="27" t="s">
        <v>106</v>
      </c>
      <c r="F24" s="27" t="s">
        <v>155</v>
      </c>
      <c r="G24" s="27" t="s">
        <v>63</v>
      </c>
      <c r="H24" s="27">
        <v>60</v>
      </c>
      <c r="I24" s="27">
        <v>17</v>
      </c>
      <c r="J24" s="37">
        <v>-7.7000000000000001E-5</v>
      </c>
      <c r="K24" s="27">
        <v>6</v>
      </c>
      <c r="L24" s="38">
        <v>-7.7000000000000001E-5</v>
      </c>
      <c r="M24" s="27" t="s">
        <v>65</v>
      </c>
      <c r="O24" s="27" t="s">
        <v>134</v>
      </c>
      <c r="P24" s="27">
        <v>193</v>
      </c>
      <c r="Q24" s="27" t="s">
        <v>129</v>
      </c>
      <c r="R24" s="27" t="s">
        <v>379</v>
      </c>
      <c r="S24" s="27" t="s">
        <v>155</v>
      </c>
      <c r="T24" s="27" t="s">
        <v>63</v>
      </c>
      <c r="U24" s="27">
        <v>10</v>
      </c>
      <c r="V24" s="27">
        <v>17</v>
      </c>
      <c r="W24" s="37">
        <v>-7.7000000000000001E-5</v>
      </c>
      <c r="X24" s="27">
        <v>6</v>
      </c>
      <c r="Y24" s="38">
        <v>-7.7000000000000001E-5</v>
      </c>
      <c r="Z24" s="27" t="s">
        <v>65</v>
      </c>
    </row>
    <row r="25" spans="2:26" x14ac:dyDescent="0.2">
      <c r="B25" s="27" t="s">
        <v>134</v>
      </c>
      <c r="C25" s="27">
        <v>193</v>
      </c>
      <c r="D25" s="27" t="s">
        <v>129</v>
      </c>
      <c r="E25" s="27" t="s">
        <v>106</v>
      </c>
      <c r="F25" s="27" t="s">
        <v>156</v>
      </c>
      <c r="G25" s="27" t="s">
        <v>64</v>
      </c>
      <c r="H25" s="27">
        <v>60</v>
      </c>
      <c r="I25" s="27">
        <v>17</v>
      </c>
      <c r="J25" s="37">
        <v>-1.11E-4</v>
      </c>
      <c r="K25" s="27">
        <v>6</v>
      </c>
      <c r="L25" s="38">
        <v>-1.11E-4</v>
      </c>
      <c r="M25" s="27" t="s">
        <v>65</v>
      </c>
      <c r="O25" s="27" t="s">
        <v>134</v>
      </c>
      <c r="P25" s="27">
        <v>193</v>
      </c>
      <c r="Q25" s="27" t="s">
        <v>129</v>
      </c>
      <c r="R25" s="27" t="s">
        <v>379</v>
      </c>
      <c r="S25" s="27" t="s">
        <v>156</v>
      </c>
      <c r="T25" s="27" t="s">
        <v>64</v>
      </c>
      <c r="U25" s="27">
        <v>10</v>
      </c>
      <c r="V25" s="27">
        <v>17</v>
      </c>
      <c r="W25" s="37">
        <v>-1.11E-4</v>
      </c>
      <c r="X25" s="27">
        <v>6</v>
      </c>
      <c r="Y25" s="38">
        <v>-1.1E-4</v>
      </c>
      <c r="Z25" s="27" t="s">
        <v>65</v>
      </c>
    </row>
    <row r="26" spans="2:26" x14ac:dyDescent="0.2">
      <c r="B26" s="27" t="s">
        <v>134</v>
      </c>
      <c r="C26" s="27">
        <v>204</v>
      </c>
      <c r="D26" s="27" t="s">
        <v>128</v>
      </c>
      <c r="E26" s="27" t="s">
        <v>106</v>
      </c>
      <c r="F26" s="27" t="s">
        <v>157</v>
      </c>
      <c r="G26" s="27" t="s">
        <v>63</v>
      </c>
      <c r="H26" s="27">
        <v>60</v>
      </c>
      <c r="I26" s="27">
        <v>17</v>
      </c>
      <c r="J26" s="37">
        <v>-9.2999999999999997E-5</v>
      </c>
      <c r="K26" s="27">
        <v>3</v>
      </c>
      <c r="L26" s="38">
        <v>-8.0000000000000007E-5</v>
      </c>
      <c r="M26" s="27" t="s">
        <v>65</v>
      </c>
      <c r="O26" s="27" t="s">
        <v>134</v>
      </c>
      <c r="P26" s="27">
        <v>204</v>
      </c>
      <c r="Q26" s="27" t="s">
        <v>128</v>
      </c>
      <c r="R26" s="27" t="s">
        <v>379</v>
      </c>
      <c r="S26" s="27" t="s">
        <v>157</v>
      </c>
      <c r="T26" s="27" t="s">
        <v>63</v>
      </c>
      <c r="U26" s="27">
        <v>10</v>
      </c>
      <c r="V26" s="27">
        <v>17</v>
      </c>
      <c r="W26" s="37">
        <v>-9.2999999999999997E-5</v>
      </c>
      <c r="X26" s="27">
        <v>3</v>
      </c>
      <c r="Y26" s="38">
        <v>-8.0000000000000007E-5</v>
      </c>
      <c r="Z26" s="27" t="s">
        <v>65</v>
      </c>
    </row>
    <row r="27" spans="2:26" x14ac:dyDescent="0.2">
      <c r="B27" s="27" t="s">
        <v>134</v>
      </c>
      <c r="C27" s="27">
        <v>204</v>
      </c>
      <c r="D27" s="27" t="s">
        <v>128</v>
      </c>
      <c r="E27" s="27" t="s">
        <v>106</v>
      </c>
      <c r="F27" s="27" t="s">
        <v>158</v>
      </c>
      <c r="G27" s="27" t="s">
        <v>64</v>
      </c>
      <c r="H27" s="27">
        <v>60</v>
      </c>
      <c r="I27" s="27">
        <v>22</v>
      </c>
      <c r="J27" s="37">
        <v>-4.1E-5</v>
      </c>
      <c r="K27" s="27">
        <v>1</v>
      </c>
      <c r="L27" s="38">
        <v>-3.6000000000000001E-5</v>
      </c>
      <c r="M27" s="27" t="s">
        <v>65</v>
      </c>
      <c r="O27" s="27" t="s">
        <v>134</v>
      </c>
      <c r="P27" s="27">
        <v>204</v>
      </c>
      <c r="Q27" s="27" t="s">
        <v>128</v>
      </c>
      <c r="R27" s="27" t="s">
        <v>379</v>
      </c>
      <c r="S27" s="27" t="s">
        <v>158</v>
      </c>
      <c r="T27" s="27" t="s">
        <v>64</v>
      </c>
      <c r="U27" s="27">
        <v>10</v>
      </c>
      <c r="V27" s="27">
        <v>22</v>
      </c>
      <c r="W27" s="37">
        <v>-4.1E-5</v>
      </c>
      <c r="X27" s="27">
        <v>1</v>
      </c>
      <c r="Y27" s="38">
        <v>-3.6000000000000001E-5</v>
      </c>
      <c r="Z27" s="27" t="s">
        <v>65</v>
      </c>
    </row>
    <row r="28" spans="2:26" x14ac:dyDescent="0.2">
      <c r="B28" s="27" t="s">
        <v>134</v>
      </c>
      <c r="C28" s="27">
        <v>205</v>
      </c>
      <c r="D28" s="27" t="s">
        <v>128</v>
      </c>
      <c r="E28" s="27" t="s">
        <v>106</v>
      </c>
      <c r="F28" s="27" t="s">
        <v>159</v>
      </c>
      <c r="G28" s="27" t="s">
        <v>63</v>
      </c>
      <c r="H28" s="27">
        <v>60</v>
      </c>
      <c r="I28" s="27">
        <v>20</v>
      </c>
      <c r="J28" s="37">
        <v>-1.47E-4</v>
      </c>
      <c r="K28" s="27">
        <v>4</v>
      </c>
      <c r="L28" s="38">
        <v>-1.25E-4</v>
      </c>
      <c r="M28" s="27" t="s">
        <v>65</v>
      </c>
      <c r="O28" s="27" t="s">
        <v>134</v>
      </c>
      <c r="P28" s="27">
        <v>205</v>
      </c>
      <c r="Q28" s="27" t="s">
        <v>128</v>
      </c>
      <c r="R28" s="27" t="s">
        <v>379</v>
      </c>
      <c r="S28" s="27" t="s">
        <v>159</v>
      </c>
      <c r="T28" s="27" t="s">
        <v>63</v>
      </c>
      <c r="U28" s="27">
        <v>10</v>
      </c>
      <c r="V28" s="27">
        <v>20</v>
      </c>
      <c r="W28" s="37">
        <v>-1.47E-4</v>
      </c>
      <c r="X28" s="27">
        <v>4</v>
      </c>
      <c r="Y28" s="38">
        <v>-1.25E-4</v>
      </c>
      <c r="Z28" s="27" t="s">
        <v>65</v>
      </c>
    </row>
    <row r="29" spans="2:26" x14ac:dyDescent="0.2">
      <c r="B29" s="27" t="s">
        <v>134</v>
      </c>
      <c r="C29" s="27">
        <v>205</v>
      </c>
      <c r="D29" s="27" t="s">
        <v>128</v>
      </c>
      <c r="E29" s="27" t="s">
        <v>106</v>
      </c>
      <c r="F29" s="27" t="s">
        <v>160</v>
      </c>
      <c r="G29" s="27" t="s">
        <v>64</v>
      </c>
      <c r="H29" s="27">
        <v>60</v>
      </c>
      <c r="I29" s="27">
        <v>17</v>
      </c>
      <c r="J29" s="37">
        <v>-1.9900000000000001E-4</v>
      </c>
      <c r="K29" s="27">
        <v>3</v>
      </c>
      <c r="L29" s="38">
        <v>-1.66E-4</v>
      </c>
      <c r="M29" s="27" t="s">
        <v>65</v>
      </c>
      <c r="O29" s="27" t="s">
        <v>134</v>
      </c>
      <c r="P29" s="27">
        <v>205</v>
      </c>
      <c r="Q29" s="27" t="s">
        <v>128</v>
      </c>
      <c r="R29" s="27" t="s">
        <v>379</v>
      </c>
      <c r="S29" s="27" t="s">
        <v>160</v>
      </c>
      <c r="T29" s="27" t="s">
        <v>64</v>
      </c>
      <c r="U29" s="27">
        <v>10</v>
      </c>
      <c r="V29" s="27">
        <v>17</v>
      </c>
      <c r="W29" s="37">
        <v>-1.9900000000000001E-4</v>
      </c>
      <c r="X29" s="27">
        <v>3</v>
      </c>
      <c r="Y29" s="38">
        <v>-1.66E-4</v>
      </c>
      <c r="Z29" s="27" t="s">
        <v>65</v>
      </c>
    </row>
    <row r="30" spans="2:26" x14ac:dyDescent="0.2">
      <c r="B30" s="27" t="s">
        <v>134</v>
      </c>
      <c r="C30" s="27">
        <v>192</v>
      </c>
      <c r="D30" s="27" t="s">
        <v>129</v>
      </c>
      <c r="E30" s="27" t="s">
        <v>106</v>
      </c>
      <c r="F30" s="27" t="s">
        <v>161</v>
      </c>
      <c r="G30" s="27" t="s">
        <v>63</v>
      </c>
      <c r="H30" s="27">
        <v>60</v>
      </c>
      <c r="I30" s="27">
        <v>15</v>
      </c>
      <c r="J30" s="37">
        <v>-7.7999999999999999E-5</v>
      </c>
      <c r="K30" s="27">
        <v>12</v>
      </c>
      <c r="L30" s="38">
        <v>-7.7999999999999999E-5</v>
      </c>
      <c r="M30" s="27" t="s">
        <v>65</v>
      </c>
      <c r="O30" s="27" t="s">
        <v>134</v>
      </c>
      <c r="P30" s="27">
        <v>192</v>
      </c>
      <c r="Q30" s="27" t="s">
        <v>129</v>
      </c>
      <c r="R30" s="27" t="s">
        <v>379</v>
      </c>
      <c r="S30" s="27" t="s">
        <v>161</v>
      </c>
      <c r="T30" s="27" t="s">
        <v>63</v>
      </c>
      <c r="U30" s="27">
        <v>10</v>
      </c>
      <c r="V30" s="27">
        <v>15</v>
      </c>
      <c r="W30" s="37">
        <v>-7.7999999999999999E-5</v>
      </c>
      <c r="X30" s="27">
        <v>12</v>
      </c>
      <c r="Y30" s="38">
        <v>-7.7999999999999999E-5</v>
      </c>
      <c r="Z30" s="27" t="s">
        <v>65</v>
      </c>
    </row>
    <row r="31" spans="2:26" x14ac:dyDescent="0.2">
      <c r="B31" s="27" t="s">
        <v>134</v>
      </c>
      <c r="C31" s="27">
        <v>192</v>
      </c>
      <c r="D31" s="27" t="s">
        <v>129</v>
      </c>
      <c r="E31" s="27" t="s">
        <v>106</v>
      </c>
      <c r="F31" s="27" t="s">
        <v>162</v>
      </c>
      <c r="G31" s="27" t="s">
        <v>64</v>
      </c>
      <c r="H31" s="27">
        <v>60</v>
      </c>
      <c r="I31" s="27">
        <v>17</v>
      </c>
      <c r="J31" s="37">
        <v>-1.1E-4</v>
      </c>
      <c r="K31" s="27">
        <v>6</v>
      </c>
      <c r="L31" s="38">
        <v>-1.1E-4</v>
      </c>
      <c r="M31" s="27" t="s">
        <v>65</v>
      </c>
      <c r="O31" s="27" t="s">
        <v>134</v>
      </c>
      <c r="P31" s="27">
        <v>192</v>
      </c>
      <c r="Q31" s="27" t="s">
        <v>129</v>
      </c>
      <c r="R31" s="27" t="s">
        <v>379</v>
      </c>
      <c r="S31" s="27" t="s">
        <v>162</v>
      </c>
      <c r="T31" s="27" t="s">
        <v>64</v>
      </c>
      <c r="U31" s="27">
        <v>10</v>
      </c>
      <c r="V31" s="27">
        <v>17</v>
      </c>
      <c r="W31" s="37">
        <v>-1.1E-4</v>
      </c>
      <c r="X31" s="27">
        <v>6</v>
      </c>
      <c r="Y31" s="38">
        <v>-1.1E-4</v>
      </c>
      <c r="Z31" s="27" t="s">
        <v>65</v>
      </c>
    </row>
    <row r="32" spans="2:26" x14ac:dyDescent="0.2">
      <c r="B32" s="27" t="s">
        <v>134</v>
      </c>
      <c r="C32" s="27">
        <v>207</v>
      </c>
      <c r="D32" s="27" t="s">
        <v>128</v>
      </c>
      <c r="E32" s="27" t="s">
        <v>106</v>
      </c>
      <c r="F32" s="27" t="s">
        <v>163</v>
      </c>
      <c r="G32" s="27" t="s">
        <v>63</v>
      </c>
      <c r="H32" s="27">
        <v>60</v>
      </c>
      <c r="I32" s="27">
        <v>20</v>
      </c>
      <c r="J32" s="37">
        <v>-1.16E-4</v>
      </c>
      <c r="K32" s="27">
        <v>4</v>
      </c>
      <c r="L32" s="38">
        <v>-1.01E-4</v>
      </c>
      <c r="M32" s="27" t="s">
        <v>65</v>
      </c>
      <c r="O32" s="27" t="s">
        <v>134</v>
      </c>
      <c r="P32" s="27">
        <v>207</v>
      </c>
      <c r="Q32" s="27" t="s">
        <v>128</v>
      </c>
      <c r="R32" s="27" t="s">
        <v>379</v>
      </c>
      <c r="S32" s="27" t="s">
        <v>163</v>
      </c>
      <c r="T32" s="27" t="s">
        <v>63</v>
      </c>
      <c r="U32" s="27">
        <v>10</v>
      </c>
      <c r="V32" s="27">
        <v>20</v>
      </c>
      <c r="W32" s="37">
        <v>-1.16E-4</v>
      </c>
      <c r="X32" s="27">
        <v>4</v>
      </c>
      <c r="Y32" s="38">
        <v>-1.01E-4</v>
      </c>
      <c r="Z32" s="27" t="s">
        <v>65</v>
      </c>
    </row>
    <row r="33" spans="2:26" x14ac:dyDescent="0.2">
      <c r="B33" s="27" t="s">
        <v>134</v>
      </c>
      <c r="C33" s="27">
        <v>207</v>
      </c>
      <c r="D33" s="27" t="s">
        <v>128</v>
      </c>
      <c r="E33" s="27" t="s">
        <v>106</v>
      </c>
      <c r="F33" s="27" t="s">
        <v>164</v>
      </c>
      <c r="G33" s="27" t="s">
        <v>64</v>
      </c>
      <c r="H33" s="27">
        <v>60</v>
      </c>
      <c r="I33" s="27">
        <v>17</v>
      </c>
      <c r="J33" s="37">
        <v>-1.47E-4</v>
      </c>
      <c r="K33" s="27">
        <v>3</v>
      </c>
      <c r="L33" s="38">
        <v>-1.27E-4</v>
      </c>
      <c r="M33" s="27" t="s">
        <v>65</v>
      </c>
      <c r="O33" s="27" t="s">
        <v>134</v>
      </c>
      <c r="P33" s="27">
        <v>207</v>
      </c>
      <c r="Q33" s="27" t="s">
        <v>128</v>
      </c>
      <c r="R33" s="27" t="s">
        <v>379</v>
      </c>
      <c r="S33" s="27" t="s">
        <v>164</v>
      </c>
      <c r="T33" s="27" t="s">
        <v>64</v>
      </c>
      <c r="U33" s="27">
        <v>10</v>
      </c>
      <c r="V33" s="27">
        <v>17</v>
      </c>
      <c r="W33" s="37">
        <v>-1.47E-4</v>
      </c>
      <c r="X33" s="27">
        <v>3</v>
      </c>
      <c r="Y33" s="38">
        <v>-1.27E-4</v>
      </c>
      <c r="Z33" s="27" t="s">
        <v>65</v>
      </c>
    </row>
    <row r="34" spans="2:26" x14ac:dyDescent="0.2">
      <c r="B34" s="27" t="s">
        <v>134</v>
      </c>
      <c r="C34" s="27">
        <v>208</v>
      </c>
      <c r="D34" s="27" t="s">
        <v>128</v>
      </c>
      <c r="E34" s="27" t="s">
        <v>106</v>
      </c>
      <c r="F34" s="27" t="s">
        <v>165</v>
      </c>
      <c r="G34" s="27" t="s">
        <v>63</v>
      </c>
      <c r="H34" s="27">
        <v>60</v>
      </c>
      <c r="I34" s="27">
        <v>21</v>
      </c>
      <c r="J34" s="37">
        <v>-1.12E-4</v>
      </c>
      <c r="K34" s="27">
        <v>1</v>
      </c>
      <c r="L34" s="38">
        <v>-9.7999999999999997E-5</v>
      </c>
      <c r="M34" s="27" t="s">
        <v>65</v>
      </c>
      <c r="O34" s="27" t="s">
        <v>134</v>
      </c>
      <c r="P34" s="27">
        <v>208</v>
      </c>
      <c r="Q34" s="27" t="s">
        <v>128</v>
      </c>
      <c r="R34" s="27" t="s">
        <v>379</v>
      </c>
      <c r="S34" s="27" t="s">
        <v>165</v>
      </c>
      <c r="T34" s="27" t="s">
        <v>63</v>
      </c>
      <c r="U34" s="27">
        <v>10</v>
      </c>
      <c r="V34" s="27">
        <v>20</v>
      </c>
      <c r="W34" s="37">
        <v>-1.11E-4</v>
      </c>
      <c r="X34" s="27">
        <v>1</v>
      </c>
      <c r="Y34" s="38">
        <v>-9.7999999999999997E-5</v>
      </c>
      <c r="Z34" s="27" t="s">
        <v>65</v>
      </c>
    </row>
    <row r="35" spans="2:26" x14ac:dyDescent="0.2">
      <c r="B35" s="27" t="s">
        <v>134</v>
      </c>
      <c r="C35" s="27">
        <v>208</v>
      </c>
      <c r="D35" s="27" t="s">
        <v>128</v>
      </c>
      <c r="E35" s="27" t="s">
        <v>106</v>
      </c>
      <c r="F35" s="27" t="s">
        <v>166</v>
      </c>
      <c r="G35" s="27" t="s">
        <v>64</v>
      </c>
      <c r="H35" s="27">
        <v>60</v>
      </c>
      <c r="I35" s="27">
        <v>17</v>
      </c>
      <c r="J35" s="37">
        <v>-1.45E-4</v>
      </c>
      <c r="K35" s="27">
        <v>3</v>
      </c>
      <c r="L35" s="38">
        <v>-1.25E-4</v>
      </c>
      <c r="M35" s="27" t="s">
        <v>65</v>
      </c>
      <c r="O35" s="27" t="s">
        <v>134</v>
      </c>
      <c r="P35" s="27">
        <v>208</v>
      </c>
      <c r="Q35" s="27" t="s">
        <v>128</v>
      </c>
      <c r="R35" s="27" t="s">
        <v>379</v>
      </c>
      <c r="S35" s="27" t="s">
        <v>166</v>
      </c>
      <c r="T35" s="27" t="s">
        <v>64</v>
      </c>
      <c r="U35" s="27">
        <v>10</v>
      </c>
      <c r="V35" s="27">
        <v>17</v>
      </c>
      <c r="W35" s="37">
        <v>-1.45E-4</v>
      </c>
      <c r="X35" s="27">
        <v>3</v>
      </c>
      <c r="Y35" s="38">
        <v>-1.25E-4</v>
      </c>
      <c r="Z35" s="27" t="s">
        <v>65</v>
      </c>
    </row>
    <row r="36" spans="2:26" x14ac:dyDescent="0.2">
      <c r="B36" s="27" t="s">
        <v>134</v>
      </c>
      <c r="C36" s="27">
        <v>194</v>
      </c>
      <c r="D36" s="27" t="s">
        <v>129</v>
      </c>
      <c r="E36" s="27" t="s">
        <v>106</v>
      </c>
      <c r="F36" s="27" t="s">
        <v>167</v>
      </c>
      <c r="G36" s="27" t="s">
        <v>63</v>
      </c>
      <c r="H36" s="27">
        <v>60</v>
      </c>
      <c r="I36" s="27">
        <v>16</v>
      </c>
      <c r="J36" s="37">
        <v>-7.7000000000000001E-5</v>
      </c>
      <c r="K36" s="27">
        <v>6</v>
      </c>
      <c r="L36" s="38">
        <v>-7.7000000000000001E-5</v>
      </c>
      <c r="M36" s="27" t="s">
        <v>65</v>
      </c>
      <c r="O36" s="27" t="s">
        <v>134</v>
      </c>
      <c r="P36" s="27">
        <v>194</v>
      </c>
      <c r="Q36" s="27" t="s">
        <v>129</v>
      </c>
      <c r="R36" s="27" t="s">
        <v>379</v>
      </c>
      <c r="S36" s="27" t="s">
        <v>167</v>
      </c>
      <c r="T36" s="27" t="s">
        <v>63</v>
      </c>
      <c r="U36" s="27">
        <v>10</v>
      </c>
      <c r="V36" s="27">
        <v>16</v>
      </c>
      <c r="W36" s="37">
        <v>-7.7000000000000001E-5</v>
      </c>
      <c r="X36" s="27">
        <v>6</v>
      </c>
      <c r="Y36" s="38">
        <v>-7.7000000000000001E-5</v>
      </c>
      <c r="Z36" s="27" t="s">
        <v>65</v>
      </c>
    </row>
    <row r="37" spans="2:26" x14ac:dyDescent="0.2">
      <c r="B37" s="27" t="s">
        <v>134</v>
      </c>
      <c r="C37" s="27">
        <v>194</v>
      </c>
      <c r="D37" s="27" t="s">
        <v>129</v>
      </c>
      <c r="E37" s="27" t="s">
        <v>106</v>
      </c>
      <c r="F37" s="27" t="s">
        <v>168</v>
      </c>
      <c r="G37" s="27" t="s">
        <v>64</v>
      </c>
      <c r="H37" s="27">
        <v>60</v>
      </c>
      <c r="I37" s="27">
        <v>16</v>
      </c>
      <c r="J37" s="37">
        <v>-1.11E-4</v>
      </c>
      <c r="K37" s="27">
        <v>6</v>
      </c>
      <c r="L37" s="38">
        <v>-1.12E-4</v>
      </c>
      <c r="M37" s="27" t="s">
        <v>65</v>
      </c>
      <c r="O37" s="27" t="s">
        <v>134</v>
      </c>
      <c r="P37" s="27">
        <v>194</v>
      </c>
      <c r="Q37" s="27" t="s">
        <v>129</v>
      </c>
      <c r="R37" s="27" t="s">
        <v>379</v>
      </c>
      <c r="S37" s="27" t="s">
        <v>168</v>
      </c>
      <c r="T37" s="27" t="s">
        <v>64</v>
      </c>
      <c r="U37" s="27">
        <v>10</v>
      </c>
      <c r="V37" s="27">
        <v>16</v>
      </c>
      <c r="W37" s="37">
        <v>-1.11E-4</v>
      </c>
      <c r="X37" s="27">
        <v>6</v>
      </c>
      <c r="Y37" s="38">
        <v>-1.11E-4</v>
      </c>
      <c r="Z37" s="27" t="s">
        <v>65</v>
      </c>
    </row>
    <row r="38" spans="2:26" x14ac:dyDescent="0.2">
      <c r="B38" s="27" t="s">
        <v>134</v>
      </c>
      <c r="C38" s="27">
        <v>203</v>
      </c>
      <c r="D38" s="27" t="s">
        <v>128</v>
      </c>
      <c r="E38" s="27" t="s">
        <v>106</v>
      </c>
      <c r="F38" s="27" t="s">
        <v>169</v>
      </c>
      <c r="G38" s="27" t="s">
        <v>63</v>
      </c>
      <c r="H38" s="27">
        <v>60</v>
      </c>
      <c r="I38" s="27">
        <v>15</v>
      </c>
      <c r="J38" s="37">
        <v>-9.1000000000000003E-5</v>
      </c>
      <c r="K38" s="27">
        <v>6</v>
      </c>
      <c r="L38" s="38">
        <v>-7.7999999999999999E-5</v>
      </c>
      <c r="M38" s="27" t="s">
        <v>65</v>
      </c>
      <c r="O38" s="27" t="s">
        <v>134</v>
      </c>
      <c r="P38" s="27">
        <v>203</v>
      </c>
      <c r="Q38" s="27" t="s">
        <v>128</v>
      </c>
      <c r="R38" s="27" t="s">
        <v>379</v>
      </c>
      <c r="S38" s="27" t="s">
        <v>169</v>
      </c>
      <c r="T38" s="27" t="s">
        <v>63</v>
      </c>
      <c r="U38" s="27">
        <v>10</v>
      </c>
      <c r="V38" s="27">
        <v>15</v>
      </c>
      <c r="W38" s="37">
        <v>-9.1000000000000003E-5</v>
      </c>
      <c r="X38" s="27">
        <v>6</v>
      </c>
      <c r="Y38" s="38">
        <v>-7.7999999999999999E-5</v>
      </c>
      <c r="Z38" s="27" t="s">
        <v>65</v>
      </c>
    </row>
    <row r="39" spans="2:26" x14ac:dyDescent="0.2">
      <c r="B39" s="27" t="s">
        <v>134</v>
      </c>
      <c r="C39" s="27">
        <v>203</v>
      </c>
      <c r="D39" s="27" t="s">
        <v>128</v>
      </c>
      <c r="E39" s="27" t="s">
        <v>106</v>
      </c>
      <c r="F39" s="27" t="s">
        <v>170</v>
      </c>
      <c r="G39" s="27" t="s">
        <v>64</v>
      </c>
      <c r="H39" s="27">
        <v>60</v>
      </c>
      <c r="I39" s="27">
        <v>22</v>
      </c>
      <c r="J39" s="37">
        <v>-4.8000000000000001E-5</v>
      </c>
      <c r="K39" s="27">
        <v>1</v>
      </c>
      <c r="L39" s="38">
        <v>-4.3000000000000002E-5</v>
      </c>
      <c r="M39" s="27" t="s">
        <v>65</v>
      </c>
      <c r="O39" s="27" t="s">
        <v>134</v>
      </c>
      <c r="P39" s="27">
        <v>203</v>
      </c>
      <c r="Q39" s="27" t="s">
        <v>128</v>
      </c>
      <c r="R39" s="27" t="s">
        <v>379</v>
      </c>
      <c r="S39" s="27" t="s">
        <v>170</v>
      </c>
      <c r="T39" s="27" t="s">
        <v>64</v>
      </c>
      <c r="U39" s="27">
        <v>10</v>
      </c>
      <c r="V39" s="27">
        <v>22</v>
      </c>
      <c r="W39" s="37">
        <v>-4.8000000000000001E-5</v>
      </c>
      <c r="X39" s="27">
        <v>1</v>
      </c>
      <c r="Y39" s="38">
        <v>-4.3000000000000002E-5</v>
      </c>
      <c r="Z39" s="27" t="s">
        <v>65</v>
      </c>
    </row>
    <row r="40" spans="2:26" x14ac:dyDescent="0.2">
      <c r="B40" s="27" t="s">
        <v>134</v>
      </c>
      <c r="C40" s="27">
        <v>187</v>
      </c>
      <c r="D40" s="27" t="s">
        <v>127</v>
      </c>
      <c r="E40" s="27" t="s">
        <v>106</v>
      </c>
      <c r="F40" s="27" t="s">
        <v>171</v>
      </c>
      <c r="G40" s="27" t="s">
        <v>63</v>
      </c>
      <c r="H40" s="27">
        <v>60</v>
      </c>
      <c r="I40" s="27">
        <v>16</v>
      </c>
      <c r="J40" s="37">
        <v>-5.53E-4</v>
      </c>
      <c r="K40" s="27">
        <v>6</v>
      </c>
      <c r="L40" s="38">
        <v>5.6599999999999999E-4</v>
      </c>
      <c r="M40" s="27" t="s">
        <v>65</v>
      </c>
      <c r="O40" s="27" t="s">
        <v>134</v>
      </c>
      <c r="P40" s="27">
        <v>187</v>
      </c>
      <c r="Q40" s="27" t="s">
        <v>127</v>
      </c>
      <c r="R40" s="27" t="s">
        <v>379</v>
      </c>
      <c r="S40" s="27" t="s">
        <v>171</v>
      </c>
      <c r="T40" s="27" t="s">
        <v>63</v>
      </c>
      <c r="U40" s="27">
        <v>10</v>
      </c>
      <c r="V40" s="27">
        <v>16</v>
      </c>
      <c r="W40" s="37">
        <v>-5.53E-4</v>
      </c>
      <c r="X40" s="27">
        <v>6</v>
      </c>
      <c r="Y40" s="38">
        <v>5.6599999999999999E-4</v>
      </c>
      <c r="Z40" s="27" t="s">
        <v>65</v>
      </c>
    </row>
    <row r="41" spans="2:26" x14ac:dyDescent="0.2">
      <c r="B41" s="27" t="s">
        <v>134</v>
      </c>
      <c r="C41" s="27">
        <v>187</v>
      </c>
      <c r="D41" s="27" t="s">
        <v>127</v>
      </c>
      <c r="E41" s="27" t="s">
        <v>106</v>
      </c>
      <c r="F41" s="27" t="s">
        <v>172</v>
      </c>
      <c r="G41" s="27" t="s">
        <v>64</v>
      </c>
      <c r="H41" s="27">
        <v>60</v>
      </c>
      <c r="I41" s="27">
        <v>9</v>
      </c>
      <c r="J41" s="37">
        <v>-5.1800000000000001E-4</v>
      </c>
      <c r="K41" s="27">
        <v>1</v>
      </c>
      <c r="L41" s="38">
        <v>5.22E-4</v>
      </c>
      <c r="M41" s="27" t="s">
        <v>65</v>
      </c>
      <c r="O41" s="27" t="s">
        <v>134</v>
      </c>
      <c r="P41" s="27">
        <v>187</v>
      </c>
      <c r="Q41" s="27" t="s">
        <v>127</v>
      </c>
      <c r="R41" s="27" t="s">
        <v>379</v>
      </c>
      <c r="S41" s="27" t="s">
        <v>172</v>
      </c>
      <c r="T41" s="27" t="s">
        <v>64</v>
      </c>
      <c r="U41" s="27">
        <v>10</v>
      </c>
      <c r="V41" s="27">
        <v>9</v>
      </c>
      <c r="W41" s="37">
        <v>-5.1699999999999999E-4</v>
      </c>
      <c r="X41" s="27">
        <v>1</v>
      </c>
      <c r="Y41" s="38">
        <v>5.22E-4</v>
      </c>
      <c r="Z41" s="27" t="s">
        <v>65</v>
      </c>
    </row>
    <row r="42" spans="2:26" x14ac:dyDescent="0.2">
      <c r="B42" s="27" t="s">
        <v>134</v>
      </c>
      <c r="C42" s="27">
        <v>199</v>
      </c>
      <c r="D42" s="27" t="s">
        <v>128</v>
      </c>
      <c r="E42" s="27" t="s">
        <v>106</v>
      </c>
      <c r="F42" s="27" t="s">
        <v>173</v>
      </c>
      <c r="G42" s="27" t="s">
        <v>63</v>
      </c>
      <c r="H42" s="27">
        <v>60</v>
      </c>
      <c r="I42" s="27">
        <v>22</v>
      </c>
      <c r="J42" s="37">
        <v>-1.3799999999999999E-4</v>
      </c>
      <c r="K42" s="27">
        <v>1</v>
      </c>
      <c r="L42" s="38">
        <v>-1.3200000000000001E-4</v>
      </c>
      <c r="M42" s="27" t="s">
        <v>65</v>
      </c>
      <c r="O42" s="27" t="s">
        <v>134</v>
      </c>
      <c r="P42" s="27">
        <v>199</v>
      </c>
      <c r="Q42" s="27" t="s">
        <v>128</v>
      </c>
      <c r="R42" s="27" t="s">
        <v>379</v>
      </c>
      <c r="S42" s="27" t="s">
        <v>173</v>
      </c>
      <c r="T42" s="27" t="s">
        <v>63</v>
      </c>
      <c r="U42" s="27">
        <v>10</v>
      </c>
      <c r="V42" s="27">
        <v>22</v>
      </c>
      <c r="W42" s="37">
        <v>-1.3799999999999999E-4</v>
      </c>
      <c r="X42" s="27">
        <v>1</v>
      </c>
      <c r="Y42" s="38">
        <v>-1.3200000000000001E-4</v>
      </c>
      <c r="Z42" s="27" t="s">
        <v>65</v>
      </c>
    </row>
    <row r="43" spans="2:26" x14ac:dyDescent="0.2">
      <c r="B43" s="27" t="s">
        <v>134</v>
      </c>
      <c r="C43" s="27">
        <v>199</v>
      </c>
      <c r="D43" s="27" t="s">
        <v>128</v>
      </c>
      <c r="E43" s="27" t="s">
        <v>106</v>
      </c>
      <c r="F43" s="27" t="s">
        <v>174</v>
      </c>
      <c r="G43" s="27" t="s">
        <v>64</v>
      </c>
      <c r="H43" s="27">
        <v>60</v>
      </c>
      <c r="I43" s="27">
        <v>15</v>
      </c>
      <c r="J43" s="37">
        <v>-1.84E-4</v>
      </c>
      <c r="K43" s="27">
        <v>6</v>
      </c>
      <c r="L43" s="38">
        <v>-1.7100000000000001E-4</v>
      </c>
      <c r="M43" s="27" t="s">
        <v>65</v>
      </c>
      <c r="O43" s="27" t="s">
        <v>134</v>
      </c>
      <c r="P43" s="27">
        <v>199</v>
      </c>
      <c r="Q43" s="27" t="s">
        <v>128</v>
      </c>
      <c r="R43" s="27" t="s">
        <v>379</v>
      </c>
      <c r="S43" s="27" t="s">
        <v>174</v>
      </c>
      <c r="T43" s="27" t="s">
        <v>64</v>
      </c>
      <c r="U43" s="27">
        <v>10</v>
      </c>
      <c r="V43" s="27">
        <v>15</v>
      </c>
      <c r="W43" s="37">
        <v>-1.84E-4</v>
      </c>
      <c r="X43" s="27">
        <v>6</v>
      </c>
      <c r="Y43" s="38">
        <v>-1.7100000000000001E-4</v>
      </c>
      <c r="Z43" s="27" t="s">
        <v>65</v>
      </c>
    </row>
    <row r="44" spans="2:26" x14ac:dyDescent="0.2">
      <c r="B44" s="27" t="s">
        <v>134</v>
      </c>
      <c r="C44" s="27">
        <v>195</v>
      </c>
      <c r="D44" s="27" t="s">
        <v>129</v>
      </c>
      <c r="E44" s="27" t="s">
        <v>106</v>
      </c>
      <c r="F44" s="27" t="s">
        <v>175</v>
      </c>
      <c r="G44" s="27" t="s">
        <v>63</v>
      </c>
      <c r="H44" s="27">
        <v>60</v>
      </c>
      <c r="I44" s="27">
        <v>17</v>
      </c>
      <c r="J44" s="37">
        <v>-2.4000000000000001E-4</v>
      </c>
      <c r="K44" s="27">
        <v>6</v>
      </c>
      <c r="L44" s="38">
        <v>-2.0900000000000001E-4</v>
      </c>
      <c r="M44" s="27" t="s">
        <v>65</v>
      </c>
      <c r="O44" s="27" t="s">
        <v>134</v>
      </c>
      <c r="P44" s="27">
        <v>195</v>
      </c>
      <c r="Q44" s="27" t="s">
        <v>129</v>
      </c>
      <c r="R44" s="27" t="s">
        <v>379</v>
      </c>
      <c r="S44" s="27" t="s">
        <v>175</v>
      </c>
      <c r="T44" s="27" t="s">
        <v>63</v>
      </c>
      <c r="U44" s="27">
        <v>10</v>
      </c>
      <c r="V44" s="27">
        <v>17</v>
      </c>
      <c r="W44" s="37">
        <v>-2.4000000000000001E-4</v>
      </c>
      <c r="X44" s="27">
        <v>6</v>
      </c>
      <c r="Y44" s="38">
        <v>-2.1000000000000001E-4</v>
      </c>
      <c r="Z44" s="27" t="s">
        <v>65</v>
      </c>
    </row>
    <row r="45" spans="2:26" x14ac:dyDescent="0.2">
      <c r="B45" s="27" t="s">
        <v>134</v>
      </c>
      <c r="C45" s="27">
        <v>195</v>
      </c>
      <c r="D45" s="27" t="s">
        <v>129</v>
      </c>
      <c r="E45" s="27" t="s">
        <v>106</v>
      </c>
      <c r="F45" s="27" t="s">
        <v>176</v>
      </c>
      <c r="G45" s="27" t="s">
        <v>64</v>
      </c>
      <c r="H45" s="27">
        <v>60</v>
      </c>
      <c r="I45" s="27">
        <v>15</v>
      </c>
      <c r="J45" s="37">
        <v>-2.41E-4</v>
      </c>
      <c r="K45" s="27">
        <v>12</v>
      </c>
      <c r="L45" s="38">
        <v>-2.1100000000000001E-4</v>
      </c>
      <c r="M45" s="27" t="s">
        <v>65</v>
      </c>
      <c r="O45" s="27" t="s">
        <v>134</v>
      </c>
      <c r="P45" s="27">
        <v>195</v>
      </c>
      <c r="Q45" s="27" t="s">
        <v>129</v>
      </c>
      <c r="R45" s="27" t="s">
        <v>379</v>
      </c>
      <c r="S45" s="27" t="s">
        <v>176</v>
      </c>
      <c r="T45" s="27" t="s">
        <v>64</v>
      </c>
      <c r="U45" s="27">
        <v>10</v>
      </c>
      <c r="V45" s="27">
        <v>15</v>
      </c>
      <c r="W45" s="37">
        <v>-2.4000000000000001E-4</v>
      </c>
      <c r="X45" s="27">
        <v>12</v>
      </c>
      <c r="Y45" s="38">
        <v>-2.1100000000000001E-4</v>
      </c>
      <c r="Z45" s="27" t="s">
        <v>65</v>
      </c>
    </row>
    <row r="46" spans="2:26" x14ac:dyDescent="0.2">
      <c r="B46" s="27" t="s">
        <v>134</v>
      </c>
      <c r="C46" s="27">
        <v>196</v>
      </c>
      <c r="D46" s="27" t="s">
        <v>129</v>
      </c>
      <c r="E46" s="27" t="s">
        <v>106</v>
      </c>
      <c r="F46" s="27" t="s">
        <v>177</v>
      </c>
      <c r="G46" s="27" t="s">
        <v>63</v>
      </c>
      <c r="H46" s="27">
        <v>60</v>
      </c>
      <c r="I46" s="27">
        <v>17</v>
      </c>
      <c r="J46" s="37">
        <v>-2.4000000000000001E-4</v>
      </c>
      <c r="K46" s="27">
        <v>6</v>
      </c>
      <c r="L46" s="38">
        <v>-2.1000000000000001E-4</v>
      </c>
      <c r="M46" s="27" t="s">
        <v>65</v>
      </c>
      <c r="O46" s="27" t="s">
        <v>134</v>
      </c>
      <c r="P46" s="27">
        <v>196</v>
      </c>
      <c r="Q46" s="27" t="s">
        <v>129</v>
      </c>
      <c r="R46" s="27" t="s">
        <v>379</v>
      </c>
      <c r="S46" s="27" t="s">
        <v>177</v>
      </c>
      <c r="T46" s="27" t="s">
        <v>63</v>
      </c>
      <c r="U46" s="27">
        <v>10</v>
      </c>
      <c r="V46" s="27">
        <v>17</v>
      </c>
      <c r="W46" s="37">
        <v>-2.4000000000000001E-4</v>
      </c>
      <c r="X46" s="27">
        <v>6</v>
      </c>
      <c r="Y46" s="38">
        <v>-2.1000000000000001E-4</v>
      </c>
      <c r="Z46" s="27" t="s">
        <v>65</v>
      </c>
    </row>
    <row r="47" spans="2:26" x14ac:dyDescent="0.2">
      <c r="B47" s="27" t="s">
        <v>134</v>
      </c>
      <c r="C47" s="27">
        <v>196</v>
      </c>
      <c r="D47" s="27" t="s">
        <v>129</v>
      </c>
      <c r="E47" s="27" t="s">
        <v>106</v>
      </c>
      <c r="F47" s="27" t="s">
        <v>178</v>
      </c>
      <c r="G47" s="27" t="s">
        <v>64</v>
      </c>
      <c r="H47" s="27">
        <v>60</v>
      </c>
      <c r="I47" s="27">
        <v>15</v>
      </c>
      <c r="J47" s="37">
        <v>-2.4000000000000001E-4</v>
      </c>
      <c r="K47" s="27">
        <v>12</v>
      </c>
      <c r="L47" s="38">
        <v>-2.1100000000000001E-4</v>
      </c>
      <c r="M47" s="27" t="s">
        <v>65</v>
      </c>
      <c r="O47" s="27" t="s">
        <v>134</v>
      </c>
      <c r="P47" s="27">
        <v>196</v>
      </c>
      <c r="Q47" s="27" t="s">
        <v>129</v>
      </c>
      <c r="R47" s="27" t="s">
        <v>379</v>
      </c>
      <c r="S47" s="27" t="s">
        <v>178</v>
      </c>
      <c r="T47" s="27" t="s">
        <v>64</v>
      </c>
      <c r="U47" s="27">
        <v>10</v>
      </c>
      <c r="V47" s="27">
        <v>15</v>
      </c>
      <c r="W47" s="37">
        <v>-2.4000000000000001E-4</v>
      </c>
      <c r="X47" s="27">
        <v>12</v>
      </c>
      <c r="Y47" s="38">
        <v>-2.1100000000000001E-4</v>
      </c>
      <c r="Z47" s="27" t="s">
        <v>65</v>
      </c>
    </row>
    <row r="48" spans="2:26" x14ac:dyDescent="0.2">
      <c r="B48" s="27" t="s">
        <v>134</v>
      </c>
      <c r="C48" s="27">
        <v>200</v>
      </c>
      <c r="D48" s="27" t="s">
        <v>128</v>
      </c>
      <c r="E48" s="27" t="s">
        <v>106</v>
      </c>
      <c r="F48" s="27" t="s">
        <v>179</v>
      </c>
      <c r="G48" s="27" t="s">
        <v>63</v>
      </c>
      <c r="H48" s="27">
        <v>60</v>
      </c>
      <c r="I48" s="27">
        <v>22</v>
      </c>
      <c r="J48" s="37">
        <v>-1.4899999999999999E-4</v>
      </c>
      <c r="K48" s="27">
        <v>1</v>
      </c>
      <c r="L48" s="38">
        <v>-1.3999999999999999E-4</v>
      </c>
      <c r="M48" s="27" t="s">
        <v>65</v>
      </c>
      <c r="O48" s="27" t="s">
        <v>134</v>
      </c>
      <c r="P48" s="27">
        <v>200</v>
      </c>
      <c r="Q48" s="27" t="s">
        <v>128</v>
      </c>
      <c r="R48" s="27" t="s">
        <v>379</v>
      </c>
      <c r="S48" s="27" t="s">
        <v>179</v>
      </c>
      <c r="T48" s="27" t="s">
        <v>63</v>
      </c>
      <c r="U48" s="27">
        <v>10</v>
      </c>
      <c r="V48" s="27">
        <v>22</v>
      </c>
      <c r="W48" s="37">
        <v>-1.4799999999999999E-4</v>
      </c>
      <c r="X48" s="27">
        <v>1</v>
      </c>
      <c r="Y48" s="38">
        <v>-1.3999999999999999E-4</v>
      </c>
      <c r="Z48" s="27" t="s">
        <v>65</v>
      </c>
    </row>
    <row r="49" spans="2:26" x14ac:dyDescent="0.2">
      <c r="B49" s="27" t="s">
        <v>134</v>
      </c>
      <c r="C49" s="27">
        <v>200</v>
      </c>
      <c r="D49" s="27" t="s">
        <v>128</v>
      </c>
      <c r="E49" s="27" t="s">
        <v>106</v>
      </c>
      <c r="F49" s="27" t="s">
        <v>180</v>
      </c>
      <c r="G49" s="27" t="s">
        <v>64</v>
      </c>
      <c r="H49" s="27">
        <v>60</v>
      </c>
      <c r="I49" s="27">
        <v>15</v>
      </c>
      <c r="J49" s="37">
        <v>-1.9799999999999999E-4</v>
      </c>
      <c r="K49" s="27">
        <v>6</v>
      </c>
      <c r="L49" s="38">
        <v>-1.8200000000000001E-4</v>
      </c>
      <c r="M49" s="27" t="s">
        <v>65</v>
      </c>
      <c r="O49" s="27" t="s">
        <v>134</v>
      </c>
      <c r="P49" s="27">
        <v>200</v>
      </c>
      <c r="Q49" s="27" t="s">
        <v>128</v>
      </c>
      <c r="R49" s="27" t="s">
        <v>379</v>
      </c>
      <c r="S49" s="27" t="s">
        <v>180</v>
      </c>
      <c r="T49" s="27" t="s">
        <v>64</v>
      </c>
      <c r="U49" s="27">
        <v>10</v>
      </c>
      <c r="V49" s="27">
        <v>15</v>
      </c>
      <c r="W49" s="37">
        <v>-1.9799999999999999E-4</v>
      </c>
      <c r="X49" s="27">
        <v>6</v>
      </c>
      <c r="Y49" s="38">
        <v>-1.8200000000000001E-4</v>
      </c>
      <c r="Z49" s="27" t="s">
        <v>65</v>
      </c>
    </row>
    <row r="50" spans="2:26" x14ac:dyDescent="0.2">
      <c r="B50" s="27" t="s">
        <v>134</v>
      </c>
      <c r="C50" s="27">
        <v>188</v>
      </c>
      <c r="D50" s="27" t="s">
        <v>127</v>
      </c>
      <c r="E50" s="27" t="s">
        <v>106</v>
      </c>
      <c r="F50" s="27" t="s">
        <v>181</v>
      </c>
      <c r="G50" s="27" t="s">
        <v>63</v>
      </c>
      <c r="H50" s="27">
        <v>60</v>
      </c>
      <c r="I50" s="27">
        <v>11</v>
      </c>
      <c r="J50" s="37">
        <v>-3.4400000000000001E-4</v>
      </c>
      <c r="K50" s="27">
        <v>4</v>
      </c>
      <c r="L50" s="38">
        <v>3.1799999999999998E-4</v>
      </c>
      <c r="M50" s="27" t="s">
        <v>65</v>
      </c>
      <c r="O50" s="27" t="s">
        <v>134</v>
      </c>
      <c r="P50" s="27">
        <v>188</v>
      </c>
      <c r="Q50" s="27" t="s">
        <v>127</v>
      </c>
      <c r="R50" s="27" t="s">
        <v>379</v>
      </c>
      <c r="S50" s="27" t="s">
        <v>181</v>
      </c>
      <c r="T50" s="27" t="s">
        <v>63</v>
      </c>
      <c r="U50" s="27">
        <v>10</v>
      </c>
      <c r="V50" s="27">
        <v>11</v>
      </c>
      <c r="W50" s="37">
        <v>-3.4400000000000001E-4</v>
      </c>
      <c r="X50" s="27">
        <v>4</v>
      </c>
      <c r="Y50" s="38">
        <v>3.1799999999999998E-4</v>
      </c>
      <c r="Z50" s="27" t="s">
        <v>65</v>
      </c>
    </row>
    <row r="51" spans="2:26" x14ac:dyDescent="0.2">
      <c r="B51" s="27" t="s">
        <v>134</v>
      </c>
      <c r="C51" s="27">
        <v>188</v>
      </c>
      <c r="D51" s="27" t="s">
        <v>127</v>
      </c>
      <c r="E51" s="27" t="s">
        <v>106</v>
      </c>
      <c r="F51" s="27" t="s">
        <v>182</v>
      </c>
      <c r="G51" s="27" t="s">
        <v>64</v>
      </c>
      <c r="H51" s="27">
        <v>60</v>
      </c>
      <c r="I51" s="27">
        <v>14</v>
      </c>
      <c r="J51" s="37">
        <v>-2.0799999999999999E-4</v>
      </c>
      <c r="K51" s="27">
        <v>4</v>
      </c>
      <c r="L51" s="38">
        <v>-1.73E-4</v>
      </c>
      <c r="M51" s="27" t="s">
        <v>65</v>
      </c>
      <c r="O51" s="27" t="s">
        <v>134</v>
      </c>
      <c r="P51" s="27">
        <v>188</v>
      </c>
      <c r="Q51" s="27" t="s">
        <v>127</v>
      </c>
      <c r="R51" s="27" t="s">
        <v>379</v>
      </c>
      <c r="S51" s="27" t="s">
        <v>182</v>
      </c>
      <c r="T51" s="27" t="s">
        <v>64</v>
      </c>
      <c r="U51" s="27">
        <v>10</v>
      </c>
      <c r="V51" s="27">
        <v>14</v>
      </c>
      <c r="W51" s="37">
        <v>-2.0799999999999999E-4</v>
      </c>
      <c r="X51" s="27">
        <v>4</v>
      </c>
      <c r="Y51" s="38">
        <v>-1.74E-4</v>
      </c>
      <c r="Z51" s="27" t="s">
        <v>65</v>
      </c>
    </row>
    <row r="52" spans="2:26" x14ac:dyDescent="0.2">
      <c r="B52" s="27" t="s">
        <v>183</v>
      </c>
      <c r="C52" s="27">
        <v>251</v>
      </c>
      <c r="D52" s="27" t="s">
        <v>127</v>
      </c>
      <c r="E52" s="27" t="s">
        <v>106</v>
      </c>
      <c r="F52" s="27" t="s">
        <v>184</v>
      </c>
      <c r="G52" s="27" t="s">
        <v>63</v>
      </c>
      <c r="H52" s="27">
        <v>60</v>
      </c>
      <c r="I52" s="27">
        <v>14</v>
      </c>
      <c r="J52" s="37">
        <v>-5.53E-4</v>
      </c>
      <c r="K52" s="27">
        <v>4</v>
      </c>
      <c r="L52" s="38">
        <v>-4.6299999999999998E-4</v>
      </c>
      <c r="M52" s="27" t="s">
        <v>65</v>
      </c>
      <c r="O52" s="27" t="s">
        <v>183</v>
      </c>
      <c r="P52" s="27">
        <v>251</v>
      </c>
      <c r="Q52" s="27" t="s">
        <v>127</v>
      </c>
      <c r="R52" s="27" t="s">
        <v>379</v>
      </c>
      <c r="S52" s="27" t="s">
        <v>184</v>
      </c>
      <c r="T52" s="27" t="s">
        <v>63</v>
      </c>
      <c r="U52" s="27">
        <v>10</v>
      </c>
      <c r="V52" s="27">
        <v>14</v>
      </c>
      <c r="W52" s="37">
        <v>-5.5199999999999997E-4</v>
      </c>
      <c r="X52" s="27">
        <v>4</v>
      </c>
      <c r="Y52" s="38">
        <v>-4.6200000000000001E-4</v>
      </c>
      <c r="Z52" s="27" t="s">
        <v>65</v>
      </c>
    </row>
    <row r="53" spans="2:26" x14ac:dyDescent="0.2">
      <c r="B53" s="27" t="s">
        <v>183</v>
      </c>
      <c r="C53" s="27">
        <v>251</v>
      </c>
      <c r="D53" s="27" t="s">
        <v>127</v>
      </c>
      <c r="E53" s="27" t="s">
        <v>106</v>
      </c>
      <c r="F53" s="27" t="s">
        <v>185</v>
      </c>
      <c r="G53" s="27" t="s">
        <v>64</v>
      </c>
      <c r="H53" s="27">
        <v>60</v>
      </c>
      <c r="I53" s="27">
        <v>11</v>
      </c>
      <c r="J53" s="37">
        <v>-3.97E-4</v>
      </c>
      <c r="K53" s="27">
        <v>3</v>
      </c>
      <c r="L53" s="38">
        <v>-3.39E-4</v>
      </c>
      <c r="M53" s="27" t="s">
        <v>65</v>
      </c>
      <c r="O53" s="27" t="s">
        <v>183</v>
      </c>
      <c r="P53" s="27">
        <v>251</v>
      </c>
      <c r="Q53" s="27" t="s">
        <v>127</v>
      </c>
      <c r="R53" s="27" t="s">
        <v>379</v>
      </c>
      <c r="S53" s="27" t="s">
        <v>185</v>
      </c>
      <c r="T53" s="27" t="s">
        <v>64</v>
      </c>
      <c r="U53" s="27">
        <v>10</v>
      </c>
      <c r="V53" s="27">
        <v>11</v>
      </c>
      <c r="W53" s="37">
        <v>-3.97E-4</v>
      </c>
      <c r="X53" s="27">
        <v>3</v>
      </c>
      <c r="Y53" s="38">
        <v>-3.3799999999999998E-4</v>
      </c>
      <c r="Z53" s="27" t="s">
        <v>65</v>
      </c>
    </row>
    <row r="54" spans="2:26" x14ac:dyDescent="0.2">
      <c r="B54" s="27" t="s">
        <v>183</v>
      </c>
      <c r="C54" s="27">
        <v>263</v>
      </c>
      <c r="D54" s="27" t="s">
        <v>128</v>
      </c>
      <c r="E54" s="27" t="s">
        <v>106</v>
      </c>
      <c r="F54" s="27" t="s">
        <v>186</v>
      </c>
      <c r="G54" s="27" t="s">
        <v>63</v>
      </c>
      <c r="H54" s="27">
        <v>60</v>
      </c>
      <c r="I54" s="27">
        <v>20</v>
      </c>
      <c r="J54" s="37">
        <v>-1.8799999999999999E-4</v>
      </c>
      <c r="K54" s="27">
        <v>4</v>
      </c>
      <c r="L54" s="38">
        <v>-1.75E-4</v>
      </c>
      <c r="M54" s="27" t="s">
        <v>65</v>
      </c>
      <c r="O54" s="27" t="s">
        <v>183</v>
      </c>
      <c r="P54" s="27">
        <v>263</v>
      </c>
      <c r="Q54" s="27" t="s">
        <v>128</v>
      </c>
      <c r="R54" s="27" t="s">
        <v>379</v>
      </c>
      <c r="S54" s="27" t="s">
        <v>186</v>
      </c>
      <c r="T54" s="27" t="s">
        <v>63</v>
      </c>
      <c r="U54" s="27">
        <v>10</v>
      </c>
      <c r="V54" s="27">
        <v>20</v>
      </c>
      <c r="W54" s="37">
        <v>-1.8799999999999999E-4</v>
      </c>
      <c r="X54" s="27">
        <v>4</v>
      </c>
      <c r="Y54" s="38">
        <v>-1.75E-4</v>
      </c>
      <c r="Z54" s="27" t="s">
        <v>65</v>
      </c>
    </row>
    <row r="55" spans="2:26" x14ac:dyDescent="0.2">
      <c r="B55" s="27" t="s">
        <v>183</v>
      </c>
      <c r="C55" s="27">
        <v>263</v>
      </c>
      <c r="D55" s="27" t="s">
        <v>128</v>
      </c>
      <c r="E55" s="27" t="s">
        <v>106</v>
      </c>
      <c r="F55" s="27" t="s">
        <v>187</v>
      </c>
      <c r="G55" s="27" t="s">
        <v>64</v>
      </c>
      <c r="H55" s="27">
        <v>60</v>
      </c>
      <c r="I55" s="27">
        <v>17</v>
      </c>
      <c r="J55" s="37">
        <v>-1.7799999999999999E-4</v>
      </c>
      <c r="K55" s="27">
        <v>3</v>
      </c>
      <c r="L55" s="38">
        <v>-1.6000000000000001E-4</v>
      </c>
      <c r="M55" s="27" t="s">
        <v>65</v>
      </c>
      <c r="O55" s="27" t="s">
        <v>183</v>
      </c>
      <c r="P55" s="27">
        <v>263</v>
      </c>
      <c r="Q55" s="27" t="s">
        <v>128</v>
      </c>
      <c r="R55" s="27" t="s">
        <v>379</v>
      </c>
      <c r="S55" s="27" t="s">
        <v>187</v>
      </c>
      <c r="T55" s="27" t="s">
        <v>64</v>
      </c>
      <c r="U55" s="27">
        <v>10</v>
      </c>
      <c r="V55" s="27">
        <v>17</v>
      </c>
      <c r="W55" s="37">
        <v>-1.7799999999999999E-4</v>
      </c>
      <c r="X55" s="27">
        <v>3</v>
      </c>
      <c r="Y55" s="38">
        <v>-1.6000000000000001E-4</v>
      </c>
      <c r="Z55" s="27" t="s">
        <v>65</v>
      </c>
    </row>
    <row r="56" spans="2:26" x14ac:dyDescent="0.2">
      <c r="B56" s="27" t="s">
        <v>183</v>
      </c>
      <c r="C56" s="27">
        <v>259</v>
      </c>
      <c r="D56" s="27" t="s">
        <v>129</v>
      </c>
      <c r="E56" s="27" t="s">
        <v>106</v>
      </c>
      <c r="F56" s="27" t="s">
        <v>188</v>
      </c>
      <c r="G56" s="27" t="s">
        <v>63</v>
      </c>
      <c r="H56" s="27">
        <v>60</v>
      </c>
      <c r="I56" s="27">
        <v>15</v>
      </c>
      <c r="J56" s="37">
        <v>-1.8799999999999999E-4</v>
      </c>
      <c r="K56" s="27">
        <v>12</v>
      </c>
      <c r="L56" s="38">
        <v>-1.64E-4</v>
      </c>
      <c r="M56" s="27" t="s">
        <v>65</v>
      </c>
      <c r="O56" s="27" t="s">
        <v>183</v>
      </c>
      <c r="P56" s="27">
        <v>259</v>
      </c>
      <c r="Q56" s="27" t="s">
        <v>129</v>
      </c>
      <c r="R56" s="27" t="s">
        <v>379</v>
      </c>
      <c r="S56" s="27" t="s">
        <v>188</v>
      </c>
      <c r="T56" s="27" t="s">
        <v>63</v>
      </c>
      <c r="U56" s="27">
        <v>10</v>
      </c>
      <c r="V56" s="27">
        <v>15</v>
      </c>
      <c r="W56" s="37">
        <v>-1.8799999999999999E-4</v>
      </c>
      <c r="X56" s="27">
        <v>12</v>
      </c>
      <c r="Y56" s="38">
        <v>-1.65E-4</v>
      </c>
      <c r="Z56" s="27" t="s">
        <v>65</v>
      </c>
    </row>
    <row r="57" spans="2:26" x14ac:dyDescent="0.2">
      <c r="B57" s="27" t="s">
        <v>183</v>
      </c>
      <c r="C57" s="27">
        <v>259</v>
      </c>
      <c r="D57" s="27" t="s">
        <v>129</v>
      </c>
      <c r="E57" s="27" t="s">
        <v>106</v>
      </c>
      <c r="F57" s="27" t="s">
        <v>189</v>
      </c>
      <c r="G57" s="27" t="s">
        <v>64</v>
      </c>
      <c r="H57" s="27">
        <v>60</v>
      </c>
      <c r="I57" s="27">
        <v>17</v>
      </c>
      <c r="J57" s="37">
        <v>-2.4600000000000002E-4</v>
      </c>
      <c r="K57" s="27">
        <v>6</v>
      </c>
      <c r="L57" s="38">
        <v>-2.32E-4</v>
      </c>
      <c r="M57" s="27" t="s">
        <v>65</v>
      </c>
      <c r="O57" s="27" t="s">
        <v>183</v>
      </c>
      <c r="P57" s="27">
        <v>259</v>
      </c>
      <c r="Q57" s="27" t="s">
        <v>129</v>
      </c>
      <c r="R57" s="27" t="s">
        <v>379</v>
      </c>
      <c r="S57" s="27" t="s">
        <v>189</v>
      </c>
      <c r="T57" s="27" t="s">
        <v>64</v>
      </c>
      <c r="U57" s="27">
        <v>10</v>
      </c>
      <c r="V57" s="27">
        <v>17</v>
      </c>
      <c r="W57" s="37">
        <v>-2.4600000000000002E-4</v>
      </c>
      <c r="X57" s="27">
        <v>6</v>
      </c>
      <c r="Y57" s="38">
        <v>-2.32E-4</v>
      </c>
      <c r="Z57" s="27" t="s">
        <v>65</v>
      </c>
    </row>
    <row r="58" spans="2:26" x14ac:dyDescent="0.2">
      <c r="B58" s="27" t="s">
        <v>183</v>
      </c>
      <c r="C58" s="27">
        <v>260</v>
      </c>
      <c r="D58" s="27" t="s">
        <v>129</v>
      </c>
      <c r="E58" s="27" t="s">
        <v>106</v>
      </c>
      <c r="F58" s="27" t="s">
        <v>190</v>
      </c>
      <c r="G58" s="27" t="s">
        <v>63</v>
      </c>
      <c r="H58" s="27">
        <v>60</v>
      </c>
      <c r="I58" s="27">
        <v>15</v>
      </c>
      <c r="J58" s="37">
        <v>-1.8799999999999999E-4</v>
      </c>
      <c r="K58" s="27">
        <v>12</v>
      </c>
      <c r="L58" s="38">
        <v>-1.64E-4</v>
      </c>
      <c r="M58" s="27" t="s">
        <v>65</v>
      </c>
      <c r="O58" s="27" t="s">
        <v>183</v>
      </c>
      <c r="P58" s="27">
        <v>260</v>
      </c>
      <c r="Q58" s="27" t="s">
        <v>129</v>
      </c>
      <c r="R58" s="27" t="s">
        <v>379</v>
      </c>
      <c r="S58" s="27" t="s">
        <v>190</v>
      </c>
      <c r="T58" s="27" t="s">
        <v>63</v>
      </c>
      <c r="U58" s="27">
        <v>10</v>
      </c>
      <c r="V58" s="27">
        <v>15</v>
      </c>
      <c r="W58" s="37">
        <v>-1.8799999999999999E-4</v>
      </c>
      <c r="X58" s="27">
        <v>12</v>
      </c>
      <c r="Y58" s="38">
        <v>-1.64E-4</v>
      </c>
      <c r="Z58" s="27" t="s">
        <v>65</v>
      </c>
    </row>
    <row r="59" spans="2:26" x14ac:dyDescent="0.2">
      <c r="B59" s="27" t="s">
        <v>183</v>
      </c>
      <c r="C59" s="27">
        <v>260</v>
      </c>
      <c r="D59" s="27" t="s">
        <v>129</v>
      </c>
      <c r="E59" s="27" t="s">
        <v>106</v>
      </c>
      <c r="F59" s="27" t="s">
        <v>191</v>
      </c>
      <c r="G59" s="27" t="s">
        <v>64</v>
      </c>
      <c r="H59" s="27">
        <v>60</v>
      </c>
      <c r="I59" s="27">
        <v>17</v>
      </c>
      <c r="J59" s="37">
        <v>-2.4600000000000002E-4</v>
      </c>
      <c r="K59" s="27">
        <v>6</v>
      </c>
      <c r="L59" s="38">
        <v>-2.32E-4</v>
      </c>
      <c r="M59" s="27" t="s">
        <v>65</v>
      </c>
      <c r="O59" s="27" t="s">
        <v>183</v>
      </c>
      <c r="P59" s="27">
        <v>260</v>
      </c>
      <c r="Q59" s="27" t="s">
        <v>129</v>
      </c>
      <c r="R59" s="27" t="s">
        <v>379</v>
      </c>
      <c r="S59" s="27" t="s">
        <v>191</v>
      </c>
      <c r="T59" s="27" t="s">
        <v>64</v>
      </c>
      <c r="U59" s="27">
        <v>10</v>
      </c>
      <c r="V59" s="27">
        <v>17</v>
      </c>
      <c r="W59" s="37">
        <v>-2.4600000000000002E-4</v>
      </c>
      <c r="X59" s="27">
        <v>6</v>
      </c>
      <c r="Y59" s="38">
        <v>-2.32E-4</v>
      </c>
      <c r="Z59" s="27" t="s">
        <v>65</v>
      </c>
    </row>
    <row r="60" spans="2:26" x14ac:dyDescent="0.2">
      <c r="B60" s="27" t="s">
        <v>183</v>
      </c>
      <c r="C60" s="27">
        <v>264</v>
      </c>
      <c r="D60" s="27" t="s">
        <v>128</v>
      </c>
      <c r="E60" s="27" t="s">
        <v>106</v>
      </c>
      <c r="F60" s="27" t="s">
        <v>192</v>
      </c>
      <c r="G60" s="27" t="s">
        <v>63</v>
      </c>
      <c r="H60" s="27">
        <v>60</v>
      </c>
      <c r="I60" s="27">
        <v>20</v>
      </c>
      <c r="J60" s="37">
        <v>-1.9799999999999999E-4</v>
      </c>
      <c r="K60" s="27">
        <v>4</v>
      </c>
      <c r="L60" s="38">
        <v>-1.83E-4</v>
      </c>
      <c r="M60" s="27" t="s">
        <v>65</v>
      </c>
      <c r="O60" s="27" t="s">
        <v>183</v>
      </c>
      <c r="P60" s="27">
        <v>264</v>
      </c>
      <c r="Q60" s="27" t="s">
        <v>128</v>
      </c>
      <c r="R60" s="27" t="s">
        <v>379</v>
      </c>
      <c r="S60" s="27" t="s">
        <v>192</v>
      </c>
      <c r="T60" s="27" t="s">
        <v>63</v>
      </c>
      <c r="U60" s="27">
        <v>10</v>
      </c>
      <c r="V60" s="27">
        <v>20</v>
      </c>
      <c r="W60" s="37">
        <v>-1.9699999999999999E-4</v>
      </c>
      <c r="X60" s="27">
        <v>4</v>
      </c>
      <c r="Y60" s="38">
        <v>-1.8200000000000001E-4</v>
      </c>
      <c r="Z60" s="27" t="s">
        <v>65</v>
      </c>
    </row>
    <row r="61" spans="2:26" x14ac:dyDescent="0.2">
      <c r="B61" s="27" t="s">
        <v>183</v>
      </c>
      <c r="C61" s="27">
        <v>264</v>
      </c>
      <c r="D61" s="27" t="s">
        <v>128</v>
      </c>
      <c r="E61" s="27" t="s">
        <v>106</v>
      </c>
      <c r="F61" s="27" t="s">
        <v>193</v>
      </c>
      <c r="G61" s="27" t="s">
        <v>64</v>
      </c>
      <c r="H61" s="27">
        <v>60</v>
      </c>
      <c r="I61" s="27">
        <v>17</v>
      </c>
      <c r="J61" s="37">
        <v>-1.8799999999999999E-4</v>
      </c>
      <c r="K61" s="27">
        <v>3</v>
      </c>
      <c r="L61" s="38">
        <v>-1.6899999999999999E-4</v>
      </c>
      <c r="M61" s="27" t="s">
        <v>65</v>
      </c>
      <c r="O61" s="27" t="s">
        <v>183</v>
      </c>
      <c r="P61" s="27">
        <v>264</v>
      </c>
      <c r="Q61" s="27" t="s">
        <v>128</v>
      </c>
      <c r="R61" s="27" t="s">
        <v>379</v>
      </c>
      <c r="S61" s="27" t="s">
        <v>193</v>
      </c>
      <c r="T61" s="27" t="s">
        <v>64</v>
      </c>
      <c r="U61" s="27">
        <v>10</v>
      </c>
      <c r="V61" s="27">
        <v>17</v>
      </c>
      <c r="W61" s="37">
        <v>-1.8799999999999999E-4</v>
      </c>
      <c r="X61" s="27">
        <v>3</v>
      </c>
      <c r="Y61" s="38">
        <v>-1.6899999999999999E-4</v>
      </c>
      <c r="Z61" s="27" t="s">
        <v>65</v>
      </c>
    </row>
    <row r="62" spans="2:26" x14ac:dyDescent="0.2">
      <c r="B62" s="27" t="s">
        <v>183</v>
      </c>
      <c r="C62" s="27">
        <v>252</v>
      </c>
      <c r="D62" s="27" t="s">
        <v>127</v>
      </c>
      <c r="E62" s="27" t="s">
        <v>106</v>
      </c>
      <c r="F62" s="27" t="s">
        <v>194</v>
      </c>
      <c r="G62" s="27" t="s">
        <v>63</v>
      </c>
      <c r="H62" s="27">
        <v>60</v>
      </c>
      <c r="I62" s="27">
        <v>9</v>
      </c>
      <c r="J62" s="37">
        <v>-2.7700000000000001E-4</v>
      </c>
      <c r="K62" s="27">
        <v>6</v>
      </c>
      <c r="L62" s="38">
        <v>-2.3699999999999999E-4</v>
      </c>
      <c r="M62" s="27" t="s">
        <v>65</v>
      </c>
      <c r="O62" s="27" t="s">
        <v>183</v>
      </c>
      <c r="P62" s="27">
        <v>252</v>
      </c>
      <c r="Q62" s="27" t="s">
        <v>127</v>
      </c>
      <c r="R62" s="27" t="s">
        <v>379</v>
      </c>
      <c r="S62" s="27" t="s">
        <v>194</v>
      </c>
      <c r="T62" s="27" t="s">
        <v>63</v>
      </c>
      <c r="U62" s="27">
        <v>10</v>
      </c>
      <c r="V62" s="27">
        <v>9</v>
      </c>
      <c r="W62" s="37">
        <v>-2.7700000000000001E-4</v>
      </c>
      <c r="X62" s="27">
        <v>6</v>
      </c>
      <c r="Y62" s="38">
        <v>-2.3699999999999999E-4</v>
      </c>
      <c r="Z62" s="27" t="s">
        <v>65</v>
      </c>
    </row>
    <row r="63" spans="2:26" x14ac:dyDescent="0.2">
      <c r="B63" s="27" t="s">
        <v>183</v>
      </c>
      <c r="C63" s="27">
        <v>252</v>
      </c>
      <c r="D63" s="27" t="s">
        <v>127</v>
      </c>
      <c r="E63" s="27" t="s">
        <v>106</v>
      </c>
      <c r="F63" s="27" t="s">
        <v>195</v>
      </c>
      <c r="G63" s="27" t="s">
        <v>64</v>
      </c>
      <c r="H63" s="27">
        <v>60</v>
      </c>
      <c r="I63" s="27">
        <v>11</v>
      </c>
      <c r="J63" s="37">
        <v>-2.02E-4</v>
      </c>
      <c r="K63" s="27">
        <v>3</v>
      </c>
      <c r="L63" s="38">
        <v>-1.76E-4</v>
      </c>
      <c r="M63" s="27" t="s">
        <v>65</v>
      </c>
      <c r="O63" s="27" t="s">
        <v>183</v>
      </c>
      <c r="P63" s="27">
        <v>252</v>
      </c>
      <c r="Q63" s="27" t="s">
        <v>127</v>
      </c>
      <c r="R63" s="27" t="s">
        <v>379</v>
      </c>
      <c r="S63" s="27" t="s">
        <v>195</v>
      </c>
      <c r="T63" s="27" t="s">
        <v>64</v>
      </c>
      <c r="U63" s="27">
        <v>10</v>
      </c>
      <c r="V63" s="27">
        <v>11</v>
      </c>
      <c r="W63" s="37">
        <v>-2.02E-4</v>
      </c>
      <c r="X63" s="27">
        <v>3</v>
      </c>
      <c r="Y63" s="38">
        <v>-1.76E-4</v>
      </c>
      <c r="Z63" s="27" t="s">
        <v>65</v>
      </c>
    </row>
    <row r="64" spans="2:26" x14ac:dyDescent="0.2">
      <c r="B64" s="27" t="s">
        <v>183</v>
      </c>
      <c r="C64" s="27">
        <v>268</v>
      </c>
      <c r="D64" s="27" t="s">
        <v>128</v>
      </c>
      <c r="E64" s="27" t="s">
        <v>106</v>
      </c>
      <c r="F64" s="27" t="s">
        <v>196</v>
      </c>
      <c r="G64" s="27" t="s">
        <v>63</v>
      </c>
      <c r="H64" s="27">
        <v>60</v>
      </c>
      <c r="I64" s="27">
        <v>22</v>
      </c>
      <c r="J64" s="37">
        <v>-1.9000000000000001E-4</v>
      </c>
      <c r="K64" s="27">
        <v>1</v>
      </c>
      <c r="L64" s="38">
        <v>-1.66E-4</v>
      </c>
      <c r="M64" s="27" t="s">
        <v>65</v>
      </c>
      <c r="O64" s="27" t="s">
        <v>183</v>
      </c>
      <c r="P64" s="27">
        <v>268</v>
      </c>
      <c r="Q64" s="27" t="s">
        <v>128</v>
      </c>
      <c r="R64" s="27" t="s">
        <v>379</v>
      </c>
      <c r="S64" s="27" t="s">
        <v>196</v>
      </c>
      <c r="T64" s="27" t="s">
        <v>63</v>
      </c>
      <c r="U64" s="27">
        <v>10</v>
      </c>
      <c r="V64" s="27">
        <v>22</v>
      </c>
      <c r="W64" s="37">
        <v>-1.9000000000000001E-4</v>
      </c>
      <c r="X64" s="27">
        <v>1</v>
      </c>
      <c r="Y64" s="38">
        <v>-1.66E-4</v>
      </c>
      <c r="Z64" s="27" t="s">
        <v>65</v>
      </c>
    </row>
    <row r="65" spans="2:26" x14ac:dyDescent="0.2">
      <c r="B65" s="27" t="s">
        <v>183</v>
      </c>
      <c r="C65" s="27">
        <v>268</v>
      </c>
      <c r="D65" s="27" t="s">
        <v>128</v>
      </c>
      <c r="E65" s="27" t="s">
        <v>106</v>
      </c>
      <c r="F65" s="27" t="s">
        <v>197</v>
      </c>
      <c r="G65" s="27" t="s">
        <v>64</v>
      </c>
      <c r="H65" s="27">
        <v>60</v>
      </c>
      <c r="I65" s="27">
        <v>15</v>
      </c>
      <c r="J65" s="37">
        <v>-1.84E-4</v>
      </c>
      <c r="K65" s="27">
        <v>6</v>
      </c>
      <c r="L65" s="38">
        <v>-1.6000000000000001E-4</v>
      </c>
      <c r="M65" s="27" t="s">
        <v>65</v>
      </c>
      <c r="O65" s="27" t="s">
        <v>183</v>
      </c>
      <c r="P65" s="27">
        <v>268</v>
      </c>
      <c r="Q65" s="27" t="s">
        <v>128</v>
      </c>
      <c r="R65" s="27" t="s">
        <v>379</v>
      </c>
      <c r="S65" s="27" t="s">
        <v>197</v>
      </c>
      <c r="T65" s="27" t="s">
        <v>64</v>
      </c>
      <c r="U65" s="27">
        <v>10</v>
      </c>
      <c r="V65" s="27">
        <v>15</v>
      </c>
      <c r="W65" s="37">
        <v>-1.84E-4</v>
      </c>
      <c r="X65" s="27">
        <v>6</v>
      </c>
      <c r="Y65" s="38">
        <v>-1.6000000000000001E-4</v>
      </c>
      <c r="Z65" s="27" t="s">
        <v>65</v>
      </c>
    </row>
    <row r="66" spans="2:26" x14ac:dyDescent="0.2">
      <c r="B66" s="27" t="s">
        <v>183</v>
      </c>
      <c r="C66" s="27">
        <v>253</v>
      </c>
      <c r="D66" s="27" t="s">
        <v>129</v>
      </c>
      <c r="E66" s="27" t="s">
        <v>106</v>
      </c>
      <c r="F66" s="27" t="s">
        <v>198</v>
      </c>
      <c r="G66" s="27" t="s">
        <v>63</v>
      </c>
      <c r="H66" s="27">
        <v>60</v>
      </c>
      <c r="I66" s="27">
        <v>22</v>
      </c>
      <c r="J66" s="37">
        <v>-8.6000000000000003E-5</v>
      </c>
      <c r="K66" s="27">
        <v>1</v>
      </c>
      <c r="L66" s="38">
        <v>-8.6000000000000003E-5</v>
      </c>
      <c r="M66" s="27" t="s">
        <v>65</v>
      </c>
      <c r="O66" s="27" t="s">
        <v>183</v>
      </c>
      <c r="P66" s="27">
        <v>253</v>
      </c>
      <c r="Q66" s="27" t="s">
        <v>129</v>
      </c>
      <c r="R66" s="27" t="s">
        <v>379</v>
      </c>
      <c r="S66" s="27" t="s">
        <v>198</v>
      </c>
      <c r="T66" s="27" t="s">
        <v>63</v>
      </c>
      <c r="U66" s="27">
        <v>10</v>
      </c>
      <c r="V66" s="27">
        <v>20</v>
      </c>
      <c r="W66" s="37">
        <v>-8.5000000000000006E-5</v>
      </c>
      <c r="X66" s="27">
        <v>1</v>
      </c>
      <c r="Y66" s="38">
        <v>-8.5000000000000006E-5</v>
      </c>
      <c r="Z66" s="27" t="s">
        <v>65</v>
      </c>
    </row>
    <row r="67" spans="2:26" x14ac:dyDescent="0.2">
      <c r="B67" s="27" t="s">
        <v>183</v>
      </c>
      <c r="C67" s="27">
        <v>253</v>
      </c>
      <c r="D67" s="27" t="s">
        <v>129</v>
      </c>
      <c r="E67" s="27" t="s">
        <v>106</v>
      </c>
      <c r="F67" s="27" t="s">
        <v>199</v>
      </c>
      <c r="G67" s="27" t="s">
        <v>64</v>
      </c>
      <c r="H67" s="27">
        <v>60</v>
      </c>
      <c r="I67" s="27">
        <v>17</v>
      </c>
      <c r="J67" s="37">
        <v>-2.1000000000000001E-4</v>
      </c>
      <c r="K67" s="27">
        <v>6</v>
      </c>
      <c r="L67" s="38">
        <v>-2.1000000000000001E-4</v>
      </c>
      <c r="M67" s="27" t="s">
        <v>65</v>
      </c>
      <c r="O67" s="27" t="s">
        <v>183</v>
      </c>
      <c r="P67" s="27">
        <v>253</v>
      </c>
      <c r="Q67" s="27" t="s">
        <v>129</v>
      </c>
      <c r="R67" s="27" t="s">
        <v>379</v>
      </c>
      <c r="S67" s="27" t="s">
        <v>199</v>
      </c>
      <c r="T67" s="27" t="s">
        <v>64</v>
      </c>
      <c r="U67" s="27">
        <v>10</v>
      </c>
      <c r="V67" s="27">
        <v>17</v>
      </c>
      <c r="W67" s="37">
        <v>-2.1000000000000001E-4</v>
      </c>
      <c r="X67" s="27">
        <v>6</v>
      </c>
      <c r="Y67" s="38">
        <v>-2.1000000000000001E-4</v>
      </c>
      <c r="Z67" s="27" t="s">
        <v>65</v>
      </c>
    </row>
    <row r="68" spans="2:26" x14ac:dyDescent="0.2">
      <c r="B68" s="27" t="s">
        <v>183</v>
      </c>
      <c r="C68" s="27">
        <v>271</v>
      </c>
      <c r="D68" s="27" t="s">
        <v>128</v>
      </c>
      <c r="E68" s="27" t="s">
        <v>106</v>
      </c>
      <c r="F68" s="27" t="s">
        <v>200</v>
      </c>
      <c r="G68" s="27" t="s">
        <v>63</v>
      </c>
      <c r="H68" s="27">
        <v>60</v>
      </c>
      <c r="I68" s="27">
        <v>20</v>
      </c>
      <c r="J68" s="37">
        <v>-1.9900000000000001E-4</v>
      </c>
      <c r="K68" s="27">
        <v>4</v>
      </c>
      <c r="L68" s="38">
        <v>-1.7699999999999999E-4</v>
      </c>
      <c r="M68" s="27" t="s">
        <v>65</v>
      </c>
      <c r="O68" s="27" t="s">
        <v>183</v>
      </c>
      <c r="P68" s="27">
        <v>271</v>
      </c>
      <c r="Q68" s="27" t="s">
        <v>128</v>
      </c>
      <c r="R68" s="27" t="s">
        <v>379</v>
      </c>
      <c r="S68" s="27" t="s">
        <v>200</v>
      </c>
      <c r="T68" s="27" t="s">
        <v>63</v>
      </c>
      <c r="U68" s="27">
        <v>10</v>
      </c>
      <c r="V68" s="27">
        <v>20</v>
      </c>
      <c r="W68" s="37">
        <v>-1.9799999999999999E-4</v>
      </c>
      <c r="X68" s="27">
        <v>1</v>
      </c>
      <c r="Y68" s="38">
        <v>-1.76E-4</v>
      </c>
      <c r="Z68" s="27" t="s">
        <v>65</v>
      </c>
    </row>
    <row r="69" spans="2:26" x14ac:dyDescent="0.2">
      <c r="B69" s="27" t="s">
        <v>183</v>
      </c>
      <c r="C69" s="27">
        <v>271</v>
      </c>
      <c r="D69" s="27" t="s">
        <v>128</v>
      </c>
      <c r="E69" s="27" t="s">
        <v>106</v>
      </c>
      <c r="F69" s="27" t="s">
        <v>201</v>
      </c>
      <c r="G69" s="27" t="s">
        <v>64</v>
      </c>
      <c r="H69" s="27">
        <v>60</v>
      </c>
      <c r="I69" s="27">
        <v>17</v>
      </c>
      <c r="J69" s="37">
        <v>-1.9900000000000001E-4</v>
      </c>
      <c r="K69" s="27">
        <v>3</v>
      </c>
      <c r="L69" s="38">
        <v>-1.76E-4</v>
      </c>
      <c r="M69" s="27" t="s">
        <v>65</v>
      </c>
      <c r="O69" s="27" t="s">
        <v>183</v>
      </c>
      <c r="P69" s="27">
        <v>271</v>
      </c>
      <c r="Q69" s="27" t="s">
        <v>128</v>
      </c>
      <c r="R69" s="27" t="s">
        <v>379</v>
      </c>
      <c r="S69" s="27" t="s">
        <v>201</v>
      </c>
      <c r="T69" s="27" t="s">
        <v>64</v>
      </c>
      <c r="U69" s="27">
        <v>10</v>
      </c>
      <c r="V69" s="27">
        <v>17</v>
      </c>
      <c r="W69" s="37">
        <v>-1.9900000000000001E-4</v>
      </c>
      <c r="X69" s="27">
        <v>3</v>
      </c>
      <c r="Y69" s="38">
        <v>-1.76E-4</v>
      </c>
      <c r="Z69" s="27" t="s">
        <v>65</v>
      </c>
    </row>
    <row r="70" spans="2:26" x14ac:dyDescent="0.2">
      <c r="B70" s="27" t="s">
        <v>183</v>
      </c>
      <c r="C70" s="27">
        <v>272</v>
      </c>
      <c r="D70" s="27" t="s">
        <v>128</v>
      </c>
      <c r="E70" s="27" t="s">
        <v>106</v>
      </c>
      <c r="F70" s="27" t="s">
        <v>202</v>
      </c>
      <c r="G70" s="27" t="s">
        <v>63</v>
      </c>
      <c r="H70" s="27">
        <v>60</v>
      </c>
      <c r="I70" s="27">
        <v>20</v>
      </c>
      <c r="J70" s="37">
        <v>-1.95E-4</v>
      </c>
      <c r="K70" s="27">
        <v>4</v>
      </c>
      <c r="L70" s="38">
        <v>-1.74E-4</v>
      </c>
      <c r="M70" s="27" t="s">
        <v>65</v>
      </c>
      <c r="O70" s="27" t="s">
        <v>183</v>
      </c>
      <c r="P70" s="27">
        <v>272</v>
      </c>
      <c r="Q70" s="27" t="s">
        <v>128</v>
      </c>
      <c r="R70" s="27" t="s">
        <v>379</v>
      </c>
      <c r="S70" s="27" t="s">
        <v>202</v>
      </c>
      <c r="T70" s="27" t="s">
        <v>63</v>
      </c>
      <c r="U70" s="27">
        <v>10</v>
      </c>
      <c r="V70" s="27">
        <v>20</v>
      </c>
      <c r="W70" s="37">
        <v>-1.95E-4</v>
      </c>
      <c r="X70" s="27">
        <v>4</v>
      </c>
      <c r="Y70" s="38">
        <v>-1.74E-4</v>
      </c>
      <c r="Z70" s="27" t="s">
        <v>65</v>
      </c>
    </row>
    <row r="71" spans="2:26" x14ac:dyDescent="0.2">
      <c r="B71" s="27" t="s">
        <v>183</v>
      </c>
      <c r="C71" s="27">
        <v>272</v>
      </c>
      <c r="D71" s="27" t="s">
        <v>128</v>
      </c>
      <c r="E71" s="27" t="s">
        <v>106</v>
      </c>
      <c r="F71" s="27" t="s">
        <v>203</v>
      </c>
      <c r="G71" s="27" t="s">
        <v>64</v>
      </c>
      <c r="H71" s="27">
        <v>60</v>
      </c>
      <c r="I71" s="27">
        <v>17</v>
      </c>
      <c r="J71" s="37">
        <v>-1.9599999999999999E-4</v>
      </c>
      <c r="K71" s="27">
        <v>3</v>
      </c>
      <c r="L71" s="38">
        <v>-1.74E-4</v>
      </c>
      <c r="M71" s="27" t="s">
        <v>65</v>
      </c>
      <c r="O71" s="27" t="s">
        <v>183</v>
      </c>
      <c r="P71" s="27">
        <v>272</v>
      </c>
      <c r="Q71" s="27" t="s">
        <v>128</v>
      </c>
      <c r="R71" s="27" t="s">
        <v>379</v>
      </c>
      <c r="S71" s="27" t="s">
        <v>203</v>
      </c>
      <c r="T71" s="27" t="s">
        <v>64</v>
      </c>
      <c r="U71" s="27">
        <v>10</v>
      </c>
      <c r="V71" s="27">
        <v>17</v>
      </c>
      <c r="W71" s="37">
        <v>-1.9599999999999999E-4</v>
      </c>
      <c r="X71" s="27">
        <v>3</v>
      </c>
      <c r="Y71" s="38">
        <v>-1.74E-4</v>
      </c>
      <c r="Z71" s="27" t="s">
        <v>65</v>
      </c>
    </row>
    <row r="72" spans="2:26" x14ac:dyDescent="0.2">
      <c r="B72" s="27" t="s">
        <v>183</v>
      </c>
      <c r="C72" s="27">
        <v>255</v>
      </c>
      <c r="D72" s="27" t="s">
        <v>129</v>
      </c>
      <c r="E72" s="27" t="s">
        <v>106</v>
      </c>
      <c r="F72" s="27" t="s">
        <v>204</v>
      </c>
      <c r="G72" s="27" t="s">
        <v>63</v>
      </c>
      <c r="H72" s="27">
        <v>60</v>
      </c>
      <c r="I72" s="27">
        <v>22</v>
      </c>
      <c r="J72" s="37">
        <v>-8.7999999999999998E-5</v>
      </c>
      <c r="K72" s="27">
        <v>1</v>
      </c>
      <c r="L72" s="38">
        <v>-8.7999999999999998E-5</v>
      </c>
      <c r="M72" s="27" t="s">
        <v>65</v>
      </c>
      <c r="O72" s="27" t="s">
        <v>183</v>
      </c>
      <c r="P72" s="27">
        <v>255</v>
      </c>
      <c r="Q72" s="27" t="s">
        <v>129</v>
      </c>
      <c r="R72" s="27" t="s">
        <v>379</v>
      </c>
      <c r="S72" s="27" t="s">
        <v>204</v>
      </c>
      <c r="T72" s="27" t="s">
        <v>63</v>
      </c>
      <c r="U72" s="27">
        <v>10</v>
      </c>
      <c r="V72" s="27">
        <v>22</v>
      </c>
      <c r="W72" s="37">
        <v>-8.7999999999999998E-5</v>
      </c>
      <c r="X72" s="27">
        <v>1</v>
      </c>
      <c r="Y72" s="38">
        <v>-8.7999999999999998E-5</v>
      </c>
      <c r="Z72" s="27" t="s">
        <v>65</v>
      </c>
    </row>
    <row r="73" spans="2:26" x14ac:dyDescent="0.2">
      <c r="B73" s="27" t="s">
        <v>183</v>
      </c>
      <c r="C73" s="27">
        <v>255</v>
      </c>
      <c r="D73" s="27" t="s">
        <v>129</v>
      </c>
      <c r="E73" s="27" t="s">
        <v>106</v>
      </c>
      <c r="F73" s="27" t="s">
        <v>205</v>
      </c>
      <c r="G73" s="27" t="s">
        <v>64</v>
      </c>
      <c r="H73" s="27">
        <v>60</v>
      </c>
      <c r="I73" s="27">
        <v>15</v>
      </c>
      <c r="J73" s="37">
        <v>-2.14E-4</v>
      </c>
      <c r="K73" s="27">
        <v>12</v>
      </c>
      <c r="L73" s="38">
        <v>-2.14E-4</v>
      </c>
      <c r="M73" s="27" t="s">
        <v>65</v>
      </c>
      <c r="O73" s="27" t="s">
        <v>183</v>
      </c>
      <c r="P73" s="27">
        <v>255</v>
      </c>
      <c r="Q73" s="27" t="s">
        <v>129</v>
      </c>
      <c r="R73" s="27" t="s">
        <v>379</v>
      </c>
      <c r="S73" s="27" t="s">
        <v>205</v>
      </c>
      <c r="T73" s="27" t="s">
        <v>64</v>
      </c>
      <c r="U73" s="27">
        <v>10</v>
      </c>
      <c r="V73" s="27">
        <v>15</v>
      </c>
      <c r="W73" s="37">
        <v>-2.14E-4</v>
      </c>
      <c r="X73" s="27">
        <v>12</v>
      </c>
      <c r="Y73" s="38">
        <v>-2.14E-4</v>
      </c>
      <c r="Z73" s="27" t="s">
        <v>65</v>
      </c>
    </row>
    <row r="74" spans="2:26" x14ac:dyDescent="0.2">
      <c r="B74" s="27" t="s">
        <v>183</v>
      </c>
      <c r="C74" s="27">
        <v>266</v>
      </c>
      <c r="D74" s="27" t="s">
        <v>128</v>
      </c>
      <c r="E74" s="27" t="s">
        <v>106</v>
      </c>
      <c r="F74" s="27" t="s">
        <v>206</v>
      </c>
      <c r="G74" s="27" t="s">
        <v>63</v>
      </c>
      <c r="H74" s="27">
        <v>60</v>
      </c>
      <c r="I74" s="27">
        <v>17</v>
      </c>
      <c r="J74" s="37">
        <v>-7.2000000000000002E-5</v>
      </c>
      <c r="K74" s="27">
        <v>3</v>
      </c>
      <c r="L74" s="38">
        <v>-6.7999999999999999E-5</v>
      </c>
      <c r="M74" s="27" t="s">
        <v>65</v>
      </c>
      <c r="O74" s="27" t="s">
        <v>183</v>
      </c>
      <c r="P74" s="27">
        <v>266</v>
      </c>
      <c r="Q74" s="27" t="s">
        <v>128</v>
      </c>
      <c r="R74" s="27" t="s">
        <v>379</v>
      </c>
      <c r="S74" s="27" t="s">
        <v>206</v>
      </c>
      <c r="T74" s="27" t="s">
        <v>63</v>
      </c>
      <c r="U74" s="27">
        <v>10</v>
      </c>
      <c r="V74" s="27">
        <v>17</v>
      </c>
      <c r="W74" s="37">
        <v>-7.2999999999999999E-5</v>
      </c>
      <c r="X74" s="27">
        <v>3</v>
      </c>
      <c r="Y74" s="38">
        <v>-6.7999999999999999E-5</v>
      </c>
      <c r="Z74" s="27" t="s">
        <v>65</v>
      </c>
    </row>
    <row r="75" spans="2:26" x14ac:dyDescent="0.2">
      <c r="B75" s="27" t="s">
        <v>183</v>
      </c>
      <c r="C75" s="27">
        <v>266</v>
      </c>
      <c r="D75" s="27" t="s">
        <v>128</v>
      </c>
      <c r="E75" s="27" t="s">
        <v>106</v>
      </c>
      <c r="F75" s="27" t="s">
        <v>207</v>
      </c>
      <c r="G75" s="27" t="s">
        <v>64</v>
      </c>
      <c r="H75" s="27">
        <v>60</v>
      </c>
      <c r="I75" s="27">
        <v>15</v>
      </c>
      <c r="J75" s="37">
        <v>-8.2000000000000001E-5</v>
      </c>
      <c r="K75" s="27">
        <v>6</v>
      </c>
      <c r="L75" s="38">
        <v>-7.4999999999999993E-5</v>
      </c>
      <c r="M75" s="27" t="s">
        <v>65</v>
      </c>
      <c r="O75" s="27" t="s">
        <v>183</v>
      </c>
      <c r="P75" s="27">
        <v>266</v>
      </c>
      <c r="Q75" s="27" t="s">
        <v>128</v>
      </c>
      <c r="R75" s="27" t="s">
        <v>379</v>
      </c>
      <c r="S75" s="27" t="s">
        <v>207</v>
      </c>
      <c r="T75" s="27" t="s">
        <v>64</v>
      </c>
      <c r="U75" s="27">
        <v>10</v>
      </c>
      <c r="V75" s="27">
        <v>15</v>
      </c>
      <c r="W75" s="37">
        <v>-8.2000000000000001E-5</v>
      </c>
      <c r="X75" s="27">
        <v>6</v>
      </c>
      <c r="Y75" s="38">
        <v>-7.4999999999999993E-5</v>
      </c>
      <c r="Z75" s="27" t="s">
        <v>65</v>
      </c>
    </row>
    <row r="76" spans="2:26" x14ac:dyDescent="0.2">
      <c r="B76" s="27" t="s">
        <v>183</v>
      </c>
      <c r="C76" s="27">
        <v>267</v>
      </c>
      <c r="D76" s="27" t="s">
        <v>128</v>
      </c>
      <c r="E76" s="27" t="s">
        <v>106</v>
      </c>
      <c r="F76" s="27" t="s">
        <v>208</v>
      </c>
      <c r="G76" s="27" t="s">
        <v>63</v>
      </c>
      <c r="H76" s="27">
        <v>60</v>
      </c>
      <c r="I76" s="27">
        <v>20</v>
      </c>
      <c r="J76" s="37">
        <v>-1.9100000000000001E-4</v>
      </c>
      <c r="K76" s="27">
        <v>4</v>
      </c>
      <c r="L76" s="38">
        <v>-1.66E-4</v>
      </c>
      <c r="M76" s="27" t="s">
        <v>65</v>
      </c>
      <c r="O76" s="27" t="s">
        <v>183</v>
      </c>
      <c r="P76" s="27">
        <v>267</v>
      </c>
      <c r="Q76" s="27" t="s">
        <v>128</v>
      </c>
      <c r="R76" s="27" t="s">
        <v>379</v>
      </c>
      <c r="S76" s="27" t="s">
        <v>208</v>
      </c>
      <c r="T76" s="27" t="s">
        <v>63</v>
      </c>
      <c r="U76" s="27">
        <v>10</v>
      </c>
      <c r="V76" s="27">
        <v>20</v>
      </c>
      <c r="W76" s="37">
        <v>-1.9000000000000001E-4</v>
      </c>
      <c r="X76" s="27">
        <v>4</v>
      </c>
      <c r="Y76" s="38">
        <v>-1.66E-4</v>
      </c>
      <c r="Z76" s="27" t="s">
        <v>65</v>
      </c>
    </row>
    <row r="77" spans="2:26" x14ac:dyDescent="0.2">
      <c r="B77" s="27" t="s">
        <v>183</v>
      </c>
      <c r="C77" s="27">
        <v>267</v>
      </c>
      <c r="D77" s="27" t="s">
        <v>128</v>
      </c>
      <c r="E77" s="27" t="s">
        <v>106</v>
      </c>
      <c r="F77" s="27" t="s">
        <v>209</v>
      </c>
      <c r="G77" s="27" t="s">
        <v>64</v>
      </c>
      <c r="H77" s="27">
        <v>60</v>
      </c>
      <c r="I77" s="27">
        <v>17</v>
      </c>
      <c r="J77" s="37">
        <v>-1.84E-4</v>
      </c>
      <c r="K77" s="27">
        <v>3</v>
      </c>
      <c r="L77" s="38">
        <v>-1.6000000000000001E-4</v>
      </c>
      <c r="M77" s="27" t="s">
        <v>65</v>
      </c>
      <c r="O77" s="27" t="s">
        <v>183</v>
      </c>
      <c r="P77" s="27">
        <v>267</v>
      </c>
      <c r="Q77" s="27" t="s">
        <v>128</v>
      </c>
      <c r="R77" s="27" t="s">
        <v>379</v>
      </c>
      <c r="S77" s="27" t="s">
        <v>209</v>
      </c>
      <c r="T77" s="27" t="s">
        <v>64</v>
      </c>
      <c r="U77" s="27">
        <v>10</v>
      </c>
      <c r="V77" s="27">
        <v>17</v>
      </c>
      <c r="W77" s="37">
        <v>-1.84E-4</v>
      </c>
      <c r="X77" s="27">
        <v>3</v>
      </c>
      <c r="Y77" s="38">
        <v>-1.6000000000000001E-4</v>
      </c>
      <c r="Z77" s="27" t="s">
        <v>65</v>
      </c>
    </row>
    <row r="78" spans="2:26" x14ac:dyDescent="0.2">
      <c r="B78" s="27" t="s">
        <v>183</v>
      </c>
      <c r="C78" s="27">
        <v>254</v>
      </c>
      <c r="D78" s="27" t="s">
        <v>129</v>
      </c>
      <c r="E78" s="27" t="s">
        <v>106</v>
      </c>
      <c r="F78" s="27" t="s">
        <v>210</v>
      </c>
      <c r="G78" s="27" t="s">
        <v>63</v>
      </c>
      <c r="H78" s="27">
        <v>60</v>
      </c>
      <c r="I78" s="27">
        <v>20</v>
      </c>
      <c r="J78" s="37">
        <v>-8.6000000000000003E-5</v>
      </c>
      <c r="K78" s="27">
        <v>7</v>
      </c>
      <c r="L78" s="38">
        <v>-8.6000000000000003E-5</v>
      </c>
      <c r="M78" s="27" t="s">
        <v>65</v>
      </c>
      <c r="O78" s="27" t="s">
        <v>183</v>
      </c>
      <c r="P78" s="27">
        <v>254</v>
      </c>
      <c r="Q78" s="27" t="s">
        <v>129</v>
      </c>
      <c r="R78" s="27" t="s">
        <v>379</v>
      </c>
      <c r="S78" s="27" t="s">
        <v>210</v>
      </c>
      <c r="T78" s="27" t="s">
        <v>63</v>
      </c>
      <c r="U78" s="27">
        <v>10</v>
      </c>
      <c r="V78" s="27">
        <v>20</v>
      </c>
      <c r="W78" s="37">
        <v>-8.5000000000000006E-5</v>
      </c>
      <c r="X78" s="27">
        <v>1</v>
      </c>
      <c r="Y78" s="38">
        <v>-8.5000000000000006E-5</v>
      </c>
      <c r="Z78" s="27" t="s">
        <v>65</v>
      </c>
    </row>
    <row r="79" spans="2:26" x14ac:dyDescent="0.2">
      <c r="B79" s="27" t="s">
        <v>183</v>
      </c>
      <c r="C79" s="27">
        <v>254</v>
      </c>
      <c r="D79" s="27" t="s">
        <v>129</v>
      </c>
      <c r="E79" s="27" t="s">
        <v>106</v>
      </c>
      <c r="F79" s="27" t="s">
        <v>211</v>
      </c>
      <c r="G79" s="27" t="s">
        <v>64</v>
      </c>
      <c r="H79" s="27">
        <v>60</v>
      </c>
      <c r="I79" s="27">
        <v>15</v>
      </c>
      <c r="J79" s="37">
        <v>-2.1000000000000001E-4</v>
      </c>
      <c r="K79" s="27">
        <v>12</v>
      </c>
      <c r="L79" s="38">
        <v>-2.1000000000000001E-4</v>
      </c>
      <c r="M79" s="27" t="s">
        <v>65</v>
      </c>
      <c r="O79" s="27" t="s">
        <v>183</v>
      </c>
      <c r="P79" s="27">
        <v>254</v>
      </c>
      <c r="Q79" s="27" t="s">
        <v>129</v>
      </c>
      <c r="R79" s="27" t="s">
        <v>379</v>
      </c>
      <c r="S79" s="27" t="s">
        <v>211</v>
      </c>
      <c r="T79" s="27" t="s">
        <v>64</v>
      </c>
      <c r="U79" s="27">
        <v>10</v>
      </c>
      <c r="V79" s="27">
        <v>15</v>
      </c>
      <c r="W79" s="37">
        <v>-2.1000000000000001E-4</v>
      </c>
      <c r="X79" s="27">
        <v>12</v>
      </c>
      <c r="Y79" s="38">
        <v>-2.1000000000000001E-4</v>
      </c>
      <c r="Z79" s="27" t="s">
        <v>65</v>
      </c>
    </row>
    <row r="80" spans="2:26" x14ac:dyDescent="0.2">
      <c r="B80" s="27" t="s">
        <v>183</v>
      </c>
      <c r="C80" s="27">
        <v>269</v>
      </c>
      <c r="D80" s="27" t="s">
        <v>128</v>
      </c>
      <c r="E80" s="27" t="s">
        <v>106</v>
      </c>
      <c r="F80" s="27" t="s">
        <v>212</v>
      </c>
      <c r="G80" s="27" t="s">
        <v>63</v>
      </c>
      <c r="H80" s="27">
        <v>60</v>
      </c>
      <c r="I80" s="27">
        <v>22</v>
      </c>
      <c r="J80" s="37">
        <v>-1.9900000000000001E-4</v>
      </c>
      <c r="K80" s="27">
        <v>1</v>
      </c>
      <c r="L80" s="38">
        <v>-1.7699999999999999E-4</v>
      </c>
      <c r="M80" s="27" t="s">
        <v>65</v>
      </c>
      <c r="O80" s="27" t="s">
        <v>183</v>
      </c>
      <c r="P80" s="27">
        <v>269</v>
      </c>
      <c r="Q80" s="27" t="s">
        <v>128</v>
      </c>
      <c r="R80" s="27" t="s">
        <v>379</v>
      </c>
      <c r="S80" s="27" t="s">
        <v>212</v>
      </c>
      <c r="T80" s="27" t="s">
        <v>63</v>
      </c>
      <c r="U80" s="27">
        <v>10</v>
      </c>
      <c r="V80" s="27">
        <v>22</v>
      </c>
      <c r="W80" s="37">
        <v>-1.9900000000000001E-4</v>
      </c>
      <c r="X80" s="27">
        <v>1</v>
      </c>
      <c r="Y80" s="38">
        <v>-1.76E-4</v>
      </c>
      <c r="Z80" s="27" t="s">
        <v>65</v>
      </c>
    </row>
    <row r="81" spans="2:26" x14ac:dyDescent="0.2">
      <c r="B81" s="27" t="s">
        <v>183</v>
      </c>
      <c r="C81" s="27">
        <v>269</v>
      </c>
      <c r="D81" s="27" t="s">
        <v>128</v>
      </c>
      <c r="E81" s="27" t="s">
        <v>106</v>
      </c>
      <c r="F81" s="27" t="s">
        <v>213</v>
      </c>
      <c r="G81" s="27" t="s">
        <v>64</v>
      </c>
      <c r="H81" s="27">
        <v>60</v>
      </c>
      <c r="I81" s="27">
        <v>15</v>
      </c>
      <c r="J81" s="37">
        <v>-1.9900000000000001E-4</v>
      </c>
      <c r="K81" s="27">
        <v>6</v>
      </c>
      <c r="L81" s="38">
        <v>-1.76E-4</v>
      </c>
      <c r="M81" s="27" t="s">
        <v>65</v>
      </c>
      <c r="O81" s="27" t="s">
        <v>183</v>
      </c>
      <c r="P81" s="27">
        <v>269</v>
      </c>
      <c r="Q81" s="27" t="s">
        <v>128</v>
      </c>
      <c r="R81" s="27" t="s">
        <v>379</v>
      </c>
      <c r="S81" s="27" t="s">
        <v>213</v>
      </c>
      <c r="T81" s="27" t="s">
        <v>64</v>
      </c>
      <c r="U81" s="27">
        <v>10</v>
      </c>
      <c r="V81" s="27">
        <v>15</v>
      </c>
      <c r="W81" s="37">
        <v>-1.9900000000000001E-4</v>
      </c>
      <c r="X81" s="27">
        <v>6</v>
      </c>
      <c r="Y81" s="38">
        <v>-1.76E-4</v>
      </c>
      <c r="Z81" s="27" t="s">
        <v>65</v>
      </c>
    </row>
    <row r="82" spans="2:26" x14ac:dyDescent="0.2">
      <c r="B82" s="27" t="s">
        <v>183</v>
      </c>
      <c r="C82" s="27">
        <v>270</v>
      </c>
      <c r="D82" s="27" t="s">
        <v>128</v>
      </c>
      <c r="E82" s="27" t="s">
        <v>106</v>
      </c>
      <c r="F82" s="27" t="s">
        <v>214</v>
      </c>
      <c r="G82" s="27" t="s">
        <v>63</v>
      </c>
      <c r="H82" s="27">
        <v>60</v>
      </c>
      <c r="I82" s="27">
        <v>22</v>
      </c>
      <c r="J82" s="37">
        <v>-1.95E-4</v>
      </c>
      <c r="K82" s="27">
        <v>1</v>
      </c>
      <c r="L82" s="38">
        <v>-1.74E-4</v>
      </c>
      <c r="M82" s="27" t="s">
        <v>65</v>
      </c>
      <c r="O82" s="27" t="s">
        <v>183</v>
      </c>
      <c r="P82" s="27">
        <v>270</v>
      </c>
      <c r="Q82" s="27" t="s">
        <v>128</v>
      </c>
      <c r="R82" s="27" t="s">
        <v>379</v>
      </c>
      <c r="S82" s="27" t="s">
        <v>214</v>
      </c>
      <c r="T82" s="27" t="s">
        <v>63</v>
      </c>
      <c r="U82" s="27">
        <v>10</v>
      </c>
      <c r="V82" s="27">
        <v>22</v>
      </c>
      <c r="W82" s="37">
        <v>-1.95E-4</v>
      </c>
      <c r="X82" s="27">
        <v>1</v>
      </c>
      <c r="Y82" s="38">
        <v>-1.74E-4</v>
      </c>
      <c r="Z82" s="27" t="s">
        <v>65</v>
      </c>
    </row>
    <row r="83" spans="2:26" x14ac:dyDescent="0.2">
      <c r="B83" s="27" t="s">
        <v>183</v>
      </c>
      <c r="C83" s="27">
        <v>270</v>
      </c>
      <c r="D83" s="27" t="s">
        <v>128</v>
      </c>
      <c r="E83" s="27" t="s">
        <v>106</v>
      </c>
      <c r="F83" s="27" t="s">
        <v>215</v>
      </c>
      <c r="G83" s="27" t="s">
        <v>64</v>
      </c>
      <c r="H83" s="27">
        <v>60</v>
      </c>
      <c r="I83" s="27">
        <v>15</v>
      </c>
      <c r="J83" s="37">
        <v>-1.9699999999999999E-4</v>
      </c>
      <c r="K83" s="27">
        <v>6</v>
      </c>
      <c r="L83" s="38">
        <v>-1.75E-4</v>
      </c>
      <c r="M83" s="27" t="s">
        <v>65</v>
      </c>
      <c r="O83" s="27" t="s">
        <v>183</v>
      </c>
      <c r="P83" s="27">
        <v>270</v>
      </c>
      <c r="Q83" s="27" t="s">
        <v>128</v>
      </c>
      <c r="R83" s="27" t="s">
        <v>379</v>
      </c>
      <c r="S83" s="27" t="s">
        <v>215</v>
      </c>
      <c r="T83" s="27" t="s">
        <v>64</v>
      </c>
      <c r="U83" s="27">
        <v>10</v>
      </c>
      <c r="V83" s="27">
        <v>15</v>
      </c>
      <c r="W83" s="37">
        <v>-1.9699999999999999E-4</v>
      </c>
      <c r="X83" s="27">
        <v>6</v>
      </c>
      <c r="Y83" s="38">
        <v>-1.75E-4</v>
      </c>
      <c r="Z83" s="27" t="s">
        <v>65</v>
      </c>
    </row>
    <row r="84" spans="2:26" x14ac:dyDescent="0.2">
      <c r="B84" s="27" t="s">
        <v>183</v>
      </c>
      <c r="C84" s="27">
        <v>256</v>
      </c>
      <c r="D84" s="27" t="s">
        <v>129</v>
      </c>
      <c r="E84" s="27" t="s">
        <v>106</v>
      </c>
      <c r="F84" s="27" t="s">
        <v>216</v>
      </c>
      <c r="G84" s="27" t="s">
        <v>63</v>
      </c>
      <c r="H84" s="27">
        <v>60</v>
      </c>
      <c r="I84" s="27">
        <v>21</v>
      </c>
      <c r="J84" s="37">
        <v>-8.7000000000000001E-5</v>
      </c>
      <c r="K84" s="27">
        <v>1</v>
      </c>
      <c r="L84" s="38">
        <v>-8.7000000000000001E-5</v>
      </c>
      <c r="M84" s="27" t="s">
        <v>65</v>
      </c>
      <c r="O84" s="27" t="s">
        <v>183</v>
      </c>
      <c r="P84" s="27">
        <v>256</v>
      </c>
      <c r="Q84" s="27" t="s">
        <v>129</v>
      </c>
      <c r="R84" s="27" t="s">
        <v>379</v>
      </c>
      <c r="S84" s="27" t="s">
        <v>216</v>
      </c>
      <c r="T84" s="27" t="s">
        <v>63</v>
      </c>
      <c r="U84" s="27">
        <v>10</v>
      </c>
      <c r="V84" s="27">
        <v>22</v>
      </c>
      <c r="W84" s="37">
        <v>-8.7000000000000001E-5</v>
      </c>
      <c r="X84" s="27">
        <v>1</v>
      </c>
      <c r="Y84" s="38">
        <v>-8.7000000000000001E-5</v>
      </c>
      <c r="Z84" s="27" t="s">
        <v>65</v>
      </c>
    </row>
    <row r="85" spans="2:26" x14ac:dyDescent="0.2">
      <c r="B85" s="27" t="s">
        <v>183</v>
      </c>
      <c r="C85" s="27">
        <v>256</v>
      </c>
      <c r="D85" s="27" t="s">
        <v>129</v>
      </c>
      <c r="E85" s="27" t="s">
        <v>106</v>
      </c>
      <c r="F85" s="27" t="s">
        <v>217</v>
      </c>
      <c r="G85" s="27" t="s">
        <v>64</v>
      </c>
      <c r="H85" s="27">
        <v>60</v>
      </c>
      <c r="I85" s="27">
        <v>15</v>
      </c>
      <c r="J85" s="37">
        <v>-2.1000000000000001E-4</v>
      </c>
      <c r="K85" s="27">
        <v>12</v>
      </c>
      <c r="L85" s="38">
        <v>-2.1000000000000001E-4</v>
      </c>
      <c r="M85" s="27" t="s">
        <v>65</v>
      </c>
      <c r="O85" s="27" t="s">
        <v>183</v>
      </c>
      <c r="P85" s="27">
        <v>256</v>
      </c>
      <c r="Q85" s="27" t="s">
        <v>129</v>
      </c>
      <c r="R85" s="27" t="s">
        <v>379</v>
      </c>
      <c r="S85" s="27" t="s">
        <v>217</v>
      </c>
      <c r="T85" s="27" t="s">
        <v>64</v>
      </c>
      <c r="U85" s="27">
        <v>10</v>
      </c>
      <c r="V85" s="27">
        <v>15</v>
      </c>
      <c r="W85" s="37">
        <v>-2.1000000000000001E-4</v>
      </c>
      <c r="X85" s="27">
        <v>12</v>
      </c>
      <c r="Y85" s="38">
        <v>-2.1000000000000001E-4</v>
      </c>
      <c r="Z85" s="27" t="s">
        <v>65</v>
      </c>
    </row>
    <row r="86" spans="2:26" x14ac:dyDescent="0.2">
      <c r="B86" s="27" t="s">
        <v>183</v>
      </c>
      <c r="C86" s="27">
        <v>265</v>
      </c>
      <c r="D86" s="27" t="s">
        <v>128</v>
      </c>
      <c r="E86" s="27" t="s">
        <v>106</v>
      </c>
      <c r="F86" s="27" t="s">
        <v>218</v>
      </c>
      <c r="G86" s="27" t="s">
        <v>63</v>
      </c>
      <c r="H86" s="27">
        <v>60</v>
      </c>
      <c r="I86" s="27">
        <v>15</v>
      </c>
      <c r="J86" s="37">
        <v>-6.9999999999999994E-5</v>
      </c>
      <c r="K86" s="27">
        <v>6</v>
      </c>
      <c r="L86" s="38">
        <v>-6.6000000000000005E-5</v>
      </c>
      <c r="M86" s="27" t="s">
        <v>65</v>
      </c>
      <c r="O86" s="27" t="s">
        <v>183</v>
      </c>
      <c r="P86" s="27">
        <v>265</v>
      </c>
      <c r="Q86" s="27" t="s">
        <v>128</v>
      </c>
      <c r="R86" s="27" t="s">
        <v>379</v>
      </c>
      <c r="S86" s="27" t="s">
        <v>218</v>
      </c>
      <c r="T86" s="27" t="s">
        <v>63</v>
      </c>
      <c r="U86" s="27">
        <v>10</v>
      </c>
      <c r="V86" s="27">
        <v>15</v>
      </c>
      <c r="W86" s="37">
        <v>-6.9999999999999994E-5</v>
      </c>
      <c r="X86" s="27">
        <v>6</v>
      </c>
      <c r="Y86" s="38">
        <v>-6.6000000000000005E-5</v>
      </c>
      <c r="Z86" s="27" t="s">
        <v>65</v>
      </c>
    </row>
    <row r="87" spans="2:26" x14ac:dyDescent="0.2">
      <c r="B87" s="27" t="s">
        <v>183</v>
      </c>
      <c r="C87" s="27">
        <v>265</v>
      </c>
      <c r="D87" s="27" t="s">
        <v>128</v>
      </c>
      <c r="E87" s="27" t="s">
        <v>106</v>
      </c>
      <c r="F87" s="27" t="s">
        <v>219</v>
      </c>
      <c r="G87" s="27" t="s">
        <v>64</v>
      </c>
      <c r="H87" s="27">
        <v>60</v>
      </c>
      <c r="I87" s="27">
        <v>17</v>
      </c>
      <c r="J87" s="37">
        <v>-8.2000000000000001E-5</v>
      </c>
      <c r="K87" s="27">
        <v>3</v>
      </c>
      <c r="L87" s="38">
        <v>-7.4999999999999993E-5</v>
      </c>
      <c r="M87" s="27" t="s">
        <v>65</v>
      </c>
      <c r="O87" s="27" t="s">
        <v>183</v>
      </c>
      <c r="P87" s="27">
        <v>265</v>
      </c>
      <c r="Q87" s="27" t="s">
        <v>128</v>
      </c>
      <c r="R87" s="27" t="s">
        <v>379</v>
      </c>
      <c r="S87" s="27" t="s">
        <v>219</v>
      </c>
      <c r="T87" s="27" t="s">
        <v>64</v>
      </c>
      <c r="U87" s="27">
        <v>10</v>
      </c>
      <c r="V87" s="27">
        <v>17</v>
      </c>
      <c r="W87" s="37">
        <v>-8.2000000000000001E-5</v>
      </c>
      <c r="X87" s="27">
        <v>3</v>
      </c>
      <c r="Y87" s="38">
        <v>-7.4999999999999993E-5</v>
      </c>
      <c r="Z87" s="27" t="s">
        <v>65</v>
      </c>
    </row>
    <row r="88" spans="2:26" x14ac:dyDescent="0.2">
      <c r="B88" s="27" t="s">
        <v>183</v>
      </c>
      <c r="C88" s="27">
        <v>249</v>
      </c>
      <c r="D88" s="27" t="s">
        <v>127</v>
      </c>
      <c r="E88" s="27" t="s">
        <v>106</v>
      </c>
      <c r="F88" s="27" t="s">
        <v>220</v>
      </c>
      <c r="G88" s="27" t="s">
        <v>63</v>
      </c>
      <c r="H88" s="27">
        <v>60</v>
      </c>
      <c r="I88" s="27">
        <v>16</v>
      </c>
      <c r="J88" s="37">
        <v>-5.53E-4</v>
      </c>
      <c r="K88" s="27">
        <v>1</v>
      </c>
      <c r="L88" s="38">
        <v>-4.6299999999999998E-4</v>
      </c>
      <c r="M88" s="27" t="s">
        <v>65</v>
      </c>
      <c r="O88" s="27" t="s">
        <v>183</v>
      </c>
      <c r="P88" s="27">
        <v>249</v>
      </c>
      <c r="Q88" s="27" t="s">
        <v>127</v>
      </c>
      <c r="R88" s="27" t="s">
        <v>379</v>
      </c>
      <c r="S88" s="27" t="s">
        <v>220</v>
      </c>
      <c r="T88" s="27" t="s">
        <v>63</v>
      </c>
      <c r="U88" s="27">
        <v>10</v>
      </c>
      <c r="V88" s="27">
        <v>16</v>
      </c>
      <c r="W88" s="37">
        <v>-5.53E-4</v>
      </c>
      <c r="X88" s="27">
        <v>1</v>
      </c>
      <c r="Y88" s="38">
        <v>-4.6200000000000001E-4</v>
      </c>
      <c r="Z88" s="27" t="s">
        <v>65</v>
      </c>
    </row>
    <row r="89" spans="2:26" x14ac:dyDescent="0.2">
      <c r="B89" s="27" t="s">
        <v>183</v>
      </c>
      <c r="C89" s="27">
        <v>249</v>
      </c>
      <c r="D89" s="27" t="s">
        <v>127</v>
      </c>
      <c r="E89" s="27" t="s">
        <v>106</v>
      </c>
      <c r="F89" s="27" t="s">
        <v>221</v>
      </c>
      <c r="G89" s="27" t="s">
        <v>64</v>
      </c>
      <c r="H89" s="27">
        <v>60</v>
      </c>
      <c r="I89" s="27">
        <v>9</v>
      </c>
      <c r="J89" s="37">
        <v>-3.97E-4</v>
      </c>
      <c r="K89" s="27">
        <v>6</v>
      </c>
      <c r="L89" s="38">
        <v>-3.39E-4</v>
      </c>
      <c r="M89" s="27" t="s">
        <v>65</v>
      </c>
      <c r="O89" s="27" t="s">
        <v>183</v>
      </c>
      <c r="P89" s="27">
        <v>249</v>
      </c>
      <c r="Q89" s="27" t="s">
        <v>127</v>
      </c>
      <c r="R89" s="27" t="s">
        <v>379</v>
      </c>
      <c r="S89" s="27" t="s">
        <v>221</v>
      </c>
      <c r="T89" s="27" t="s">
        <v>64</v>
      </c>
      <c r="U89" s="27">
        <v>10</v>
      </c>
      <c r="V89" s="27">
        <v>9</v>
      </c>
      <c r="W89" s="37">
        <v>-3.97E-4</v>
      </c>
      <c r="X89" s="27">
        <v>6</v>
      </c>
      <c r="Y89" s="38">
        <v>-3.39E-4</v>
      </c>
      <c r="Z89" s="27" t="s">
        <v>65</v>
      </c>
    </row>
    <row r="90" spans="2:26" x14ac:dyDescent="0.2">
      <c r="B90" s="27" t="s">
        <v>183</v>
      </c>
      <c r="C90" s="27">
        <v>261</v>
      </c>
      <c r="D90" s="27" t="s">
        <v>128</v>
      </c>
      <c r="E90" s="27" t="s">
        <v>106</v>
      </c>
      <c r="F90" s="27" t="s">
        <v>222</v>
      </c>
      <c r="G90" s="27" t="s">
        <v>63</v>
      </c>
      <c r="H90" s="27">
        <v>60</v>
      </c>
      <c r="I90" s="27">
        <v>22</v>
      </c>
      <c r="J90" s="37">
        <v>-1.8900000000000001E-4</v>
      </c>
      <c r="K90" s="27">
        <v>1</v>
      </c>
      <c r="L90" s="38">
        <v>-1.75E-4</v>
      </c>
      <c r="M90" s="27" t="s">
        <v>65</v>
      </c>
      <c r="O90" s="27" t="s">
        <v>183</v>
      </c>
      <c r="P90" s="27">
        <v>261</v>
      </c>
      <c r="Q90" s="27" t="s">
        <v>128</v>
      </c>
      <c r="R90" s="27" t="s">
        <v>379</v>
      </c>
      <c r="S90" s="27" t="s">
        <v>222</v>
      </c>
      <c r="T90" s="27" t="s">
        <v>63</v>
      </c>
      <c r="U90" s="27">
        <v>10</v>
      </c>
      <c r="V90" s="27">
        <v>22</v>
      </c>
      <c r="W90" s="37">
        <v>-1.8799999999999999E-4</v>
      </c>
      <c r="X90" s="27">
        <v>1</v>
      </c>
      <c r="Y90" s="38">
        <v>-1.75E-4</v>
      </c>
      <c r="Z90" s="27" t="s">
        <v>65</v>
      </c>
    </row>
    <row r="91" spans="2:26" x14ac:dyDescent="0.2">
      <c r="B91" s="27" t="s">
        <v>183</v>
      </c>
      <c r="C91" s="27">
        <v>261</v>
      </c>
      <c r="D91" s="27" t="s">
        <v>128</v>
      </c>
      <c r="E91" s="27" t="s">
        <v>106</v>
      </c>
      <c r="F91" s="27" t="s">
        <v>223</v>
      </c>
      <c r="G91" s="27" t="s">
        <v>64</v>
      </c>
      <c r="H91" s="27">
        <v>60</v>
      </c>
      <c r="I91" s="27">
        <v>15</v>
      </c>
      <c r="J91" s="37">
        <v>-1.7799999999999999E-4</v>
      </c>
      <c r="K91" s="27">
        <v>6</v>
      </c>
      <c r="L91" s="38">
        <v>-1.6100000000000001E-4</v>
      </c>
      <c r="M91" s="27" t="s">
        <v>65</v>
      </c>
      <c r="O91" s="27" t="s">
        <v>183</v>
      </c>
      <c r="P91" s="27">
        <v>261</v>
      </c>
      <c r="Q91" s="27" t="s">
        <v>128</v>
      </c>
      <c r="R91" s="27" t="s">
        <v>379</v>
      </c>
      <c r="S91" s="27" t="s">
        <v>223</v>
      </c>
      <c r="T91" s="27" t="s">
        <v>64</v>
      </c>
      <c r="U91" s="27">
        <v>10</v>
      </c>
      <c r="V91" s="27">
        <v>15</v>
      </c>
      <c r="W91" s="37">
        <v>-1.7799999999999999E-4</v>
      </c>
      <c r="X91" s="27">
        <v>6</v>
      </c>
      <c r="Y91" s="38">
        <v>-1.6100000000000001E-4</v>
      </c>
      <c r="Z91" s="27" t="s">
        <v>65</v>
      </c>
    </row>
    <row r="92" spans="2:26" x14ac:dyDescent="0.2">
      <c r="B92" s="27" t="s">
        <v>183</v>
      </c>
      <c r="C92" s="27">
        <v>257</v>
      </c>
      <c r="D92" s="27" t="s">
        <v>129</v>
      </c>
      <c r="E92" s="27" t="s">
        <v>106</v>
      </c>
      <c r="F92" s="27" t="s">
        <v>224</v>
      </c>
      <c r="G92" s="27" t="s">
        <v>63</v>
      </c>
      <c r="H92" s="27">
        <v>60</v>
      </c>
      <c r="I92" s="27">
        <v>17</v>
      </c>
      <c r="J92" s="37">
        <v>-1.8799999999999999E-4</v>
      </c>
      <c r="K92" s="27">
        <v>6</v>
      </c>
      <c r="L92" s="38">
        <v>-1.64E-4</v>
      </c>
      <c r="M92" s="27" t="s">
        <v>65</v>
      </c>
      <c r="O92" s="27" t="s">
        <v>183</v>
      </c>
      <c r="P92" s="27">
        <v>257</v>
      </c>
      <c r="Q92" s="27" t="s">
        <v>129</v>
      </c>
      <c r="R92" s="27" t="s">
        <v>379</v>
      </c>
      <c r="S92" s="27" t="s">
        <v>224</v>
      </c>
      <c r="T92" s="27" t="s">
        <v>63</v>
      </c>
      <c r="U92" s="27">
        <v>10</v>
      </c>
      <c r="V92" s="27">
        <v>17</v>
      </c>
      <c r="W92" s="37">
        <v>-1.8799999999999999E-4</v>
      </c>
      <c r="X92" s="27">
        <v>6</v>
      </c>
      <c r="Y92" s="38">
        <v>-1.64E-4</v>
      </c>
      <c r="Z92" s="27" t="s">
        <v>65</v>
      </c>
    </row>
    <row r="93" spans="2:26" x14ac:dyDescent="0.2">
      <c r="B93" s="27" t="s">
        <v>183</v>
      </c>
      <c r="C93" s="27">
        <v>257</v>
      </c>
      <c r="D93" s="27" t="s">
        <v>129</v>
      </c>
      <c r="E93" s="27" t="s">
        <v>106</v>
      </c>
      <c r="F93" s="27" t="s">
        <v>225</v>
      </c>
      <c r="G93" s="27" t="s">
        <v>64</v>
      </c>
      <c r="H93" s="27">
        <v>60</v>
      </c>
      <c r="I93" s="27">
        <v>15</v>
      </c>
      <c r="J93" s="37">
        <v>-2.4699999999999999E-4</v>
      </c>
      <c r="K93" s="27">
        <v>12</v>
      </c>
      <c r="L93" s="38">
        <v>-2.32E-4</v>
      </c>
      <c r="M93" s="27" t="s">
        <v>65</v>
      </c>
      <c r="O93" s="27" t="s">
        <v>183</v>
      </c>
      <c r="P93" s="27">
        <v>257</v>
      </c>
      <c r="Q93" s="27" t="s">
        <v>129</v>
      </c>
      <c r="R93" s="27" t="s">
        <v>379</v>
      </c>
      <c r="S93" s="27" t="s">
        <v>225</v>
      </c>
      <c r="T93" s="27" t="s">
        <v>64</v>
      </c>
      <c r="U93" s="27">
        <v>10</v>
      </c>
      <c r="V93" s="27">
        <v>15</v>
      </c>
      <c r="W93" s="37">
        <v>-2.4699999999999999E-4</v>
      </c>
      <c r="X93" s="27">
        <v>12</v>
      </c>
      <c r="Y93" s="38">
        <v>-2.32E-4</v>
      </c>
      <c r="Z93" s="27" t="s">
        <v>65</v>
      </c>
    </row>
    <row r="94" spans="2:26" x14ac:dyDescent="0.2">
      <c r="B94" s="27" t="s">
        <v>183</v>
      </c>
      <c r="C94" s="27">
        <v>258</v>
      </c>
      <c r="D94" s="27" t="s">
        <v>129</v>
      </c>
      <c r="E94" s="27" t="s">
        <v>106</v>
      </c>
      <c r="F94" s="27" t="s">
        <v>226</v>
      </c>
      <c r="G94" s="27" t="s">
        <v>63</v>
      </c>
      <c r="H94" s="27">
        <v>60</v>
      </c>
      <c r="I94" s="27">
        <v>17</v>
      </c>
      <c r="J94" s="37">
        <v>-1.8799999999999999E-4</v>
      </c>
      <c r="K94" s="27">
        <v>6</v>
      </c>
      <c r="L94" s="38">
        <v>-1.64E-4</v>
      </c>
      <c r="M94" s="27" t="s">
        <v>65</v>
      </c>
      <c r="O94" s="27" t="s">
        <v>183</v>
      </c>
      <c r="P94" s="27">
        <v>258</v>
      </c>
      <c r="Q94" s="27" t="s">
        <v>129</v>
      </c>
      <c r="R94" s="27" t="s">
        <v>379</v>
      </c>
      <c r="S94" s="27" t="s">
        <v>226</v>
      </c>
      <c r="T94" s="27" t="s">
        <v>63</v>
      </c>
      <c r="U94" s="27">
        <v>10</v>
      </c>
      <c r="V94" s="27">
        <v>17</v>
      </c>
      <c r="W94" s="37">
        <v>-1.8799999999999999E-4</v>
      </c>
      <c r="X94" s="27">
        <v>6</v>
      </c>
      <c r="Y94" s="38">
        <v>-1.64E-4</v>
      </c>
      <c r="Z94" s="27" t="s">
        <v>65</v>
      </c>
    </row>
    <row r="95" spans="2:26" x14ac:dyDescent="0.2">
      <c r="B95" s="27" t="s">
        <v>183</v>
      </c>
      <c r="C95" s="27">
        <v>258</v>
      </c>
      <c r="D95" s="27" t="s">
        <v>129</v>
      </c>
      <c r="E95" s="27" t="s">
        <v>106</v>
      </c>
      <c r="F95" s="27" t="s">
        <v>227</v>
      </c>
      <c r="G95" s="27" t="s">
        <v>64</v>
      </c>
      <c r="H95" s="27">
        <v>60</v>
      </c>
      <c r="I95" s="27">
        <v>15</v>
      </c>
      <c r="J95" s="37">
        <v>-2.4600000000000002E-4</v>
      </c>
      <c r="K95" s="27">
        <v>12</v>
      </c>
      <c r="L95" s="38">
        <v>-2.32E-4</v>
      </c>
      <c r="M95" s="27" t="s">
        <v>65</v>
      </c>
      <c r="O95" s="27" t="s">
        <v>183</v>
      </c>
      <c r="P95" s="27">
        <v>258</v>
      </c>
      <c r="Q95" s="27" t="s">
        <v>129</v>
      </c>
      <c r="R95" s="27" t="s">
        <v>379</v>
      </c>
      <c r="S95" s="27" t="s">
        <v>227</v>
      </c>
      <c r="T95" s="27" t="s">
        <v>64</v>
      </c>
      <c r="U95" s="27">
        <v>10</v>
      </c>
      <c r="V95" s="27">
        <v>15</v>
      </c>
      <c r="W95" s="37">
        <v>-2.4600000000000002E-4</v>
      </c>
      <c r="X95" s="27">
        <v>12</v>
      </c>
      <c r="Y95" s="38">
        <v>-2.32E-4</v>
      </c>
      <c r="Z95" s="27" t="s">
        <v>65</v>
      </c>
    </row>
    <row r="96" spans="2:26" x14ac:dyDescent="0.2">
      <c r="B96" s="27" t="s">
        <v>183</v>
      </c>
      <c r="C96" s="27">
        <v>262</v>
      </c>
      <c r="D96" s="27" t="s">
        <v>128</v>
      </c>
      <c r="E96" s="27" t="s">
        <v>106</v>
      </c>
      <c r="F96" s="27" t="s">
        <v>228</v>
      </c>
      <c r="G96" s="27" t="s">
        <v>63</v>
      </c>
      <c r="H96" s="27">
        <v>60</v>
      </c>
      <c r="I96" s="27">
        <v>22</v>
      </c>
      <c r="J96" s="37">
        <v>-1.9599999999999999E-4</v>
      </c>
      <c r="K96" s="27">
        <v>1</v>
      </c>
      <c r="L96" s="38">
        <v>-1.8100000000000001E-4</v>
      </c>
      <c r="M96" s="27" t="s">
        <v>65</v>
      </c>
      <c r="O96" s="27" t="s">
        <v>183</v>
      </c>
      <c r="P96" s="27">
        <v>262</v>
      </c>
      <c r="Q96" s="27" t="s">
        <v>128</v>
      </c>
      <c r="R96" s="27" t="s">
        <v>379</v>
      </c>
      <c r="S96" s="27" t="s">
        <v>228</v>
      </c>
      <c r="T96" s="27" t="s">
        <v>63</v>
      </c>
      <c r="U96" s="27">
        <v>10</v>
      </c>
      <c r="V96" s="27">
        <v>22</v>
      </c>
      <c r="W96" s="37">
        <v>-1.9599999999999999E-4</v>
      </c>
      <c r="X96" s="27">
        <v>1</v>
      </c>
      <c r="Y96" s="38">
        <v>-1.8100000000000001E-4</v>
      </c>
      <c r="Z96" s="27" t="s">
        <v>65</v>
      </c>
    </row>
    <row r="97" spans="2:26" x14ac:dyDescent="0.2">
      <c r="B97" s="27" t="s">
        <v>183</v>
      </c>
      <c r="C97" s="27">
        <v>262</v>
      </c>
      <c r="D97" s="27" t="s">
        <v>128</v>
      </c>
      <c r="E97" s="27" t="s">
        <v>106</v>
      </c>
      <c r="F97" s="27" t="s">
        <v>229</v>
      </c>
      <c r="G97" s="27" t="s">
        <v>64</v>
      </c>
      <c r="H97" s="27">
        <v>60</v>
      </c>
      <c r="I97" s="27">
        <v>15</v>
      </c>
      <c r="J97" s="37">
        <v>-1.8200000000000001E-4</v>
      </c>
      <c r="K97" s="27">
        <v>6</v>
      </c>
      <c r="L97" s="38">
        <v>-1.63E-4</v>
      </c>
      <c r="M97" s="27" t="s">
        <v>65</v>
      </c>
      <c r="O97" s="27" t="s">
        <v>183</v>
      </c>
      <c r="P97" s="27">
        <v>262</v>
      </c>
      <c r="Q97" s="27" t="s">
        <v>128</v>
      </c>
      <c r="R97" s="27" t="s">
        <v>379</v>
      </c>
      <c r="S97" s="27" t="s">
        <v>229</v>
      </c>
      <c r="T97" s="27" t="s">
        <v>64</v>
      </c>
      <c r="U97" s="27">
        <v>10</v>
      </c>
      <c r="V97" s="27">
        <v>15</v>
      </c>
      <c r="W97" s="37">
        <v>-1.8200000000000001E-4</v>
      </c>
      <c r="X97" s="27">
        <v>6</v>
      </c>
      <c r="Y97" s="38">
        <v>-1.63E-4</v>
      </c>
      <c r="Z97" s="27" t="s">
        <v>65</v>
      </c>
    </row>
    <row r="98" spans="2:26" x14ac:dyDescent="0.2">
      <c r="B98" s="27" t="s">
        <v>183</v>
      </c>
      <c r="C98" s="27">
        <v>250</v>
      </c>
      <c r="D98" s="27" t="s">
        <v>127</v>
      </c>
      <c r="E98" s="27" t="s">
        <v>106</v>
      </c>
      <c r="F98" s="27" t="s">
        <v>230</v>
      </c>
      <c r="G98" s="27" t="s">
        <v>63</v>
      </c>
      <c r="H98" s="27">
        <v>60</v>
      </c>
      <c r="I98" s="27">
        <v>11</v>
      </c>
      <c r="J98" s="37">
        <v>-2.6800000000000001E-4</v>
      </c>
      <c r="K98" s="27">
        <v>3</v>
      </c>
      <c r="L98" s="38">
        <v>-2.2900000000000001E-4</v>
      </c>
      <c r="M98" s="27" t="s">
        <v>65</v>
      </c>
      <c r="O98" s="27" t="s">
        <v>183</v>
      </c>
      <c r="P98" s="27">
        <v>250</v>
      </c>
      <c r="Q98" s="27" t="s">
        <v>127</v>
      </c>
      <c r="R98" s="27" t="s">
        <v>379</v>
      </c>
      <c r="S98" s="27" t="s">
        <v>230</v>
      </c>
      <c r="T98" s="27" t="s">
        <v>63</v>
      </c>
      <c r="U98" s="27">
        <v>10</v>
      </c>
      <c r="V98" s="27">
        <v>11</v>
      </c>
      <c r="W98" s="37">
        <v>-2.6800000000000001E-4</v>
      </c>
      <c r="X98" s="27">
        <v>3</v>
      </c>
      <c r="Y98" s="38">
        <v>-2.3000000000000001E-4</v>
      </c>
      <c r="Z98" s="27" t="s">
        <v>65</v>
      </c>
    </row>
    <row r="99" spans="2:26" x14ac:dyDescent="0.2">
      <c r="B99" s="27" t="s">
        <v>183</v>
      </c>
      <c r="C99" s="27">
        <v>250</v>
      </c>
      <c r="D99" s="27" t="s">
        <v>127</v>
      </c>
      <c r="E99" s="27" t="s">
        <v>106</v>
      </c>
      <c r="F99" s="27" t="s">
        <v>231</v>
      </c>
      <c r="G99" s="27" t="s">
        <v>64</v>
      </c>
      <c r="H99" s="27">
        <v>60</v>
      </c>
      <c r="I99" s="27">
        <v>9</v>
      </c>
      <c r="J99" s="37">
        <v>-2.0000000000000001E-4</v>
      </c>
      <c r="K99" s="27">
        <v>6</v>
      </c>
      <c r="L99" s="38">
        <v>-1.74E-4</v>
      </c>
      <c r="M99" s="27" t="s">
        <v>65</v>
      </c>
      <c r="O99" s="27" t="s">
        <v>183</v>
      </c>
      <c r="P99" s="27">
        <v>250</v>
      </c>
      <c r="Q99" s="27" t="s">
        <v>127</v>
      </c>
      <c r="R99" s="27" t="s">
        <v>379</v>
      </c>
      <c r="S99" s="27" t="s">
        <v>231</v>
      </c>
      <c r="T99" s="27" t="s">
        <v>64</v>
      </c>
      <c r="U99" s="27">
        <v>10</v>
      </c>
      <c r="V99" s="27">
        <v>9</v>
      </c>
      <c r="W99" s="37">
        <v>-2.0000000000000001E-4</v>
      </c>
      <c r="X99" s="27">
        <v>6</v>
      </c>
      <c r="Y99" s="38">
        <v>-1.74E-4</v>
      </c>
      <c r="Z99" s="27" t="s">
        <v>65</v>
      </c>
    </row>
    <row r="100" spans="2:26" x14ac:dyDescent="0.2">
      <c r="B100" s="27" t="s">
        <v>232</v>
      </c>
      <c r="C100" s="27">
        <v>65</v>
      </c>
      <c r="D100" s="27" t="s">
        <v>127</v>
      </c>
      <c r="E100" s="27" t="s">
        <v>106</v>
      </c>
      <c r="F100" s="27" t="s">
        <v>233</v>
      </c>
      <c r="G100" s="27" t="s">
        <v>63</v>
      </c>
      <c r="H100" s="27">
        <v>60</v>
      </c>
      <c r="I100" s="27">
        <v>14</v>
      </c>
      <c r="J100" s="37">
        <v>-6.4199999999999999E-4</v>
      </c>
      <c r="K100" s="27">
        <v>4</v>
      </c>
      <c r="L100" s="38">
        <v>-5.4600000000000004E-4</v>
      </c>
      <c r="M100" s="27" t="s">
        <v>65</v>
      </c>
      <c r="O100" s="27" t="s">
        <v>232</v>
      </c>
      <c r="P100" s="27">
        <v>65</v>
      </c>
      <c r="Q100" s="27" t="s">
        <v>127</v>
      </c>
      <c r="R100" s="27" t="s">
        <v>379</v>
      </c>
      <c r="S100" s="27" t="s">
        <v>233</v>
      </c>
      <c r="T100" s="27" t="s">
        <v>63</v>
      </c>
      <c r="U100" s="27">
        <v>10</v>
      </c>
      <c r="V100" s="27">
        <v>14</v>
      </c>
      <c r="W100" s="37">
        <v>-6.4099999999999997E-4</v>
      </c>
      <c r="X100" s="27">
        <v>4</v>
      </c>
      <c r="Y100" s="38">
        <v>-5.4600000000000004E-4</v>
      </c>
      <c r="Z100" s="27" t="s">
        <v>65</v>
      </c>
    </row>
    <row r="101" spans="2:26" x14ac:dyDescent="0.2">
      <c r="B101" s="27" t="s">
        <v>232</v>
      </c>
      <c r="C101" s="27">
        <v>65</v>
      </c>
      <c r="D101" s="27" t="s">
        <v>127</v>
      </c>
      <c r="E101" s="27" t="s">
        <v>106</v>
      </c>
      <c r="F101" s="27" t="s">
        <v>234</v>
      </c>
      <c r="G101" s="27" t="s">
        <v>64</v>
      </c>
      <c r="H101" s="27">
        <v>60</v>
      </c>
      <c r="I101" s="27">
        <v>11</v>
      </c>
      <c r="J101" s="37">
        <v>-4.57E-4</v>
      </c>
      <c r="K101" s="27">
        <v>3</v>
      </c>
      <c r="L101" s="38">
        <v>-3.97E-4</v>
      </c>
      <c r="M101" s="27" t="s">
        <v>65</v>
      </c>
      <c r="O101" s="27" t="s">
        <v>232</v>
      </c>
      <c r="P101" s="27">
        <v>65</v>
      </c>
      <c r="Q101" s="27" t="s">
        <v>127</v>
      </c>
      <c r="R101" s="27" t="s">
        <v>379</v>
      </c>
      <c r="S101" s="27" t="s">
        <v>234</v>
      </c>
      <c r="T101" s="27" t="s">
        <v>64</v>
      </c>
      <c r="U101" s="27">
        <v>10</v>
      </c>
      <c r="V101" s="27">
        <v>11</v>
      </c>
      <c r="W101" s="37">
        <v>-4.57E-4</v>
      </c>
      <c r="X101" s="27">
        <v>3</v>
      </c>
      <c r="Y101" s="38">
        <v>-3.97E-4</v>
      </c>
      <c r="Z101" s="27" t="s">
        <v>65</v>
      </c>
    </row>
    <row r="102" spans="2:26" x14ac:dyDescent="0.2">
      <c r="B102" s="27" t="s">
        <v>232</v>
      </c>
      <c r="C102" s="27">
        <v>77</v>
      </c>
      <c r="D102" s="27" t="s">
        <v>128</v>
      </c>
      <c r="E102" s="27" t="s">
        <v>106</v>
      </c>
      <c r="F102" s="27" t="s">
        <v>235</v>
      </c>
      <c r="G102" s="27" t="s">
        <v>63</v>
      </c>
      <c r="H102" s="27">
        <v>60</v>
      </c>
      <c r="I102" s="27">
        <v>20</v>
      </c>
      <c r="J102" s="37">
        <v>-2.7E-4</v>
      </c>
      <c r="K102" s="27">
        <v>4</v>
      </c>
      <c r="L102" s="38">
        <v>-2.4699999999999999E-4</v>
      </c>
      <c r="M102" s="27" t="s">
        <v>65</v>
      </c>
      <c r="O102" s="27" t="s">
        <v>232</v>
      </c>
      <c r="P102" s="27">
        <v>77</v>
      </c>
      <c r="Q102" s="27" t="s">
        <v>128</v>
      </c>
      <c r="R102" s="27" t="s">
        <v>379</v>
      </c>
      <c r="S102" s="27" t="s">
        <v>235</v>
      </c>
      <c r="T102" s="27" t="s">
        <v>63</v>
      </c>
      <c r="U102" s="27">
        <v>10</v>
      </c>
      <c r="V102" s="27">
        <v>20</v>
      </c>
      <c r="W102" s="37">
        <v>-2.7E-4</v>
      </c>
      <c r="X102" s="27">
        <v>4</v>
      </c>
      <c r="Y102" s="38">
        <v>-2.4699999999999999E-4</v>
      </c>
      <c r="Z102" s="27" t="s">
        <v>65</v>
      </c>
    </row>
    <row r="103" spans="2:26" x14ac:dyDescent="0.2">
      <c r="B103" s="27" t="s">
        <v>232</v>
      </c>
      <c r="C103" s="27">
        <v>77</v>
      </c>
      <c r="D103" s="27" t="s">
        <v>128</v>
      </c>
      <c r="E103" s="27" t="s">
        <v>106</v>
      </c>
      <c r="F103" s="27" t="s">
        <v>236</v>
      </c>
      <c r="G103" s="27" t="s">
        <v>64</v>
      </c>
      <c r="H103" s="27">
        <v>60</v>
      </c>
      <c r="I103" s="27">
        <v>17</v>
      </c>
      <c r="J103" s="37">
        <v>-2.2599999999999999E-4</v>
      </c>
      <c r="K103" s="27">
        <v>3</v>
      </c>
      <c r="L103" s="38">
        <v>-2.0699999999999999E-4</v>
      </c>
      <c r="M103" s="27" t="s">
        <v>65</v>
      </c>
      <c r="O103" s="27" t="s">
        <v>232</v>
      </c>
      <c r="P103" s="27">
        <v>77</v>
      </c>
      <c r="Q103" s="27" t="s">
        <v>128</v>
      </c>
      <c r="R103" s="27" t="s">
        <v>379</v>
      </c>
      <c r="S103" s="27" t="s">
        <v>236</v>
      </c>
      <c r="T103" s="27" t="s">
        <v>64</v>
      </c>
      <c r="U103" s="27">
        <v>10</v>
      </c>
      <c r="V103" s="27">
        <v>17</v>
      </c>
      <c r="W103" s="37">
        <v>-2.2599999999999999E-4</v>
      </c>
      <c r="X103" s="27">
        <v>3</v>
      </c>
      <c r="Y103" s="38">
        <v>-2.0699999999999999E-4</v>
      </c>
      <c r="Z103" s="27" t="s">
        <v>65</v>
      </c>
    </row>
    <row r="104" spans="2:26" x14ac:dyDescent="0.2">
      <c r="B104" s="27" t="s">
        <v>232</v>
      </c>
      <c r="C104" s="27">
        <v>73</v>
      </c>
      <c r="D104" s="27" t="s">
        <v>129</v>
      </c>
      <c r="E104" s="27" t="s">
        <v>106</v>
      </c>
      <c r="F104" s="27" t="s">
        <v>237</v>
      </c>
      <c r="G104" s="27" t="s">
        <v>63</v>
      </c>
      <c r="H104" s="27">
        <v>60</v>
      </c>
      <c r="I104" s="27">
        <v>20</v>
      </c>
      <c r="J104" s="37">
        <v>-2.7E-4</v>
      </c>
      <c r="K104" s="27">
        <v>7</v>
      </c>
      <c r="L104" s="38">
        <v>-2.4699999999999999E-4</v>
      </c>
      <c r="M104" s="27" t="s">
        <v>65</v>
      </c>
      <c r="O104" s="27" t="s">
        <v>232</v>
      </c>
      <c r="P104" s="27">
        <v>73</v>
      </c>
      <c r="Q104" s="27" t="s">
        <v>129</v>
      </c>
      <c r="R104" s="27" t="s">
        <v>379</v>
      </c>
      <c r="S104" s="27" t="s">
        <v>237</v>
      </c>
      <c r="T104" s="27" t="s">
        <v>63</v>
      </c>
      <c r="U104" s="27">
        <v>10</v>
      </c>
      <c r="V104" s="27">
        <v>20</v>
      </c>
      <c r="W104" s="37">
        <v>-2.7E-4</v>
      </c>
      <c r="X104" s="27">
        <v>7</v>
      </c>
      <c r="Y104" s="38">
        <v>-2.4600000000000002E-4</v>
      </c>
      <c r="Z104" s="27" t="s">
        <v>65</v>
      </c>
    </row>
    <row r="105" spans="2:26" x14ac:dyDescent="0.2">
      <c r="B105" s="27" t="s">
        <v>232</v>
      </c>
      <c r="C105" s="27">
        <v>73</v>
      </c>
      <c r="D105" s="27" t="s">
        <v>129</v>
      </c>
      <c r="E105" s="27" t="s">
        <v>106</v>
      </c>
      <c r="F105" s="27" t="s">
        <v>238</v>
      </c>
      <c r="G105" s="27" t="s">
        <v>64</v>
      </c>
      <c r="H105" s="27">
        <v>60</v>
      </c>
      <c r="I105" s="27">
        <v>17</v>
      </c>
      <c r="J105" s="37">
        <v>-2.5999999999999998E-4</v>
      </c>
      <c r="K105" s="27">
        <v>6</v>
      </c>
      <c r="L105" s="38">
        <v>-2.4399999999999999E-4</v>
      </c>
      <c r="M105" s="27" t="s">
        <v>65</v>
      </c>
      <c r="O105" s="27" t="s">
        <v>232</v>
      </c>
      <c r="P105" s="27">
        <v>73</v>
      </c>
      <c r="Q105" s="27" t="s">
        <v>129</v>
      </c>
      <c r="R105" s="27" t="s">
        <v>379</v>
      </c>
      <c r="S105" s="27" t="s">
        <v>238</v>
      </c>
      <c r="T105" s="27" t="s">
        <v>64</v>
      </c>
      <c r="U105" s="27">
        <v>10</v>
      </c>
      <c r="V105" s="27">
        <v>17</v>
      </c>
      <c r="W105" s="37">
        <v>-2.5999999999999998E-4</v>
      </c>
      <c r="X105" s="27">
        <v>6</v>
      </c>
      <c r="Y105" s="38">
        <v>-2.4399999999999999E-4</v>
      </c>
      <c r="Z105" s="27" t="s">
        <v>65</v>
      </c>
    </row>
    <row r="106" spans="2:26" x14ac:dyDescent="0.2">
      <c r="B106" s="27" t="s">
        <v>232</v>
      </c>
      <c r="C106" s="27">
        <v>74</v>
      </c>
      <c r="D106" s="27" t="s">
        <v>129</v>
      </c>
      <c r="E106" s="27" t="s">
        <v>106</v>
      </c>
      <c r="F106" s="27" t="s">
        <v>239</v>
      </c>
      <c r="G106" s="27" t="s">
        <v>63</v>
      </c>
      <c r="H106" s="27">
        <v>60</v>
      </c>
      <c r="I106" s="27">
        <v>20</v>
      </c>
      <c r="J106" s="37">
        <v>-2.7E-4</v>
      </c>
      <c r="K106" s="27">
        <v>7</v>
      </c>
      <c r="L106" s="38">
        <v>-2.4600000000000002E-4</v>
      </c>
      <c r="M106" s="27" t="s">
        <v>65</v>
      </c>
      <c r="O106" s="27" t="s">
        <v>232</v>
      </c>
      <c r="P106" s="27">
        <v>74</v>
      </c>
      <c r="Q106" s="27" t="s">
        <v>129</v>
      </c>
      <c r="R106" s="27" t="s">
        <v>379</v>
      </c>
      <c r="S106" s="27" t="s">
        <v>239</v>
      </c>
      <c r="T106" s="27" t="s">
        <v>63</v>
      </c>
      <c r="U106" s="27">
        <v>10</v>
      </c>
      <c r="V106" s="27">
        <v>20</v>
      </c>
      <c r="W106" s="37">
        <v>-2.6899999999999998E-4</v>
      </c>
      <c r="X106" s="27">
        <v>7</v>
      </c>
      <c r="Y106" s="38">
        <v>-2.4499999999999999E-4</v>
      </c>
      <c r="Z106" s="27" t="s">
        <v>65</v>
      </c>
    </row>
    <row r="107" spans="2:26" x14ac:dyDescent="0.2">
      <c r="B107" s="27" t="s">
        <v>232</v>
      </c>
      <c r="C107" s="27">
        <v>74</v>
      </c>
      <c r="D107" s="27" t="s">
        <v>129</v>
      </c>
      <c r="E107" s="27" t="s">
        <v>106</v>
      </c>
      <c r="F107" s="27" t="s">
        <v>240</v>
      </c>
      <c r="G107" s="27" t="s">
        <v>64</v>
      </c>
      <c r="H107" s="27">
        <v>60</v>
      </c>
      <c r="I107" s="27">
        <v>17</v>
      </c>
      <c r="J107" s="37">
        <v>-2.5900000000000001E-4</v>
      </c>
      <c r="K107" s="27">
        <v>6</v>
      </c>
      <c r="L107" s="38">
        <v>-2.43E-4</v>
      </c>
      <c r="M107" s="27" t="s">
        <v>65</v>
      </c>
      <c r="O107" s="27" t="s">
        <v>232</v>
      </c>
      <c r="P107" s="27">
        <v>74</v>
      </c>
      <c r="Q107" s="27" t="s">
        <v>129</v>
      </c>
      <c r="R107" s="27" t="s">
        <v>379</v>
      </c>
      <c r="S107" s="27" t="s">
        <v>240</v>
      </c>
      <c r="T107" s="27" t="s">
        <v>64</v>
      </c>
      <c r="U107" s="27">
        <v>10</v>
      </c>
      <c r="V107" s="27">
        <v>17</v>
      </c>
      <c r="W107" s="37">
        <v>-2.5900000000000001E-4</v>
      </c>
      <c r="X107" s="27">
        <v>6</v>
      </c>
      <c r="Y107" s="38">
        <v>-2.43E-4</v>
      </c>
      <c r="Z107" s="27" t="s">
        <v>65</v>
      </c>
    </row>
    <row r="108" spans="2:26" x14ac:dyDescent="0.2">
      <c r="B108" s="27" t="s">
        <v>232</v>
      </c>
      <c r="C108" s="27">
        <v>78</v>
      </c>
      <c r="D108" s="27" t="s">
        <v>128</v>
      </c>
      <c r="E108" s="27" t="s">
        <v>106</v>
      </c>
      <c r="F108" s="27" t="s">
        <v>241</v>
      </c>
      <c r="G108" s="27" t="s">
        <v>63</v>
      </c>
      <c r="H108" s="27">
        <v>60</v>
      </c>
      <c r="I108" s="27">
        <v>20</v>
      </c>
      <c r="J108" s="37">
        <v>-2.7500000000000002E-4</v>
      </c>
      <c r="K108" s="27">
        <v>4</v>
      </c>
      <c r="L108" s="38">
        <v>-2.5099999999999998E-4</v>
      </c>
      <c r="M108" s="27" t="s">
        <v>65</v>
      </c>
      <c r="O108" s="27" t="s">
        <v>232</v>
      </c>
      <c r="P108" s="27">
        <v>78</v>
      </c>
      <c r="Q108" s="27" t="s">
        <v>128</v>
      </c>
      <c r="R108" s="27" t="s">
        <v>379</v>
      </c>
      <c r="S108" s="27" t="s">
        <v>241</v>
      </c>
      <c r="T108" s="27" t="s">
        <v>63</v>
      </c>
      <c r="U108" s="27">
        <v>10</v>
      </c>
      <c r="V108" s="27">
        <v>20</v>
      </c>
      <c r="W108" s="37">
        <v>-2.7500000000000002E-4</v>
      </c>
      <c r="X108" s="27">
        <v>4</v>
      </c>
      <c r="Y108" s="38">
        <v>-2.5099999999999998E-4</v>
      </c>
      <c r="Z108" s="27" t="s">
        <v>65</v>
      </c>
    </row>
    <row r="109" spans="2:26" x14ac:dyDescent="0.2">
      <c r="B109" s="27" t="s">
        <v>232</v>
      </c>
      <c r="C109" s="27">
        <v>78</v>
      </c>
      <c r="D109" s="27" t="s">
        <v>128</v>
      </c>
      <c r="E109" s="27" t="s">
        <v>106</v>
      </c>
      <c r="F109" s="27" t="s">
        <v>242</v>
      </c>
      <c r="G109" s="27" t="s">
        <v>64</v>
      </c>
      <c r="H109" s="27">
        <v>60</v>
      </c>
      <c r="I109" s="27">
        <v>17</v>
      </c>
      <c r="J109" s="37">
        <v>-2.2800000000000001E-4</v>
      </c>
      <c r="K109" s="27">
        <v>3</v>
      </c>
      <c r="L109" s="38">
        <v>-2.0799999999999999E-4</v>
      </c>
      <c r="M109" s="27" t="s">
        <v>65</v>
      </c>
      <c r="O109" s="27" t="s">
        <v>232</v>
      </c>
      <c r="P109" s="27">
        <v>78</v>
      </c>
      <c r="Q109" s="27" t="s">
        <v>128</v>
      </c>
      <c r="R109" s="27" t="s">
        <v>379</v>
      </c>
      <c r="S109" s="27" t="s">
        <v>242</v>
      </c>
      <c r="T109" s="27" t="s">
        <v>64</v>
      </c>
      <c r="U109" s="27">
        <v>10</v>
      </c>
      <c r="V109" s="27">
        <v>17</v>
      </c>
      <c r="W109" s="37">
        <v>-2.2800000000000001E-4</v>
      </c>
      <c r="X109" s="27">
        <v>3</v>
      </c>
      <c r="Y109" s="38">
        <v>-2.0799999999999999E-4</v>
      </c>
      <c r="Z109" s="27" t="s">
        <v>65</v>
      </c>
    </row>
    <row r="110" spans="2:26" x14ac:dyDescent="0.2">
      <c r="B110" s="27" t="s">
        <v>232</v>
      </c>
      <c r="C110" s="27">
        <v>66</v>
      </c>
      <c r="D110" s="27" t="s">
        <v>127</v>
      </c>
      <c r="E110" s="27" t="s">
        <v>106</v>
      </c>
      <c r="F110" s="27" t="s">
        <v>243</v>
      </c>
      <c r="G110" s="27" t="s">
        <v>63</v>
      </c>
      <c r="H110" s="27">
        <v>60</v>
      </c>
      <c r="I110" s="27">
        <v>14</v>
      </c>
      <c r="J110" s="37">
        <v>-2.8899999999999998E-4</v>
      </c>
      <c r="K110" s="27">
        <v>4</v>
      </c>
      <c r="L110" s="38">
        <v>-2.5300000000000002E-4</v>
      </c>
      <c r="M110" s="27" t="s">
        <v>65</v>
      </c>
      <c r="O110" s="27" t="s">
        <v>232</v>
      </c>
      <c r="P110" s="27">
        <v>66</v>
      </c>
      <c r="Q110" s="27" t="s">
        <v>127</v>
      </c>
      <c r="R110" s="27" t="s">
        <v>379</v>
      </c>
      <c r="S110" s="27" t="s">
        <v>243</v>
      </c>
      <c r="T110" s="27" t="s">
        <v>63</v>
      </c>
      <c r="U110" s="27">
        <v>10</v>
      </c>
      <c r="V110" s="27">
        <v>14</v>
      </c>
      <c r="W110" s="37">
        <v>-2.8800000000000001E-4</v>
      </c>
      <c r="X110" s="27">
        <v>4</v>
      </c>
      <c r="Y110" s="38">
        <v>-2.5300000000000002E-4</v>
      </c>
      <c r="Z110" s="27" t="s">
        <v>65</v>
      </c>
    </row>
    <row r="111" spans="2:26" x14ac:dyDescent="0.2">
      <c r="B111" s="27" t="s">
        <v>232</v>
      </c>
      <c r="C111" s="27">
        <v>66</v>
      </c>
      <c r="D111" s="27" t="s">
        <v>127</v>
      </c>
      <c r="E111" s="27" t="s">
        <v>106</v>
      </c>
      <c r="F111" s="27" t="s">
        <v>244</v>
      </c>
      <c r="G111" s="27" t="s">
        <v>64</v>
      </c>
      <c r="H111" s="27">
        <v>60</v>
      </c>
      <c r="I111" s="27">
        <v>11</v>
      </c>
      <c r="J111" s="37">
        <v>-2.3599999999999999E-4</v>
      </c>
      <c r="K111" s="27">
        <v>3</v>
      </c>
      <c r="L111" s="38">
        <v>-2.1000000000000001E-4</v>
      </c>
      <c r="M111" s="27" t="s">
        <v>65</v>
      </c>
      <c r="O111" s="27" t="s">
        <v>232</v>
      </c>
      <c r="P111" s="27">
        <v>66</v>
      </c>
      <c r="Q111" s="27" t="s">
        <v>127</v>
      </c>
      <c r="R111" s="27" t="s">
        <v>379</v>
      </c>
      <c r="S111" s="27" t="s">
        <v>244</v>
      </c>
      <c r="T111" s="27" t="s">
        <v>64</v>
      </c>
      <c r="U111" s="27">
        <v>10</v>
      </c>
      <c r="V111" s="27">
        <v>11</v>
      </c>
      <c r="W111" s="37">
        <v>-2.3599999999999999E-4</v>
      </c>
      <c r="X111" s="27">
        <v>3</v>
      </c>
      <c r="Y111" s="38">
        <v>-2.1000000000000001E-4</v>
      </c>
      <c r="Z111" s="27" t="s">
        <v>65</v>
      </c>
    </row>
    <row r="112" spans="2:26" x14ac:dyDescent="0.2">
      <c r="B112" s="27" t="s">
        <v>232</v>
      </c>
      <c r="C112" s="27">
        <v>82</v>
      </c>
      <c r="D112" s="27" t="s">
        <v>128</v>
      </c>
      <c r="E112" s="27" t="s">
        <v>106</v>
      </c>
      <c r="F112" s="27" t="s">
        <v>245</v>
      </c>
      <c r="G112" s="27" t="s">
        <v>63</v>
      </c>
      <c r="H112" s="27">
        <v>60</v>
      </c>
      <c r="I112" s="27">
        <v>22</v>
      </c>
      <c r="J112" s="37">
        <v>-2.7700000000000001E-4</v>
      </c>
      <c r="K112" s="27">
        <v>1</v>
      </c>
      <c r="L112" s="38">
        <v>-2.43E-4</v>
      </c>
      <c r="M112" s="27" t="s">
        <v>65</v>
      </c>
      <c r="O112" s="27" t="s">
        <v>232</v>
      </c>
      <c r="P112" s="27">
        <v>82</v>
      </c>
      <c r="Q112" s="27" t="s">
        <v>128</v>
      </c>
      <c r="R112" s="27" t="s">
        <v>379</v>
      </c>
      <c r="S112" s="27" t="s">
        <v>245</v>
      </c>
      <c r="T112" s="27" t="s">
        <v>63</v>
      </c>
      <c r="U112" s="27">
        <v>10</v>
      </c>
      <c r="V112" s="27">
        <v>22</v>
      </c>
      <c r="W112" s="37">
        <v>-2.7700000000000001E-4</v>
      </c>
      <c r="X112" s="27">
        <v>1</v>
      </c>
      <c r="Y112" s="38">
        <v>-2.43E-4</v>
      </c>
      <c r="Z112" s="27" t="s">
        <v>65</v>
      </c>
    </row>
    <row r="113" spans="2:26" x14ac:dyDescent="0.2">
      <c r="B113" s="27" t="s">
        <v>232</v>
      </c>
      <c r="C113" s="27">
        <v>82</v>
      </c>
      <c r="D113" s="27" t="s">
        <v>128</v>
      </c>
      <c r="E113" s="27" t="s">
        <v>106</v>
      </c>
      <c r="F113" s="27" t="s">
        <v>246</v>
      </c>
      <c r="G113" s="27" t="s">
        <v>64</v>
      </c>
      <c r="H113" s="27">
        <v>60</v>
      </c>
      <c r="I113" s="27">
        <v>15</v>
      </c>
      <c r="J113" s="37">
        <v>-2.3599999999999999E-4</v>
      </c>
      <c r="K113" s="27">
        <v>6</v>
      </c>
      <c r="L113" s="38">
        <v>-2.0900000000000001E-4</v>
      </c>
      <c r="M113" s="27" t="s">
        <v>65</v>
      </c>
      <c r="O113" s="27" t="s">
        <v>232</v>
      </c>
      <c r="P113" s="27">
        <v>82</v>
      </c>
      <c r="Q113" s="27" t="s">
        <v>128</v>
      </c>
      <c r="R113" s="27" t="s">
        <v>379</v>
      </c>
      <c r="S113" s="27" t="s">
        <v>246</v>
      </c>
      <c r="T113" s="27" t="s">
        <v>64</v>
      </c>
      <c r="U113" s="27">
        <v>10</v>
      </c>
      <c r="V113" s="27">
        <v>15</v>
      </c>
      <c r="W113" s="37">
        <v>-2.3599999999999999E-4</v>
      </c>
      <c r="X113" s="27">
        <v>6</v>
      </c>
      <c r="Y113" s="38">
        <v>-2.0900000000000001E-4</v>
      </c>
      <c r="Z113" s="27" t="s">
        <v>65</v>
      </c>
    </row>
    <row r="114" spans="2:26" x14ac:dyDescent="0.2">
      <c r="B114" s="27" t="s">
        <v>232</v>
      </c>
      <c r="C114" s="27">
        <v>67</v>
      </c>
      <c r="D114" s="27" t="s">
        <v>129</v>
      </c>
      <c r="E114" s="27" t="s">
        <v>106</v>
      </c>
      <c r="F114" s="27" t="s">
        <v>247</v>
      </c>
      <c r="G114" s="27" t="s">
        <v>63</v>
      </c>
      <c r="H114" s="27">
        <v>60</v>
      </c>
      <c r="I114" s="27">
        <v>22</v>
      </c>
      <c r="J114" s="37">
        <v>-2.12E-4</v>
      </c>
      <c r="K114" s="27">
        <v>1</v>
      </c>
      <c r="L114" s="38">
        <v>-2.12E-4</v>
      </c>
      <c r="M114" s="27" t="s">
        <v>65</v>
      </c>
      <c r="O114" s="27" t="s">
        <v>232</v>
      </c>
      <c r="P114" s="27">
        <v>67</v>
      </c>
      <c r="Q114" s="27" t="s">
        <v>129</v>
      </c>
      <c r="R114" s="27" t="s">
        <v>379</v>
      </c>
      <c r="S114" s="27" t="s">
        <v>247</v>
      </c>
      <c r="T114" s="27" t="s">
        <v>63</v>
      </c>
      <c r="U114" s="27">
        <v>10</v>
      </c>
      <c r="V114" s="27">
        <v>22</v>
      </c>
      <c r="W114" s="37">
        <v>-2.12E-4</v>
      </c>
      <c r="X114" s="27">
        <v>1</v>
      </c>
      <c r="Y114" s="38">
        <v>-2.12E-4</v>
      </c>
      <c r="Z114" s="27" t="s">
        <v>65</v>
      </c>
    </row>
    <row r="115" spans="2:26" x14ac:dyDescent="0.2">
      <c r="B115" s="27" t="s">
        <v>232</v>
      </c>
      <c r="C115" s="27">
        <v>67</v>
      </c>
      <c r="D115" s="27" t="s">
        <v>129</v>
      </c>
      <c r="E115" s="27" t="s">
        <v>106</v>
      </c>
      <c r="F115" s="27" t="s">
        <v>248</v>
      </c>
      <c r="G115" s="27" t="s">
        <v>64</v>
      </c>
      <c r="H115" s="27">
        <v>60</v>
      </c>
      <c r="I115" s="27">
        <v>15</v>
      </c>
      <c r="J115" s="37">
        <v>-2.33E-4</v>
      </c>
      <c r="K115" s="27">
        <v>12</v>
      </c>
      <c r="L115" s="38">
        <v>-2.34E-4</v>
      </c>
      <c r="M115" s="27" t="s">
        <v>65</v>
      </c>
      <c r="O115" s="27" t="s">
        <v>232</v>
      </c>
      <c r="P115" s="27">
        <v>67</v>
      </c>
      <c r="Q115" s="27" t="s">
        <v>129</v>
      </c>
      <c r="R115" s="27" t="s">
        <v>379</v>
      </c>
      <c r="S115" s="27" t="s">
        <v>248</v>
      </c>
      <c r="T115" s="27" t="s">
        <v>64</v>
      </c>
      <c r="U115" s="27">
        <v>10</v>
      </c>
      <c r="V115" s="27">
        <v>15</v>
      </c>
      <c r="W115" s="37">
        <v>-2.34E-4</v>
      </c>
      <c r="X115" s="27">
        <v>12</v>
      </c>
      <c r="Y115" s="38">
        <v>-2.34E-4</v>
      </c>
      <c r="Z115" s="27" t="s">
        <v>65</v>
      </c>
    </row>
    <row r="116" spans="2:26" x14ac:dyDescent="0.2">
      <c r="B116" s="27" t="s">
        <v>232</v>
      </c>
      <c r="C116" s="27">
        <v>85</v>
      </c>
      <c r="D116" s="27" t="s">
        <v>128</v>
      </c>
      <c r="E116" s="27" t="s">
        <v>106</v>
      </c>
      <c r="F116" s="27" t="s">
        <v>249</v>
      </c>
      <c r="G116" s="27" t="s">
        <v>63</v>
      </c>
      <c r="H116" s="27">
        <v>60</v>
      </c>
      <c r="I116" s="27">
        <v>20</v>
      </c>
      <c r="J116" s="37">
        <v>-3.0400000000000002E-4</v>
      </c>
      <c r="K116" s="27">
        <v>1</v>
      </c>
      <c r="L116" s="38">
        <v>-2.7099999999999997E-4</v>
      </c>
      <c r="M116" s="27" t="s">
        <v>65</v>
      </c>
      <c r="O116" s="27" t="s">
        <v>232</v>
      </c>
      <c r="P116" s="27">
        <v>85</v>
      </c>
      <c r="Q116" s="27" t="s">
        <v>128</v>
      </c>
      <c r="R116" s="27" t="s">
        <v>379</v>
      </c>
      <c r="S116" s="27" t="s">
        <v>249</v>
      </c>
      <c r="T116" s="27" t="s">
        <v>63</v>
      </c>
      <c r="U116" s="27">
        <v>10</v>
      </c>
      <c r="V116" s="27">
        <v>20</v>
      </c>
      <c r="W116" s="37">
        <v>-3.0400000000000002E-4</v>
      </c>
      <c r="X116" s="27">
        <v>1</v>
      </c>
      <c r="Y116" s="38">
        <v>-2.7099999999999997E-4</v>
      </c>
      <c r="Z116" s="27" t="s">
        <v>65</v>
      </c>
    </row>
    <row r="117" spans="2:26" x14ac:dyDescent="0.2">
      <c r="B117" s="27" t="s">
        <v>232</v>
      </c>
      <c r="C117" s="27">
        <v>85</v>
      </c>
      <c r="D117" s="27" t="s">
        <v>128</v>
      </c>
      <c r="E117" s="27" t="s">
        <v>106</v>
      </c>
      <c r="F117" s="27" t="s">
        <v>250</v>
      </c>
      <c r="G117" s="27" t="s">
        <v>64</v>
      </c>
      <c r="H117" s="27">
        <v>60</v>
      </c>
      <c r="I117" s="27">
        <v>15</v>
      </c>
      <c r="J117" s="37">
        <v>-2.5999999999999998E-4</v>
      </c>
      <c r="K117" s="27">
        <v>3</v>
      </c>
      <c r="L117" s="38">
        <v>-2.34E-4</v>
      </c>
      <c r="M117" s="27" t="s">
        <v>65</v>
      </c>
      <c r="O117" s="27" t="s">
        <v>232</v>
      </c>
      <c r="P117" s="27">
        <v>85</v>
      </c>
      <c r="Q117" s="27" t="s">
        <v>128</v>
      </c>
      <c r="R117" s="27" t="s">
        <v>379</v>
      </c>
      <c r="S117" s="27" t="s">
        <v>250</v>
      </c>
      <c r="T117" s="27" t="s">
        <v>64</v>
      </c>
      <c r="U117" s="27">
        <v>10</v>
      </c>
      <c r="V117" s="27">
        <v>15</v>
      </c>
      <c r="W117" s="37">
        <v>-2.5999999999999998E-4</v>
      </c>
      <c r="X117" s="27">
        <v>3</v>
      </c>
      <c r="Y117" s="38">
        <v>-2.34E-4</v>
      </c>
      <c r="Z117" s="27" t="s">
        <v>65</v>
      </c>
    </row>
    <row r="118" spans="2:26" x14ac:dyDescent="0.2">
      <c r="B118" s="27" t="s">
        <v>232</v>
      </c>
      <c r="C118" s="27">
        <v>86</v>
      </c>
      <c r="D118" s="27" t="s">
        <v>128</v>
      </c>
      <c r="E118" s="27" t="s">
        <v>106</v>
      </c>
      <c r="F118" s="27" t="s">
        <v>251</v>
      </c>
      <c r="G118" s="27" t="s">
        <v>63</v>
      </c>
      <c r="H118" s="27">
        <v>60</v>
      </c>
      <c r="I118" s="27">
        <v>20</v>
      </c>
      <c r="J118" s="37">
        <v>-3.0200000000000002E-4</v>
      </c>
      <c r="K118" s="27">
        <v>4</v>
      </c>
      <c r="L118" s="38">
        <v>-2.6899999999999998E-4</v>
      </c>
      <c r="M118" s="27" t="s">
        <v>65</v>
      </c>
      <c r="O118" s="27" t="s">
        <v>232</v>
      </c>
      <c r="P118" s="27">
        <v>86</v>
      </c>
      <c r="Q118" s="27" t="s">
        <v>128</v>
      </c>
      <c r="R118" s="27" t="s">
        <v>379</v>
      </c>
      <c r="S118" s="27" t="s">
        <v>251</v>
      </c>
      <c r="T118" s="27" t="s">
        <v>63</v>
      </c>
      <c r="U118" s="27">
        <v>10</v>
      </c>
      <c r="V118" s="27">
        <v>20</v>
      </c>
      <c r="W118" s="37">
        <v>-3.0200000000000002E-4</v>
      </c>
      <c r="X118" s="27">
        <v>4</v>
      </c>
      <c r="Y118" s="38">
        <v>-2.6899999999999998E-4</v>
      </c>
      <c r="Z118" s="27" t="s">
        <v>65</v>
      </c>
    </row>
    <row r="119" spans="2:26" x14ac:dyDescent="0.2">
      <c r="B119" s="27" t="s">
        <v>232</v>
      </c>
      <c r="C119" s="27">
        <v>86</v>
      </c>
      <c r="D119" s="27" t="s">
        <v>128</v>
      </c>
      <c r="E119" s="27" t="s">
        <v>106</v>
      </c>
      <c r="F119" s="27" t="s">
        <v>252</v>
      </c>
      <c r="G119" s="27" t="s">
        <v>64</v>
      </c>
      <c r="H119" s="27">
        <v>60</v>
      </c>
      <c r="I119" s="27">
        <v>17</v>
      </c>
      <c r="J119" s="37">
        <v>-2.5900000000000001E-4</v>
      </c>
      <c r="K119" s="27">
        <v>3</v>
      </c>
      <c r="L119" s="38">
        <v>-2.34E-4</v>
      </c>
      <c r="M119" s="27" t="s">
        <v>65</v>
      </c>
      <c r="O119" s="27" t="s">
        <v>232</v>
      </c>
      <c r="P119" s="27">
        <v>86</v>
      </c>
      <c r="Q119" s="27" t="s">
        <v>128</v>
      </c>
      <c r="R119" s="27" t="s">
        <v>379</v>
      </c>
      <c r="S119" s="27" t="s">
        <v>252</v>
      </c>
      <c r="T119" s="27" t="s">
        <v>64</v>
      </c>
      <c r="U119" s="27">
        <v>10</v>
      </c>
      <c r="V119" s="27">
        <v>17</v>
      </c>
      <c r="W119" s="37">
        <v>-2.5900000000000001E-4</v>
      </c>
      <c r="X119" s="27">
        <v>3</v>
      </c>
      <c r="Y119" s="38">
        <v>-2.34E-4</v>
      </c>
      <c r="Z119" s="27" t="s">
        <v>65</v>
      </c>
    </row>
    <row r="120" spans="2:26" x14ac:dyDescent="0.2">
      <c r="B120" s="27" t="s">
        <v>232</v>
      </c>
      <c r="C120" s="27">
        <v>69</v>
      </c>
      <c r="D120" s="27" t="s">
        <v>129</v>
      </c>
      <c r="E120" s="27" t="s">
        <v>106</v>
      </c>
      <c r="F120" s="27" t="s">
        <v>253</v>
      </c>
      <c r="G120" s="27" t="s">
        <v>63</v>
      </c>
      <c r="H120" s="27">
        <v>60</v>
      </c>
      <c r="I120" s="27">
        <v>20</v>
      </c>
      <c r="J120" s="37">
        <v>-2.14E-4</v>
      </c>
      <c r="K120" s="27">
        <v>7</v>
      </c>
      <c r="L120" s="38">
        <v>-2.14E-4</v>
      </c>
      <c r="M120" s="27" t="s">
        <v>65</v>
      </c>
      <c r="O120" s="27" t="s">
        <v>232</v>
      </c>
      <c r="P120" s="27">
        <v>69</v>
      </c>
      <c r="Q120" s="27" t="s">
        <v>129</v>
      </c>
      <c r="R120" s="27" t="s">
        <v>379</v>
      </c>
      <c r="S120" s="27" t="s">
        <v>253</v>
      </c>
      <c r="T120" s="27" t="s">
        <v>63</v>
      </c>
      <c r="U120" s="27">
        <v>10</v>
      </c>
      <c r="V120" s="27">
        <v>20</v>
      </c>
      <c r="W120" s="37">
        <v>-2.14E-4</v>
      </c>
      <c r="X120" s="27">
        <v>7</v>
      </c>
      <c r="Y120" s="38">
        <v>-2.14E-4</v>
      </c>
      <c r="Z120" s="27" t="s">
        <v>65</v>
      </c>
    </row>
    <row r="121" spans="2:26" x14ac:dyDescent="0.2">
      <c r="B121" s="27" t="s">
        <v>232</v>
      </c>
      <c r="C121" s="27">
        <v>69</v>
      </c>
      <c r="D121" s="27" t="s">
        <v>129</v>
      </c>
      <c r="E121" s="27" t="s">
        <v>106</v>
      </c>
      <c r="F121" s="27" t="s">
        <v>254</v>
      </c>
      <c r="G121" s="27" t="s">
        <v>64</v>
      </c>
      <c r="H121" s="27">
        <v>60</v>
      </c>
      <c r="I121" s="27">
        <v>16</v>
      </c>
      <c r="J121" s="37">
        <v>-2.3499999999999999E-4</v>
      </c>
      <c r="K121" s="27">
        <v>6</v>
      </c>
      <c r="L121" s="38">
        <v>-2.3599999999999999E-4</v>
      </c>
      <c r="M121" s="27" t="s">
        <v>65</v>
      </c>
      <c r="O121" s="27" t="s">
        <v>232</v>
      </c>
      <c r="P121" s="27">
        <v>69</v>
      </c>
      <c r="Q121" s="27" t="s">
        <v>129</v>
      </c>
      <c r="R121" s="27" t="s">
        <v>379</v>
      </c>
      <c r="S121" s="27" t="s">
        <v>254</v>
      </c>
      <c r="T121" s="27" t="s">
        <v>64</v>
      </c>
      <c r="U121" s="27">
        <v>10</v>
      </c>
      <c r="V121" s="27">
        <v>16</v>
      </c>
      <c r="W121" s="37">
        <v>-2.3499999999999999E-4</v>
      </c>
      <c r="X121" s="27">
        <v>6</v>
      </c>
      <c r="Y121" s="38">
        <v>-2.3599999999999999E-4</v>
      </c>
      <c r="Z121" s="27" t="s">
        <v>65</v>
      </c>
    </row>
    <row r="122" spans="2:26" x14ac:dyDescent="0.2">
      <c r="B122" s="27" t="s">
        <v>232</v>
      </c>
      <c r="C122" s="27">
        <v>80</v>
      </c>
      <c r="D122" s="27" t="s">
        <v>128</v>
      </c>
      <c r="E122" s="27" t="s">
        <v>106</v>
      </c>
      <c r="F122" s="27" t="s">
        <v>255</v>
      </c>
      <c r="G122" s="27" t="s">
        <v>63</v>
      </c>
      <c r="H122" s="27">
        <v>60</v>
      </c>
      <c r="I122" s="27">
        <v>22</v>
      </c>
      <c r="J122" s="37">
        <v>-9.5000000000000005E-5</v>
      </c>
      <c r="K122" s="27">
        <v>1</v>
      </c>
      <c r="L122" s="38">
        <v>-9.1000000000000003E-5</v>
      </c>
      <c r="M122" s="27" t="s">
        <v>65</v>
      </c>
      <c r="O122" s="27" t="s">
        <v>232</v>
      </c>
      <c r="P122" s="27">
        <v>80</v>
      </c>
      <c r="Q122" s="27" t="s">
        <v>128</v>
      </c>
      <c r="R122" s="27" t="s">
        <v>379</v>
      </c>
      <c r="S122" s="27" t="s">
        <v>255</v>
      </c>
      <c r="T122" s="27" t="s">
        <v>63</v>
      </c>
      <c r="U122" s="27">
        <v>10</v>
      </c>
      <c r="V122" s="27">
        <v>22</v>
      </c>
      <c r="W122" s="37">
        <v>-9.5000000000000005E-5</v>
      </c>
      <c r="X122" s="27">
        <v>1</v>
      </c>
      <c r="Y122" s="38">
        <v>-9.1000000000000003E-5</v>
      </c>
      <c r="Z122" s="27" t="s">
        <v>65</v>
      </c>
    </row>
    <row r="123" spans="2:26" x14ac:dyDescent="0.2">
      <c r="B123" s="27" t="s">
        <v>232</v>
      </c>
      <c r="C123" s="27">
        <v>80</v>
      </c>
      <c r="D123" s="27" t="s">
        <v>128</v>
      </c>
      <c r="E123" s="27" t="s">
        <v>106</v>
      </c>
      <c r="F123" s="27" t="s">
        <v>256</v>
      </c>
      <c r="G123" s="27" t="s">
        <v>64</v>
      </c>
      <c r="H123" s="27">
        <v>60</v>
      </c>
      <c r="I123" s="27">
        <v>15</v>
      </c>
      <c r="J123" s="37">
        <v>-1.02E-4</v>
      </c>
      <c r="K123" s="27">
        <v>6</v>
      </c>
      <c r="L123" s="38">
        <v>-9.6000000000000002E-5</v>
      </c>
      <c r="M123" s="27" t="s">
        <v>65</v>
      </c>
      <c r="O123" s="27" t="s">
        <v>232</v>
      </c>
      <c r="P123" s="27">
        <v>80</v>
      </c>
      <c r="Q123" s="27" t="s">
        <v>128</v>
      </c>
      <c r="R123" s="27" t="s">
        <v>379</v>
      </c>
      <c r="S123" s="27" t="s">
        <v>256</v>
      </c>
      <c r="T123" s="27" t="s">
        <v>64</v>
      </c>
      <c r="U123" s="27">
        <v>10</v>
      </c>
      <c r="V123" s="27">
        <v>15</v>
      </c>
      <c r="W123" s="37">
        <v>-1.02E-4</v>
      </c>
      <c r="X123" s="27">
        <v>6</v>
      </c>
      <c r="Y123" s="38">
        <v>-9.6000000000000002E-5</v>
      </c>
      <c r="Z123" s="27" t="s">
        <v>65</v>
      </c>
    </row>
    <row r="124" spans="2:26" x14ac:dyDescent="0.2">
      <c r="B124" s="27" t="s">
        <v>232</v>
      </c>
      <c r="C124" s="27">
        <v>81</v>
      </c>
      <c r="D124" s="27" t="s">
        <v>128</v>
      </c>
      <c r="E124" s="27" t="s">
        <v>106</v>
      </c>
      <c r="F124" s="27" t="s">
        <v>257</v>
      </c>
      <c r="G124" s="27" t="s">
        <v>63</v>
      </c>
      <c r="H124" s="27">
        <v>60</v>
      </c>
      <c r="I124" s="27">
        <v>20</v>
      </c>
      <c r="J124" s="37">
        <v>-2.7799999999999998E-4</v>
      </c>
      <c r="K124" s="27">
        <v>4</v>
      </c>
      <c r="L124" s="38">
        <v>-2.4399999999999999E-4</v>
      </c>
      <c r="M124" s="27" t="s">
        <v>65</v>
      </c>
      <c r="O124" s="27" t="s">
        <v>232</v>
      </c>
      <c r="P124" s="27">
        <v>81</v>
      </c>
      <c r="Q124" s="27" t="s">
        <v>128</v>
      </c>
      <c r="R124" s="27" t="s">
        <v>379</v>
      </c>
      <c r="S124" s="27" t="s">
        <v>257</v>
      </c>
      <c r="T124" s="27" t="s">
        <v>63</v>
      </c>
      <c r="U124" s="27">
        <v>10</v>
      </c>
      <c r="V124" s="27">
        <v>20</v>
      </c>
      <c r="W124" s="37">
        <v>-2.7700000000000001E-4</v>
      </c>
      <c r="X124" s="27">
        <v>4</v>
      </c>
      <c r="Y124" s="38">
        <v>-2.4399999999999999E-4</v>
      </c>
      <c r="Z124" s="27" t="s">
        <v>65</v>
      </c>
    </row>
    <row r="125" spans="2:26" x14ac:dyDescent="0.2">
      <c r="B125" s="27" t="s">
        <v>232</v>
      </c>
      <c r="C125" s="27">
        <v>81</v>
      </c>
      <c r="D125" s="27" t="s">
        <v>128</v>
      </c>
      <c r="E125" s="27" t="s">
        <v>106</v>
      </c>
      <c r="F125" s="27" t="s">
        <v>258</v>
      </c>
      <c r="G125" s="27" t="s">
        <v>64</v>
      </c>
      <c r="H125" s="27">
        <v>60</v>
      </c>
      <c r="I125" s="27">
        <v>17</v>
      </c>
      <c r="J125" s="37">
        <v>-2.3599999999999999E-4</v>
      </c>
      <c r="K125" s="27">
        <v>3</v>
      </c>
      <c r="L125" s="38">
        <v>-2.0900000000000001E-4</v>
      </c>
      <c r="M125" s="27" t="s">
        <v>65</v>
      </c>
      <c r="O125" s="27" t="s">
        <v>232</v>
      </c>
      <c r="P125" s="27">
        <v>81</v>
      </c>
      <c r="Q125" s="27" t="s">
        <v>128</v>
      </c>
      <c r="R125" s="27" t="s">
        <v>379</v>
      </c>
      <c r="S125" s="27" t="s">
        <v>258</v>
      </c>
      <c r="T125" s="27" t="s">
        <v>64</v>
      </c>
      <c r="U125" s="27">
        <v>10</v>
      </c>
      <c r="V125" s="27">
        <v>17</v>
      </c>
      <c r="W125" s="37">
        <v>-2.3599999999999999E-4</v>
      </c>
      <c r="X125" s="27">
        <v>3</v>
      </c>
      <c r="Y125" s="38">
        <v>-2.0900000000000001E-4</v>
      </c>
      <c r="Z125" s="27" t="s">
        <v>65</v>
      </c>
    </row>
    <row r="126" spans="2:26" x14ac:dyDescent="0.2">
      <c r="B126" s="27" t="s">
        <v>232</v>
      </c>
      <c r="C126" s="27">
        <v>68</v>
      </c>
      <c r="D126" s="27" t="s">
        <v>129</v>
      </c>
      <c r="E126" s="27" t="s">
        <v>106</v>
      </c>
      <c r="F126" s="27" t="s">
        <v>259</v>
      </c>
      <c r="G126" s="27" t="s">
        <v>63</v>
      </c>
      <c r="H126" s="27">
        <v>60</v>
      </c>
      <c r="I126" s="27">
        <v>20</v>
      </c>
      <c r="J126" s="37">
        <v>-2.12E-4</v>
      </c>
      <c r="K126" s="27">
        <v>7</v>
      </c>
      <c r="L126" s="38">
        <v>-2.13E-4</v>
      </c>
      <c r="M126" s="27" t="s">
        <v>65</v>
      </c>
      <c r="O126" s="27" t="s">
        <v>232</v>
      </c>
      <c r="P126" s="27">
        <v>68</v>
      </c>
      <c r="Q126" s="27" t="s">
        <v>129</v>
      </c>
      <c r="R126" s="27" t="s">
        <v>379</v>
      </c>
      <c r="S126" s="27" t="s">
        <v>259</v>
      </c>
      <c r="T126" s="27" t="s">
        <v>63</v>
      </c>
      <c r="U126" s="27">
        <v>10</v>
      </c>
      <c r="V126" s="27">
        <v>20</v>
      </c>
      <c r="W126" s="37">
        <v>-2.12E-4</v>
      </c>
      <c r="X126" s="27">
        <v>7</v>
      </c>
      <c r="Y126" s="38">
        <v>-2.12E-4</v>
      </c>
      <c r="Z126" s="27" t="s">
        <v>65</v>
      </c>
    </row>
    <row r="127" spans="2:26" x14ac:dyDescent="0.2">
      <c r="B127" s="27" t="s">
        <v>232</v>
      </c>
      <c r="C127" s="27">
        <v>68</v>
      </c>
      <c r="D127" s="27" t="s">
        <v>129</v>
      </c>
      <c r="E127" s="27" t="s">
        <v>106</v>
      </c>
      <c r="F127" s="27" t="s">
        <v>260</v>
      </c>
      <c r="G127" s="27" t="s">
        <v>64</v>
      </c>
      <c r="H127" s="27">
        <v>60</v>
      </c>
      <c r="I127" s="27">
        <v>17</v>
      </c>
      <c r="J127" s="37">
        <v>-2.34E-4</v>
      </c>
      <c r="K127" s="27">
        <v>6</v>
      </c>
      <c r="L127" s="38">
        <v>-2.34E-4</v>
      </c>
      <c r="M127" s="27" t="s">
        <v>65</v>
      </c>
      <c r="O127" s="27" t="s">
        <v>232</v>
      </c>
      <c r="P127" s="27">
        <v>68</v>
      </c>
      <c r="Q127" s="27" t="s">
        <v>129</v>
      </c>
      <c r="R127" s="27" t="s">
        <v>379</v>
      </c>
      <c r="S127" s="27" t="s">
        <v>260</v>
      </c>
      <c r="T127" s="27" t="s">
        <v>64</v>
      </c>
      <c r="U127" s="27">
        <v>10</v>
      </c>
      <c r="V127" s="27">
        <v>17</v>
      </c>
      <c r="W127" s="37">
        <v>-2.34E-4</v>
      </c>
      <c r="X127" s="27">
        <v>6</v>
      </c>
      <c r="Y127" s="38">
        <v>-2.34E-4</v>
      </c>
      <c r="Z127" s="27" t="s">
        <v>65</v>
      </c>
    </row>
    <row r="128" spans="2:26" x14ac:dyDescent="0.2">
      <c r="B128" s="27" t="s">
        <v>232</v>
      </c>
      <c r="C128" s="27">
        <v>83</v>
      </c>
      <c r="D128" s="27" t="s">
        <v>128</v>
      </c>
      <c r="E128" s="27" t="s">
        <v>106</v>
      </c>
      <c r="F128" s="27" t="s">
        <v>261</v>
      </c>
      <c r="G128" s="27" t="s">
        <v>63</v>
      </c>
      <c r="H128" s="27">
        <v>60</v>
      </c>
      <c r="I128" s="27">
        <v>21</v>
      </c>
      <c r="J128" s="37">
        <v>-3.0499999999999999E-4</v>
      </c>
      <c r="K128" s="27">
        <v>1</v>
      </c>
      <c r="L128" s="38">
        <v>-2.7099999999999997E-4</v>
      </c>
      <c r="M128" s="27" t="s">
        <v>65</v>
      </c>
      <c r="O128" s="27" t="s">
        <v>232</v>
      </c>
      <c r="P128" s="27">
        <v>83</v>
      </c>
      <c r="Q128" s="27" t="s">
        <v>128</v>
      </c>
      <c r="R128" s="27" t="s">
        <v>379</v>
      </c>
      <c r="S128" s="27" t="s">
        <v>261</v>
      </c>
      <c r="T128" s="27" t="s">
        <v>63</v>
      </c>
      <c r="U128" s="27">
        <v>10</v>
      </c>
      <c r="V128" s="27">
        <v>20</v>
      </c>
      <c r="W128" s="37">
        <v>-3.0400000000000002E-4</v>
      </c>
      <c r="X128" s="27">
        <v>1</v>
      </c>
      <c r="Y128" s="38">
        <v>-2.7099999999999997E-4</v>
      </c>
      <c r="Z128" s="27" t="s">
        <v>65</v>
      </c>
    </row>
    <row r="129" spans="2:26" x14ac:dyDescent="0.2">
      <c r="B129" s="27" t="s">
        <v>232</v>
      </c>
      <c r="C129" s="27">
        <v>83</v>
      </c>
      <c r="D129" s="27" t="s">
        <v>128</v>
      </c>
      <c r="E129" s="27" t="s">
        <v>106</v>
      </c>
      <c r="F129" s="27" t="s">
        <v>262</v>
      </c>
      <c r="G129" s="27" t="s">
        <v>64</v>
      </c>
      <c r="H129" s="27">
        <v>60</v>
      </c>
      <c r="I129" s="27">
        <v>15</v>
      </c>
      <c r="J129" s="37">
        <v>-2.5999999999999998E-4</v>
      </c>
      <c r="K129" s="27">
        <v>3</v>
      </c>
      <c r="L129" s="38">
        <v>-2.34E-4</v>
      </c>
      <c r="M129" s="27" t="s">
        <v>65</v>
      </c>
      <c r="O129" s="27" t="s">
        <v>232</v>
      </c>
      <c r="P129" s="27">
        <v>83</v>
      </c>
      <c r="Q129" s="27" t="s">
        <v>128</v>
      </c>
      <c r="R129" s="27" t="s">
        <v>379</v>
      </c>
      <c r="S129" s="27" t="s">
        <v>262</v>
      </c>
      <c r="T129" s="27" t="s">
        <v>64</v>
      </c>
      <c r="U129" s="27">
        <v>10</v>
      </c>
      <c r="V129" s="27">
        <v>15</v>
      </c>
      <c r="W129" s="37">
        <v>-2.5999999999999998E-4</v>
      </c>
      <c r="X129" s="27">
        <v>3</v>
      </c>
      <c r="Y129" s="38">
        <v>-2.34E-4</v>
      </c>
      <c r="Z129" s="27" t="s">
        <v>65</v>
      </c>
    </row>
    <row r="130" spans="2:26" x14ac:dyDescent="0.2">
      <c r="B130" s="27" t="s">
        <v>232</v>
      </c>
      <c r="C130" s="27">
        <v>84</v>
      </c>
      <c r="D130" s="27" t="s">
        <v>128</v>
      </c>
      <c r="E130" s="27" t="s">
        <v>106</v>
      </c>
      <c r="F130" s="27" t="s">
        <v>263</v>
      </c>
      <c r="G130" s="27" t="s">
        <v>63</v>
      </c>
      <c r="H130" s="27">
        <v>60</v>
      </c>
      <c r="I130" s="27">
        <v>22</v>
      </c>
      <c r="J130" s="37">
        <v>-3.0200000000000002E-4</v>
      </c>
      <c r="K130" s="27">
        <v>1</v>
      </c>
      <c r="L130" s="38">
        <v>-2.7E-4</v>
      </c>
      <c r="M130" s="27" t="s">
        <v>65</v>
      </c>
      <c r="O130" s="27" t="s">
        <v>232</v>
      </c>
      <c r="P130" s="27">
        <v>84</v>
      </c>
      <c r="Q130" s="27" t="s">
        <v>128</v>
      </c>
      <c r="R130" s="27" t="s">
        <v>379</v>
      </c>
      <c r="S130" s="27" t="s">
        <v>263</v>
      </c>
      <c r="T130" s="27" t="s">
        <v>63</v>
      </c>
      <c r="U130" s="27">
        <v>10</v>
      </c>
      <c r="V130" s="27">
        <v>22</v>
      </c>
      <c r="W130" s="37">
        <v>-3.0200000000000002E-4</v>
      </c>
      <c r="X130" s="27">
        <v>1</v>
      </c>
      <c r="Y130" s="38">
        <v>-2.6899999999999998E-4</v>
      </c>
      <c r="Z130" s="27" t="s">
        <v>65</v>
      </c>
    </row>
    <row r="131" spans="2:26" x14ac:dyDescent="0.2">
      <c r="B131" s="27" t="s">
        <v>232</v>
      </c>
      <c r="C131" s="27">
        <v>84</v>
      </c>
      <c r="D131" s="27" t="s">
        <v>128</v>
      </c>
      <c r="E131" s="27" t="s">
        <v>106</v>
      </c>
      <c r="F131" s="27" t="s">
        <v>264</v>
      </c>
      <c r="G131" s="27" t="s">
        <v>64</v>
      </c>
      <c r="H131" s="27">
        <v>60</v>
      </c>
      <c r="I131" s="27">
        <v>15</v>
      </c>
      <c r="J131" s="37">
        <v>-2.5900000000000001E-4</v>
      </c>
      <c r="K131" s="27">
        <v>6</v>
      </c>
      <c r="L131" s="38">
        <v>-2.34E-4</v>
      </c>
      <c r="M131" s="27" t="s">
        <v>65</v>
      </c>
      <c r="O131" s="27" t="s">
        <v>232</v>
      </c>
      <c r="P131" s="27">
        <v>84</v>
      </c>
      <c r="Q131" s="27" t="s">
        <v>128</v>
      </c>
      <c r="R131" s="27" t="s">
        <v>379</v>
      </c>
      <c r="S131" s="27" t="s">
        <v>264</v>
      </c>
      <c r="T131" s="27" t="s">
        <v>64</v>
      </c>
      <c r="U131" s="27">
        <v>10</v>
      </c>
      <c r="V131" s="27">
        <v>15</v>
      </c>
      <c r="W131" s="37">
        <v>-2.5900000000000001E-4</v>
      </c>
      <c r="X131" s="27">
        <v>6</v>
      </c>
      <c r="Y131" s="38">
        <v>-2.34E-4</v>
      </c>
      <c r="Z131" s="27" t="s">
        <v>65</v>
      </c>
    </row>
    <row r="132" spans="2:26" x14ac:dyDescent="0.2">
      <c r="B132" s="27" t="s">
        <v>232</v>
      </c>
      <c r="C132" s="27">
        <v>70</v>
      </c>
      <c r="D132" s="27" t="s">
        <v>129</v>
      </c>
      <c r="E132" s="27" t="s">
        <v>106</v>
      </c>
      <c r="F132" s="27" t="s">
        <v>265</v>
      </c>
      <c r="G132" s="27" t="s">
        <v>63</v>
      </c>
      <c r="H132" s="27">
        <v>60</v>
      </c>
      <c r="I132" s="27">
        <v>21</v>
      </c>
      <c r="J132" s="37">
        <v>-2.14E-4</v>
      </c>
      <c r="K132" s="27">
        <v>1</v>
      </c>
      <c r="L132" s="38">
        <v>-2.1499999999999999E-4</v>
      </c>
      <c r="M132" s="27" t="s">
        <v>65</v>
      </c>
      <c r="O132" s="27" t="s">
        <v>232</v>
      </c>
      <c r="P132" s="27">
        <v>70</v>
      </c>
      <c r="Q132" s="27" t="s">
        <v>129</v>
      </c>
      <c r="R132" s="27" t="s">
        <v>379</v>
      </c>
      <c r="S132" s="27" t="s">
        <v>265</v>
      </c>
      <c r="T132" s="27" t="s">
        <v>63</v>
      </c>
      <c r="U132" s="27">
        <v>10</v>
      </c>
      <c r="V132" s="27">
        <v>22</v>
      </c>
      <c r="W132" s="37">
        <v>-2.14E-4</v>
      </c>
      <c r="X132" s="27">
        <v>1</v>
      </c>
      <c r="Y132" s="38">
        <v>-2.14E-4</v>
      </c>
      <c r="Z132" s="27" t="s">
        <v>65</v>
      </c>
    </row>
    <row r="133" spans="2:26" x14ac:dyDescent="0.2">
      <c r="B133" s="27" t="s">
        <v>232</v>
      </c>
      <c r="C133" s="27">
        <v>70</v>
      </c>
      <c r="D133" s="27" t="s">
        <v>129</v>
      </c>
      <c r="E133" s="27" t="s">
        <v>106</v>
      </c>
      <c r="F133" s="27" t="s">
        <v>266</v>
      </c>
      <c r="G133" s="27" t="s">
        <v>64</v>
      </c>
      <c r="H133" s="27">
        <v>60</v>
      </c>
      <c r="I133" s="27">
        <v>15</v>
      </c>
      <c r="J133" s="37">
        <v>-2.3499999999999999E-4</v>
      </c>
      <c r="K133" s="27">
        <v>12</v>
      </c>
      <c r="L133" s="38">
        <v>-2.3599999999999999E-4</v>
      </c>
      <c r="M133" s="27" t="s">
        <v>65</v>
      </c>
      <c r="O133" s="27" t="s">
        <v>232</v>
      </c>
      <c r="P133" s="27">
        <v>70</v>
      </c>
      <c r="Q133" s="27" t="s">
        <v>129</v>
      </c>
      <c r="R133" s="27" t="s">
        <v>379</v>
      </c>
      <c r="S133" s="27" t="s">
        <v>266</v>
      </c>
      <c r="T133" s="27" t="s">
        <v>64</v>
      </c>
      <c r="U133" s="27">
        <v>10</v>
      </c>
      <c r="V133" s="27">
        <v>15</v>
      </c>
      <c r="W133" s="37">
        <v>-2.3599999999999999E-4</v>
      </c>
      <c r="X133" s="27">
        <v>12</v>
      </c>
      <c r="Y133" s="38">
        <v>-2.3599999999999999E-4</v>
      </c>
      <c r="Z133" s="27" t="s">
        <v>65</v>
      </c>
    </row>
    <row r="134" spans="2:26" x14ac:dyDescent="0.2">
      <c r="B134" s="27" t="s">
        <v>232</v>
      </c>
      <c r="C134" s="27">
        <v>79</v>
      </c>
      <c r="D134" s="27" t="s">
        <v>128</v>
      </c>
      <c r="E134" s="27" t="s">
        <v>106</v>
      </c>
      <c r="F134" s="27" t="s">
        <v>267</v>
      </c>
      <c r="G134" s="27" t="s">
        <v>63</v>
      </c>
      <c r="H134" s="27">
        <v>60</v>
      </c>
      <c r="I134" s="27">
        <v>20</v>
      </c>
      <c r="J134" s="37">
        <v>-9.5000000000000005E-5</v>
      </c>
      <c r="K134" s="27">
        <v>4</v>
      </c>
      <c r="L134" s="38">
        <v>-9.1000000000000003E-5</v>
      </c>
      <c r="M134" s="27" t="s">
        <v>65</v>
      </c>
      <c r="O134" s="27" t="s">
        <v>232</v>
      </c>
      <c r="P134" s="27">
        <v>79</v>
      </c>
      <c r="Q134" s="27" t="s">
        <v>128</v>
      </c>
      <c r="R134" s="27" t="s">
        <v>379</v>
      </c>
      <c r="S134" s="27" t="s">
        <v>267</v>
      </c>
      <c r="T134" s="27" t="s">
        <v>63</v>
      </c>
      <c r="U134" s="27">
        <v>10</v>
      </c>
      <c r="V134" s="27">
        <v>20</v>
      </c>
      <c r="W134" s="37">
        <v>-9.5000000000000005E-5</v>
      </c>
      <c r="X134" s="27">
        <v>4</v>
      </c>
      <c r="Y134" s="38">
        <v>-9.0000000000000006E-5</v>
      </c>
      <c r="Z134" s="27" t="s">
        <v>65</v>
      </c>
    </row>
    <row r="135" spans="2:26" x14ac:dyDescent="0.2">
      <c r="B135" s="27" t="s">
        <v>232</v>
      </c>
      <c r="C135" s="27">
        <v>79</v>
      </c>
      <c r="D135" s="27" t="s">
        <v>128</v>
      </c>
      <c r="E135" s="27" t="s">
        <v>106</v>
      </c>
      <c r="F135" s="27" t="s">
        <v>268</v>
      </c>
      <c r="G135" s="27" t="s">
        <v>64</v>
      </c>
      <c r="H135" s="27">
        <v>60</v>
      </c>
      <c r="I135" s="27">
        <v>17</v>
      </c>
      <c r="J135" s="37">
        <v>-1.02E-4</v>
      </c>
      <c r="K135" s="27">
        <v>3</v>
      </c>
      <c r="L135" s="38">
        <v>-9.6000000000000002E-5</v>
      </c>
      <c r="M135" s="27" t="s">
        <v>65</v>
      </c>
      <c r="O135" s="27" t="s">
        <v>232</v>
      </c>
      <c r="P135" s="27">
        <v>79</v>
      </c>
      <c r="Q135" s="27" t="s">
        <v>128</v>
      </c>
      <c r="R135" s="27" t="s">
        <v>379</v>
      </c>
      <c r="S135" s="27" t="s">
        <v>268</v>
      </c>
      <c r="T135" s="27" t="s">
        <v>64</v>
      </c>
      <c r="U135" s="27">
        <v>10</v>
      </c>
      <c r="V135" s="27">
        <v>17</v>
      </c>
      <c r="W135" s="37">
        <v>-1.02E-4</v>
      </c>
      <c r="X135" s="27">
        <v>3</v>
      </c>
      <c r="Y135" s="38">
        <v>-9.6000000000000002E-5</v>
      </c>
      <c r="Z135" s="27" t="s">
        <v>65</v>
      </c>
    </row>
    <row r="136" spans="2:26" x14ac:dyDescent="0.2">
      <c r="B136" s="27" t="s">
        <v>232</v>
      </c>
      <c r="C136" s="27">
        <v>63</v>
      </c>
      <c r="D136" s="27" t="s">
        <v>127</v>
      </c>
      <c r="E136" s="27" t="s">
        <v>106</v>
      </c>
      <c r="F136" s="27" t="s">
        <v>269</v>
      </c>
      <c r="G136" s="27" t="s">
        <v>63</v>
      </c>
      <c r="H136" s="27">
        <v>60</v>
      </c>
      <c r="I136" s="27">
        <v>16</v>
      </c>
      <c r="J136" s="37">
        <v>-6.4199999999999999E-4</v>
      </c>
      <c r="K136" s="27">
        <v>1</v>
      </c>
      <c r="L136" s="38">
        <v>-5.4600000000000004E-4</v>
      </c>
      <c r="M136" s="27" t="s">
        <v>65</v>
      </c>
      <c r="O136" s="27" t="s">
        <v>232</v>
      </c>
      <c r="P136" s="27">
        <v>63</v>
      </c>
      <c r="Q136" s="27" t="s">
        <v>127</v>
      </c>
      <c r="R136" s="27" t="s">
        <v>379</v>
      </c>
      <c r="S136" s="27" t="s">
        <v>269</v>
      </c>
      <c r="T136" s="27" t="s">
        <v>63</v>
      </c>
      <c r="U136" s="27">
        <v>10</v>
      </c>
      <c r="V136" s="27">
        <v>16</v>
      </c>
      <c r="W136" s="37">
        <v>-6.4199999999999999E-4</v>
      </c>
      <c r="X136" s="27">
        <v>1</v>
      </c>
      <c r="Y136" s="38">
        <v>-5.4600000000000004E-4</v>
      </c>
      <c r="Z136" s="27" t="s">
        <v>65</v>
      </c>
    </row>
    <row r="137" spans="2:26" x14ac:dyDescent="0.2">
      <c r="B137" s="27" t="s">
        <v>232</v>
      </c>
      <c r="C137" s="27">
        <v>63</v>
      </c>
      <c r="D137" s="27" t="s">
        <v>127</v>
      </c>
      <c r="E137" s="27" t="s">
        <v>106</v>
      </c>
      <c r="F137" s="27" t="s">
        <v>270</v>
      </c>
      <c r="G137" s="27" t="s">
        <v>64</v>
      </c>
      <c r="H137" s="27">
        <v>60</v>
      </c>
      <c r="I137" s="27">
        <v>9</v>
      </c>
      <c r="J137" s="37">
        <v>-4.57E-4</v>
      </c>
      <c r="K137" s="27">
        <v>6</v>
      </c>
      <c r="L137" s="38">
        <v>-3.97E-4</v>
      </c>
      <c r="M137" s="27" t="s">
        <v>65</v>
      </c>
      <c r="O137" s="27" t="s">
        <v>232</v>
      </c>
      <c r="P137" s="27">
        <v>63</v>
      </c>
      <c r="Q137" s="27" t="s">
        <v>127</v>
      </c>
      <c r="R137" s="27" t="s">
        <v>379</v>
      </c>
      <c r="S137" s="27" t="s">
        <v>270</v>
      </c>
      <c r="T137" s="27" t="s">
        <v>64</v>
      </c>
      <c r="U137" s="27">
        <v>10</v>
      </c>
      <c r="V137" s="27">
        <v>9</v>
      </c>
      <c r="W137" s="37">
        <v>-4.57E-4</v>
      </c>
      <c r="X137" s="27">
        <v>6</v>
      </c>
      <c r="Y137" s="38">
        <v>-3.97E-4</v>
      </c>
      <c r="Z137" s="27" t="s">
        <v>65</v>
      </c>
    </row>
    <row r="138" spans="2:26" x14ac:dyDescent="0.2">
      <c r="B138" s="27" t="s">
        <v>232</v>
      </c>
      <c r="C138" s="27">
        <v>75</v>
      </c>
      <c r="D138" s="27" t="s">
        <v>128</v>
      </c>
      <c r="E138" s="27" t="s">
        <v>106</v>
      </c>
      <c r="F138" s="27" t="s">
        <v>271</v>
      </c>
      <c r="G138" s="27" t="s">
        <v>63</v>
      </c>
      <c r="H138" s="27">
        <v>60</v>
      </c>
      <c r="I138" s="27">
        <v>22</v>
      </c>
      <c r="J138" s="37">
        <v>-2.7E-4</v>
      </c>
      <c r="K138" s="27">
        <v>1</v>
      </c>
      <c r="L138" s="38">
        <v>-2.4699999999999999E-4</v>
      </c>
      <c r="M138" s="27" t="s">
        <v>65</v>
      </c>
      <c r="O138" s="27" t="s">
        <v>232</v>
      </c>
      <c r="P138" s="27">
        <v>75</v>
      </c>
      <c r="Q138" s="27" t="s">
        <v>128</v>
      </c>
      <c r="R138" s="27" t="s">
        <v>379</v>
      </c>
      <c r="S138" s="27" t="s">
        <v>271</v>
      </c>
      <c r="T138" s="27" t="s">
        <v>63</v>
      </c>
      <c r="U138" s="27">
        <v>10</v>
      </c>
      <c r="V138" s="27">
        <v>22</v>
      </c>
      <c r="W138" s="37">
        <v>-2.7E-4</v>
      </c>
      <c r="X138" s="27">
        <v>1</v>
      </c>
      <c r="Y138" s="38">
        <v>-2.4699999999999999E-4</v>
      </c>
      <c r="Z138" s="27" t="s">
        <v>65</v>
      </c>
    </row>
    <row r="139" spans="2:26" x14ac:dyDescent="0.2">
      <c r="B139" s="27" t="s">
        <v>232</v>
      </c>
      <c r="C139" s="27">
        <v>75</v>
      </c>
      <c r="D139" s="27" t="s">
        <v>128</v>
      </c>
      <c r="E139" s="27" t="s">
        <v>106</v>
      </c>
      <c r="F139" s="27" t="s">
        <v>272</v>
      </c>
      <c r="G139" s="27" t="s">
        <v>64</v>
      </c>
      <c r="H139" s="27">
        <v>60</v>
      </c>
      <c r="I139" s="27">
        <v>15</v>
      </c>
      <c r="J139" s="37">
        <v>-2.2599999999999999E-4</v>
      </c>
      <c r="K139" s="27">
        <v>6</v>
      </c>
      <c r="L139" s="38">
        <v>-2.0699999999999999E-4</v>
      </c>
      <c r="M139" s="27" t="s">
        <v>65</v>
      </c>
      <c r="O139" s="27" t="s">
        <v>232</v>
      </c>
      <c r="P139" s="27">
        <v>75</v>
      </c>
      <c r="Q139" s="27" t="s">
        <v>128</v>
      </c>
      <c r="R139" s="27" t="s">
        <v>379</v>
      </c>
      <c r="S139" s="27" t="s">
        <v>272</v>
      </c>
      <c r="T139" s="27" t="s">
        <v>64</v>
      </c>
      <c r="U139" s="27">
        <v>10</v>
      </c>
      <c r="V139" s="27">
        <v>15</v>
      </c>
      <c r="W139" s="37">
        <v>-2.2599999999999999E-4</v>
      </c>
      <c r="X139" s="27">
        <v>6</v>
      </c>
      <c r="Y139" s="38">
        <v>-2.0699999999999999E-4</v>
      </c>
      <c r="Z139" s="27" t="s">
        <v>65</v>
      </c>
    </row>
    <row r="140" spans="2:26" x14ac:dyDescent="0.2">
      <c r="B140" s="27" t="s">
        <v>232</v>
      </c>
      <c r="C140" s="27">
        <v>71</v>
      </c>
      <c r="D140" s="27" t="s">
        <v>129</v>
      </c>
      <c r="E140" s="27" t="s">
        <v>106</v>
      </c>
      <c r="F140" s="27" t="s">
        <v>273</v>
      </c>
      <c r="G140" s="27" t="s">
        <v>63</v>
      </c>
      <c r="H140" s="27">
        <v>60</v>
      </c>
      <c r="I140" s="27">
        <v>22</v>
      </c>
      <c r="J140" s="37">
        <v>-2.7099999999999997E-4</v>
      </c>
      <c r="K140" s="27">
        <v>1</v>
      </c>
      <c r="L140" s="38">
        <v>-2.4699999999999999E-4</v>
      </c>
      <c r="M140" s="27" t="s">
        <v>65</v>
      </c>
      <c r="O140" s="27" t="s">
        <v>232</v>
      </c>
      <c r="P140" s="27">
        <v>71</v>
      </c>
      <c r="Q140" s="27" t="s">
        <v>129</v>
      </c>
      <c r="R140" s="27" t="s">
        <v>379</v>
      </c>
      <c r="S140" s="27" t="s">
        <v>273</v>
      </c>
      <c r="T140" s="27" t="s">
        <v>63</v>
      </c>
      <c r="U140" s="27">
        <v>10</v>
      </c>
      <c r="V140" s="27">
        <v>22</v>
      </c>
      <c r="W140" s="37">
        <v>-2.7E-4</v>
      </c>
      <c r="X140" s="27">
        <v>1</v>
      </c>
      <c r="Y140" s="38">
        <v>-2.4600000000000002E-4</v>
      </c>
      <c r="Z140" s="27" t="s">
        <v>65</v>
      </c>
    </row>
    <row r="141" spans="2:26" x14ac:dyDescent="0.2">
      <c r="B141" s="27" t="s">
        <v>232</v>
      </c>
      <c r="C141" s="27">
        <v>71</v>
      </c>
      <c r="D141" s="27" t="s">
        <v>129</v>
      </c>
      <c r="E141" s="27" t="s">
        <v>106</v>
      </c>
      <c r="F141" s="27" t="s">
        <v>274</v>
      </c>
      <c r="G141" s="27" t="s">
        <v>64</v>
      </c>
      <c r="H141" s="27">
        <v>60</v>
      </c>
      <c r="I141" s="27">
        <v>15</v>
      </c>
      <c r="J141" s="37">
        <v>-2.5999999999999998E-4</v>
      </c>
      <c r="K141" s="27">
        <v>12</v>
      </c>
      <c r="L141" s="38">
        <v>-2.4399999999999999E-4</v>
      </c>
      <c r="M141" s="27" t="s">
        <v>65</v>
      </c>
      <c r="O141" s="27" t="s">
        <v>232</v>
      </c>
      <c r="P141" s="27">
        <v>71</v>
      </c>
      <c r="Q141" s="27" t="s">
        <v>129</v>
      </c>
      <c r="R141" s="27" t="s">
        <v>379</v>
      </c>
      <c r="S141" s="27" t="s">
        <v>274</v>
      </c>
      <c r="T141" s="27" t="s">
        <v>64</v>
      </c>
      <c r="U141" s="27">
        <v>10</v>
      </c>
      <c r="V141" s="27">
        <v>15</v>
      </c>
      <c r="W141" s="37">
        <v>-2.61E-4</v>
      </c>
      <c r="X141" s="27">
        <v>12</v>
      </c>
      <c r="Y141" s="38">
        <v>-2.4399999999999999E-4</v>
      </c>
      <c r="Z141" s="27" t="s">
        <v>65</v>
      </c>
    </row>
    <row r="142" spans="2:26" x14ac:dyDescent="0.2">
      <c r="B142" s="27" t="s">
        <v>232</v>
      </c>
      <c r="C142" s="27">
        <v>72</v>
      </c>
      <c r="D142" s="27" t="s">
        <v>129</v>
      </c>
      <c r="E142" s="27" t="s">
        <v>106</v>
      </c>
      <c r="F142" s="27" t="s">
        <v>275</v>
      </c>
      <c r="G142" s="27" t="s">
        <v>63</v>
      </c>
      <c r="H142" s="27">
        <v>60</v>
      </c>
      <c r="I142" s="27">
        <v>22</v>
      </c>
      <c r="J142" s="37">
        <v>-2.7E-4</v>
      </c>
      <c r="K142" s="27">
        <v>1</v>
      </c>
      <c r="L142" s="38">
        <v>-2.4600000000000002E-4</v>
      </c>
      <c r="M142" s="27" t="s">
        <v>65</v>
      </c>
      <c r="O142" s="27" t="s">
        <v>232</v>
      </c>
      <c r="P142" s="27">
        <v>72</v>
      </c>
      <c r="Q142" s="27" t="s">
        <v>129</v>
      </c>
      <c r="R142" s="27" t="s">
        <v>379</v>
      </c>
      <c r="S142" s="27" t="s">
        <v>275</v>
      </c>
      <c r="T142" s="27" t="s">
        <v>63</v>
      </c>
      <c r="U142" s="27">
        <v>10</v>
      </c>
      <c r="V142" s="27">
        <v>22</v>
      </c>
      <c r="W142" s="37">
        <v>-2.7E-4</v>
      </c>
      <c r="X142" s="27">
        <v>1</v>
      </c>
      <c r="Y142" s="38">
        <v>-2.4600000000000002E-4</v>
      </c>
      <c r="Z142" s="27" t="s">
        <v>65</v>
      </c>
    </row>
    <row r="143" spans="2:26" x14ac:dyDescent="0.2">
      <c r="B143" s="27" t="s">
        <v>232</v>
      </c>
      <c r="C143" s="27">
        <v>72</v>
      </c>
      <c r="D143" s="27" t="s">
        <v>129</v>
      </c>
      <c r="E143" s="27" t="s">
        <v>106</v>
      </c>
      <c r="F143" s="27" t="s">
        <v>276</v>
      </c>
      <c r="G143" s="27" t="s">
        <v>64</v>
      </c>
      <c r="H143" s="27">
        <v>60</v>
      </c>
      <c r="I143" s="27">
        <v>15</v>
      </c>
      <c r="J143" s="37">
        <v>-2.5900000000000001E-4</v>
      </c>
      <c r="K143" s="27">
        <v>12</v>
      </c>
      <c r="L143" s="38">
        <v>-2.43E-4</v>
      </c>
      <c r="M143" s="27" t="s">
        <v>65</v>
      </c>
      <c r="O143" s="27" t="s">
        <v>232</v>
      </c>
      <c r="P143" s="27">
        <v>72</v>
      </c>
      <c r="Q143" s="27" t="s">
        <v>129</v>
      </c>
      <c r="R143" s="27" t="s">
        <v>379</v>
      </c>
      <c r="S143" s="27" t="s">
        <v>276</v>
      </c>
      <c r="T143" s="27" t="s">
        <v>64</v>
      </c>
      <c r="U143" s="27">
        <v>10</v>
      </c>
      <c r="V143" s="27">
        <v>15</v>
      </c>
      <c r="W143" s="37">
        <v>-2.5999999999999998E-4</v>
      </c>
      <c r="X143" s="27">
        <v>12</v>
      </c>
      <c r="Y143" s="38">
        <v>-2.43E-4</v>
      </c>
      <c r="Z143" s="27" t="s">
        <v>65</v>
      </c>
    </row>
    <row r="144" spans="2:26" x14ac:dyDescent="0.2">
      <c r="B144" s="27" t="s">
        <v>232</v>
      </c>
      <c r="C144" s="27">
        <v>76</v>
      </c>
      <c r="D144" s="27" t="s">
        <v>128</v>
      </c>
      <c r="E144" s="27" t="s">
        <v>106</v>
      </c>
      <c r="F144" s="27" t="s">
        <v>277</v>
      </c>
      <c r="G144" s="27" t="s">
        <v>63</v>
      </c>
      <c r="H144" s="27">
        <v>60</v>
      </c>
      <c r="I144" s="27">
        <v>22</v>
      </c>
      <c r="J144" s="37">
        <v>-2.7599999999999999E-4</v>
      </c>
      <c r="K144" s="27">
        <v>1</v>
      </c>
      <c r="L144" s="38">
        <v>-2.52E-4</v>
      </c>
      <c r="M144" s="27" t="s">
        <v>65</v>
      </c>
      <c r="O144" s="27" t="s">
        <v>232</v>
      </c>
      <c r="P144" s="27">
        <v>76</v>
      </c>
      <c r="Q144" s="27" t="s">
        <v>128</v>
      </c>
      <c r="R144" s="27" t="s">
        <v>379</v>
      </c>
      <c r="S144" s="27" t="s">
        <v>277</v>
      </c>
      <c r="T144" s="27" t="s">
        <v>63</v>
      </c>
      <c r="U144" s="27">
        <v>10</v>
      </c>
      <c r="V144" s="27">
        <v>22</v>
      </c>
      <c r="W144" s="37">
        <v>-2.7599999999999999E-4</v>
      </c>
      <c r="X144" s="27">
        <v>1</v>
      </c>
      <c r="Y144" s="38">
        <v>-2.52E-4</v>
      </c>
      <c r="Z144" s="27" t="s">
        <v>65</v>
      </c>
    </row>
    <row r="145" spans="2:26" x14ac:dyDescent="0.2">
      <c r="B145" s="27" t="s">
        <v>232</v>
      </c>
      <c r="C145" s="27">
        <v>76</v>
      </c>
      <c r="D145" s="27" t="s">
        <v>128</v>
      </c>
      <c r="E145" s="27" t="s">
        <v>106</v>
      </c>
      <c r="F145" s="27" t="s">
        <v>278</v>
      </c>
      <c r="G145" s="27" t="s">
        <v>64</v>
      </c>
      <c r="H145" s="27">
        <v>60</v>
      </c>
      <c r="I145" s="27">
        <v>15</v>
      </c>
      <c r="J145" s="37">
        <v>-2.3000000000000001E-4</v>
      </c>
      <c r="K145" s="27">
        <v>6</v>
      </c>
      <c r="L145" s="38">
        <v>-2.1000000000000001E-4</v>
      </c>
      <c r="M145" s="27" t="s">
        <v>65</v>
      </c>
      <c r="O145" s="27" t="s">
        <v>232</v>
      </c>
      <c r="P145" s="27">
        <v>76</v>
      </c>
      <c r="Q145" s="27" t="s">
        <v>128</v>
      </c>
      <c r="R145" s="27" t="s">
        <v>379</v>
      </c>
      <c r="S145" s="27" t="s">
        <v>278</v>
      </c>
      <c r="T145" s="27" t="s">
        <v>64</v>
      </c>
      <c r="U145" s="27">
        <v>10</v>
      </c>
      <c r="V145" s="27">
        <v>15</v>
      </c>
      <c r="W145" s="37">
        <v>-2.3000000000000001E-4</v>
      </c>
      <c r="X145" s="27">
        <v>6</v>
      </c>
      <c r="Y145" s="38">
        <v>-2.1000000000000001E-4</v>
      </c>
      <c r="Z145" s="27" t="s">
        <v>65</v>
      </c>
    </row>
    <row r="146" spans="2:26" x14ac:dyDescent="0.2">
      <c r="B146" s="27" t="s">
        <v>232</v>
      </c>
      <c r="C146" s="27">
        <v>64</v>
      </c>
      <c r="D146" s="27" t="s">
        <v>127</v>
      </c>
      <c r="E146" s="27" t="s">
        <v>106</v>
      </c>
      <c r="F146" s="27" t="s">
        <v>279</v>
      </c>
      <c r="G146" s="27" t="s">
        <v>63</v>
      </c>
      <c r="H146" s="27">
        <v>60</v>
      </c>
      <c r="I146" s="27">
        <v>16</v>
      </c>
      <c r="J146" s="37">
        <v>-2.9E-4</v>
      </c>
      <c r="K146" s="27">
        <v>1</v>
      </c>
      <c r="L146" s="38">
        <v>-2.5500000000000002E-4</v>
      </c>
      <c r="M146" s="27" t="s">
        <v>65</v>
      </c>
      <c r="O146" s="27" t="s">
        <v>232</v>
      </c>
      <c r="P146" s="27">
        <v>64</v>
      </c>
      <c r="Q146" s="27" t="s">
        <v>127</v>
      </c>
      <c r="R146" s="27" t="s">
        <v>379</v>
      </c>
      <c r="S146" s="27" t="s">
        <v>279</v>
      </c>
      <c r="T146" s="27" t="s">
        <v>63</v>
      </c>
      <c r="U146" s="27">
        <v>10</v>
      </c>
      <c r="V146" s="27">
        <v>16</v>
      </c>
      <c r="W146" s="37">
        <v>-2.9E-4</v>
      </c>
      <c r="X146" s="27">
        <v>1</v>
      </c>
      <c r="Y146" s="38">
        <v>-2.5399999999999999E-4</v>
      </c>
      <c r="Z146" s="27" t="s">
        <v>65</v>
      </c>
    </row>
    <row r="147" spans="2:26" x14ac:dyDescent="0.2">
      <c r="B147" s="27" t="s">
        <v>232</v>
      </c>
      <c r="C147" s="27">
        <v>64</v>
      </c>
      <c r="D147" s="27" t="s">
        <v>127</v>
      </c>
      <c r="E147" s="27" t="s">
        <v>106</v>
      </c>
      <c r="F147" s="27" t="s">
        <v>280</v>
      </c>
      <c r="G147" s="27" t="s">
        <v>64</v>
      </c>
      <c r="H147" s="27">
        <v>60</v>
      </c>
      <c r="I147" s="27">
        <v>9</v>
      </c>
      <c r="J147" s="37">
        <v>-2.3699999999999999E-4</v>
      </c>
      <c r="K147" s="27">
        <v>6</v>
      </c>
      <c r="L147" s="38">
        <v>-2.1000000000000001E-4</v>
      </c>
      <c r="M147" s="27" t="s">
        <v>65</v>
      </c>
      <c r="O147" s="27" t="s">
        <v>232</v>
      </c>
      <c r="P147" s="27">
        <v>64</v>
      </c>
      <c r="Q147" s="27" t="s">
        <v>127</v>
      </c>
      <c r="R147" s="27" t="s">
        <v>379</v>
      </c>
      <c r="S147" s="27" t="s">
        <v>280</v>
      </c>
      <c r="T147" s="27" t="s">
        <v>64</v>
      </c>
      <c r="U147" s="27">
        <v>10</v>
      </c>
      <c r="V147" s="27">
        <v>9</v>
      </c>
      <c r="W147" s="37">
        <v>-2.3800000000000001E-4</v>
      </c>
      <c r="X147" s="27">
        <v>6</v>
      </c>
      <c r="Y147" s="38">
        <v>-2.1100000000000001E-4</v>
      </c>
      <c r="Z147" s="27" t="s">
        <v>65</v>
      </c>
    </row>
    <row r="148" spans="2:26" x14ac:dyDescent="0.2">
      <c r="B148" s="27" t="s">
        <v>281</v>
      </c>
      <c r="C148" s="27">
        <v>127</v>
      </c>
      <c r="D148" s="27" t="s">
        <v>127</v>
      </c>
      <c r="E148" s="27" t="s">
        <v>106</v>
      </c>
      <c r="F148" s="27" t="s">
        <v>282</v>
      </c>
      <c r="G148" s="27" t="s">
        <v>63</v>
      </c>
      <c r="H148" s="27">
        <v>60</v>
      </c>
      <c r="I148" s="27">
        <v>14</v>
      </c>
      <c r="J148" s="37">
        <v>-7.85E-4</v>
      </c>
      <c r="K148" s="27">
        <v>4</v>
      </c>
      <c r="L148" s="38">
        <v>-6.7199999999999996E-4</v>
      </c>
      <c r="M148" s="27" t="s">
        <v>65</v>
      </c>
      <c r="O148" s="27" t="s">
        <v>281</v>
      </c>
      <c r="P148" s="27">
        <v>127</v>
      </c>
      <c r="Q148" s="27" t="s">
        <v>127</v>
      </c>
      <c r="R148" s="27" t="s">
        <v>379</v>
      </c>
      <c r="S148" s="27" t="s">
        <v>282</v>
      </c>
      <c r="T148" s="27" t="s">
        <v>63</v>
      </c>
      <c r="U148" s="27">
        <v>10</v>
      </c>
      <c r="V148" s="27">
        <v>14</v>
      </c>
      <c r="W148" s="37">
        <v>-7.85E-4</v>
      </c>
      <c r="X148" s="27">
        <v>4</v>
      </c>
      <c r="Y148" s="38">
        <v>-6.7199999999999996E-4</v>
      </c>
      <c r="Z148" s="27" t="s">
        <v>65</v>
      </c>
    </row>
    <row r="149" spans="2:26" x14ac:dyDescent="0.2">
      <c r="B149" s="27" t="s">
        <v>281</v>
      </c>
      <c r="C149" s="27">
        <v>127</v>
      </c>
      <c r="D149" s="27" t="s">
        <v>127</v>
      </c>
      <c r="E149" s="27" t="s">
        <v>106</v>
      </c>
      <c r="F149" s="27" t="s">
        <v>283</v>
      </c>
      <c r="G149" s="27" t="s">
        <v>64</v>
      </c>
      <c r="H149" s="27">
        <v>60</v>
      </c>
      <c r="I149" s="27">
        <v>11</v>
      </c>
      <c r="J149" s="37">
        <v>-4.64E-4</v>
      </c>
      <c r="K149" s="27">
        <v>3</v>
      </c>
      <c r="L149" s="38">
        <v>-4.1199999999999999E-4</v>
      </c>
      <c r="M149" s="27" t="s">
        <v>65</v>
      </c>
      <c r="O149" s="27" t="s">
        <v>281</v>
      </c>
      <c r="P149" s="27">
        <v>127</v>
      </c>
      <c r="Q149" s="27" t="s">
        <v>127</v>
      </c>
      <c r="R149" s="27" t="s">
        <v>379</v>
      </c>
      <c r="S149" s="27" t="s">
        <v>283</v>
      </c>
      <c r="T149" s="27" t="s">
        <v>64</v>
      </c>
      <c r="U149" s="27">
        <v>10</v>
      </c>
      <c r="V149" s="27">
        <v>11</v>
      </c>
      <c r="W149" s="37">
        <v>-4.64E-4</v>
      </c>
      <c r="X149" s="27">
        <v>3</v>
      </c>
      <c r="Y149" s="38">
        <v>-4.1199999999999999E-4</v>
      </c>
      <c r="Z149" s="27" t="s">
        <v>65</v>
      </c>
    </row>
    <row r="150" spans="2:26" x14ac:dyDescent="0.2">
      <c r="B150" s="27" t="s">
        <v>281</v>
      </c>
      <c r="C150" s="27">
        <v>139</v>
      </c>
      <c r="D150" s="27" t="s">
        <v>128</v>
      </c>
      <c r="E150" s="27" t="s">
        <v>106</v>
      </c>
      <c r="F150" s="27" t="s">
        <v>284</v>
      </c>
      <c r="G150" s="27" t="s">
        <v>63</v>
      </c>
      <c r="H150" s="27">
        <v>60</v>
      </c>
      <c r="I150" s="27">
        <v>20</v>
      </c>
      <c r="J150" s="37">
        <v>-3.5799999999999997E-4</v>
      </c>
      <c r="K150" s="27">
        <v>4</v>
      </c>
      <c r="L150" s="38">
        <v>-3.2699999999999998E-4</v>
      </c>
      <c r="M150" s="27" t="s">
        <v>65</v>
      </c>
      <c r="O150" s="27" t="s">
        <v>281</v>
      </c>
      <c r="P150" s="27">
        <v>139</v>
      </c>
      <c r="Q150" s="27" t="s">
        <v>128</v>
      </c>
      <c r="R150" s="27" t="s">
        <v>379</v>
      </c>
      <c r="S150" s="27" t="s">
        <v>284</v>
      </c>
      <c r="T150" s="27" t="s">
        <v>63</v>
      </c>
      <c r="U150" s="27">
        <v>10</v>
      </c>
      <c r="V150" s="27">
        <v>20</v>
      </c>
      <c r="W150" s="37">
        <v>-3.5799999999999997E-4</v>
      </c>
      <c r="X150" s="27">
        <v>4</v>
      </c>
      <c r="Y150" s="38">
        <v>-3.2699999999999998E-4</v>
      </c>
      <c r="Z150" s="27" t="s">
        <v>65</v>
      </c>
    </row>
    <row r="151" spans="2:26" x14ac:dyDescent="0.2">
      <c r="B151" s="27" t="s">
        <v>281</v>
      </c>
      <c r="C151" s="27">
        <v>139</v>
      </c>
      <c r="D151" s="27" t="s">
        <v>128</v>
      </c>
      <c r="E151" s="27" t="s">
        <v>106</v>
      </c>
      <c r="F151" s="27" t="s">
        <v>285</v>
      </c>
      <c r="G151" s="27" t="s">
        <v>64</v>
      </c>
      <c r="H151" s="27">
        <v>60</v>
      </c>
      <c r="I151" s="27">
        <v>17</v>
      </c>
      <c r="J151" s="37">
        <v>-2.23E-4</v>
      </c>
      <c r="K151" s="27">
        <v>3</v>
      </c>
      <c r="L151" s="38">
        <v>-2.0900000000000001E-4</v>
      </c>
      <c r="M151" s="27" t="s">
        <v>65</v>
      </c>
      <c r="O151" s="27" t="s">
        <v>281</v>
      </c>
      <c r="P151" s="27">
        <v>139</v>
      </c>
      <c r="Q151" s="27" t="s">
        <v>128</v>
      </c>
      <c r="R151" s="27" t="s">
        <v>379</v>
      </c>
      <c r="S151" s="27" t="s">
        <v>285</v>
      </c>
      <c r="T151" s="27" t="s">
        <v>64</v>
      </c>
      <c r="U151" s="27">
        <v>10</v>
      </c>
      <c r="V151" s="27">
        <v>17</v>
      </c>
      <c r="W151" s="37">
        <v>-2.23E-4</v>
      </c>
      <c r="X151" s="27">
        <v>3</v>
      </c>
      <c r="Y151" s="38">
        <v>-2.1000000000000001E-4</v>
      </c>
      <c r="Z151" s="27" t="s">
        <v>65</v>
      </c>
    </row>
    <row r="152" spans="2:26" x14ac:dyDescent="0.2">
      <c r="B152" s="27" t="s">
        <v>281</v>
      </c>
      <c r="C152" s="27">
        <v>135</v>
      </c>
      <c r="D152" s="27" t="s">
        <v>129</v>
      </c>
      <c r="E152" s="27" t="s">
        <v>106</v>
      </c>
      <c r="F152" s="27" t="s">
        <v>286</v>
      </c>
      <c r="G152" s="27" t="s">
        <v>63</v>
      </c>
      <c r="H152" s="27">
        <v>60</v>
      </c>
      <c r="I152" s="27">
        <v>20</v>
      </c>
      <c r="J152" s="37">
        <v>-4.8500000000000003E-4</v>
      </c>
      <c r="K152" s="27">
        <v>7</v>
      </c>
      <c r="L152" s="38">
        <v>-4.55E-4</v>
      </c>
      <c r="M152" s="27" t="s">
        <v>65</v>
      </c>
      <c r="O152" s="27" t="s">
        <v>281</v>
      </c>
      <c r="P152" s="27">
        <v>135</v>
      </c>
      <c r="Q152" s="27" t="s">
        <v>129</v>
      </c>
      <c r="R152" s="27" t="s">
        <v>379</v>
      </c>
      <c r="S152" s="27" t="s">
        <v>286</v>
      </c>
      <c r="T152" s="27" t="s">
        <v>63</v>
      </c>
      <c r="U152" s="27">
        <v>10</v>
      </c>
      <c r="V152" s="27">
        <v>20</v>
      </c>
      <c r="W152" s="37">
        <v>-4.8500000000000003E-4</v>
      </c>
      <c r="X152" s="27">
        <v>7</v>
      </c>
      <c r="Y152" s="38">
        <v>-4.5399999999999998E-4</v>
      </c>
      <c r="Z152" s="27" t="s">
        <v>65</v>
      </c>
    </row>
    <row r="153" spans="2:26" x14ac:dyDescent="0.2">
      <c r="B153" s="27" t="s">
        <v>281</v>
      </c>
      <c r="C153" s="27">
        <v>135</v>
      </c>
      <c r="D153" s="27" t="s">
        <v>129</v>
      </c>
      <c r="E153" s="27" t="s">
        <v>106</v>
      </c>
      <c r="F153" s="27" t="s">
        <v>287</v>
      </c>
      <c r="G153" s="27" t="s">
        <v>64</v>
      </c>
      <c r="H153" s="27">
        <v>60</v>
      </c>
      <c r="I153" s="27">
        <v>17</v>
      </c>
      <c r="J153" s="37">
        <v>-2.0900000000000001E-4</v>
      </c>
      <c r="K153" s="27">
        <v>6</v>
      </c>
      <c r="L153" s="38">
        <v>-1.93E-4</v>
      </c>
      <c r="M153" s="27" t="s">
        <v>65</v>
      </c>
      <c r="O153" s="27" t="s">
        <v>281</v>
      </c>
      <c r="P153" s="27">
        <v>135</v>
      </c>
      <c r="Q153" s="27" t="s">
        <v>129</v>
      </c>
      <c r="R153" s="27" t="s">
        <v>379</v>
      </c>
      <c r="S153" s="27" t="s">
        <v>287</v>
      </c>
      <c r="T153" s="27" t="s">
        <v>64</v>
      </c>
      <c r="U153" s="27">
        <v>10</v>
      </c>
      <c r="V153" s="27">
        <v>17</v>
      </c>
      <c r="W153" s="37">
        <v>-2.0900000000000001E-4</v>
      </c>
      <c r="X153" s="27">
        <v>6</v>
      </c>
      <c r="Y153" s="38">
        <v>-1.93E-4</v>
      </c>
      <c r="Z153" s="27" t="s">
        <v>65</v>
      </c>
    </row>
    <row r="154" spans="2:26" x14ac:dyDescent="0.2">
      <c r="B154" s="27" t="s">
        <v>281</v>
      </c>
      <c r="C154" s="27">
        <v>136</v>
      </c>
      <c r="D154" s="27" t="s">
        <v>129</v>
      </c>
      <c r="E154" s="27" t="s">
        <v>106</v>
      </c>
      <c r="F154" s="27" t="s">
        <v>288</v>
      </c>
      <c r="G154" s="27" t="s">
        <v>63</v>
      </c>
      <c r="H154" s="27">
        <v>60</v>
      </c>
      <c r="I154" s="27">
        <v>20</v>
      </c>
      <c r="J154" s="37">
        <v>-4.84E-4</v>
      </c>
      <c r="K154" s="27">
        <v>7</v>
      </c>
      <c r="L154" s="38">
        <v>-4.5399999999999998E-4</v>
      </c>
      <c r="M154" s="27" t="s">
        <v>65</v>
      </c>
      <c r="O154" s="27" t="s">
        <v>281</v>
      </c>
      <c r="P154" s="27">
        <v>136</v>
      </c>
      <c r="Q154" s="27" t="s">
        <v>129</v>
      </c>
      <c r="R154" s="27" t="s">
        <v>379</v>
      </c>
      <c r="S154" s="27" t="s">
        <v>288</v>
      </c>
      <c r="T154" s="27" t="s">
        <v>63</v>
      </c>
      <c r="U154" s="27">
        <v>10</v>
      </c>
      <c r="V154" s="27">
        <v>20</v>
      </c>
      <c r="W154" s="37">
        <v>-4.84E-4</v>
      </c>
      <c r="X154" s="27">
        <v>7</v>
      </c>
      <c r="Y154" s="38">
        <v>-4.5300000000000001E-4</v>
      </c>
      <c r="Z154" s="27" t="s">
        <v>65</v>
      </c>
    </row>
    <row r="155" spans="2:26" x14ac:dyDescent="0.2">
      <c r="B155" s="27" t="s">
        <v>281</v>
      </c>
      <c r="C155" s="27">
        <v>136</v>
      </c>
      <c r="D155" s="27" t="s">
        <v>129</v>
      </c>
      <c r="E155" s="27" t="s">
        <v>106</v>
      </c>
      <c r="F155" s="27" t="s">
        <v>289</v>
      </c>
      <c r="G155" s="27" t="s">
        <v>64</v>
      </c>
      <c r="H155" s="27">
        <v>60</v>
      </c>
      <c r="I155" s="27">
        <v>17</v>
      </c>
      <c r="J155" s="37">
        <v>-2.0699999999999999E-4</v>
      </c>
      <c r="K155" s="27">
        <v>6</v>
      </c>
      <c r="L155" s="38">
        <v>-1.9100000000000001E-4</v>
      </c>
      <c r="M155" s="27" t="s">
        <v>65</v>
      </c>
      <c r="O155" s="27" t="s">
        <v>281</v>
      </c>
      <c r="P155" s="27">
        <v>136</v>
      </c>
      <c r="Q155" s="27" t="s">
        <v>129</v>
      </c>
      <c r="R155" s="27" t="s">
        <v>379</v>
      </c>
      <c r="S155" s="27" t="s">
        <v>289</v>
      </c>
      <c r="T155" s="27" t="s">
        <v>64</v>
      </c>
      <c r="U155" s="27">
        <v>10</v>
      </c>
      <c r="V155" s="27">
        <v>17</v>
      </c>
      <c r="W155" s="37">
        <v>-2.0799999999999999E-4</v>
      </c>
      <c r="X155" s="27">
        <v>6</v>
      </c>
      <c r="Y155" s="38">
        <v>-1.9100000000000001E-4</v>
      </c>
      <c r="Z155" s="27" t="s">
        <v>65</v>
      </c>
    </row>
    <row r="156" spans="2:26" x14ac:dyDescent="0.2">
      <c r="B156" s="27" t="s">
        <v>281</v>
      </c>
      <c r="C156" s="27">
        <v>140</v>
      </c>
      <c r="D156" s="27" t="s">
        <v>128</v>
      </c>
      <c r="E156" s="27" t="s">
        <v>106</v>
      </c>
      <c r="F156" s="27" t="s">
        <v>290</v>
      </c>
      <c r="G156" s="27" t="s">
        <v>63</v>
      </c>
      <c r="H156" s="27">
        <v>60</v>
      </c>
      <c r="I156" s="27">
        <v>20</v>
      </c>
      <c r="J156" s="37">
        <v>-3.6600000000000001E-4</v>
      </c>
      <c r="K156" s="27">
        <v>4</v>
      </c>
      <c r="L156" s="38">
        <v>-3.3199999999999999E-4</v>
      </c>
      <c r="M156" s="27" t="s">
        <v>65</v>
      </c>
      <c r="O156" s="27" t="s">
        <v>281</v>
      </c>
      <c r="P156" s="27">
        <v>140</v>
      </c>
      <c r="Q156" s="27" t="s">
        <v>128</v>
      </c>
      <c r="R156" s="27" t="s">
        <v>379</v>
      </c>
      <c r="S156" s="27" t="s">
        <v>290</v>
      </c>
      <c r="T156" s="27" t="s">
        <v>63</v>
      </c>
      <c r="U156" s="27">
        <v>10</v>
      </c>
      <c r="V156" s="27">
        <v>20</v>
      </c>
      <c r="W156" s="37">
        <v>-3.6499999999999998E-4</v>
      </c>
      <c r="X156" s="27">
        <v>4</v>
      </c>
      <c r="Y156" s="38">
        <v>-3.3199999999999999E-4</v>
      </c>
      <c r="Z156" s="27" t="s">
        <v>65</v>
      </c>
    </row>
    <row r="157" spans="2:26" x14ac:dyDescent="0.2">
      <c r="B157" s="27" t="s">
        <v>281</v>
      </c>
      <c r="C157" s="27">
        <v>140</v>
      </c>
      <c r="D157" s="27" t="s">
        <v>128</v>
      </c>
      <c r="E157" s="27" t="s">
        <v>106</v>
      </c>
      <c r="F157" s="27" t="s">
        <v>291</v>
      </c>
      <c r="G157" s="27" t="s">
        <v>64</v>
      </c>
      <c r="H157" s="27">
        <v>60</v>
      </c>
      <c r="I157" s="27">
        <v>17</v>
      </c>
      <c r="J157" s="37">
        <v>-2.2499999999999999E-4</v>
      </c>
      <c r="K157" s="27">
        <v>3</v>
      </c>
      <c r="L157" s="38">
        <v>-2.1100000000000001E-4</v>
      </c>
      <c r="M157" s="27" t="s">
        <v>65</v>
      </c>
      <c r="O157" s="27" t="s">
        <v>281</v>
      </c>
      <c r="P157" s="27">
        <v>140</v>
      </c>
      <c r="Q157" s="27" t="s">
        <v>128</v>
      </c>
      <c r="R157" s="27" t="s">
        <v>379</v>
      </c>
      <c r="S157" s="27" t="s">
        <v>291</v>
      </c>
      <c r="T157" s="27" t="s">
        <v>64</v>
      </c>
      <c r="U157" s="27">
        <v>10</v>
      </c>
      <c r="V157" s="27">
        <v>17</v>
      </c>
      <c r="W157" s="37">
        <v>-2.2499999999999999E-4</v>
      </c>
      <c r="X157" s="27">
        <v>3</v>
      </c>
      <c r="Y157" s="38">
        <v>-2.1100000000000001E-4</v>
      </c>
      <c r="Z157" s="27" t="s">
        <v>65</v>
      </c>
    </row>
    <row r="158" spans="2:26" x14ac:dyDescent="0.2">
      <c r="B158" s="27" t="s">
        <v>281</v>
      </c>
      <c r="C158" s="27">
        <v>128</v>
      </c>
      <c r="D158" s="27" t="s">
        <v>127</v>
      </c>
      <c r="E158" s="27" t="s">
        <v>106</v>
      </c>
      <c r="F158" s="27" t="s">
        <v>292</v>
      </c>
      <c r="G158" s="27" t="s">
        <v>63</v>
      </c>
      <c r="H158" s="27">
        <v>60</v>
      </c>
      <c r="I158" s="27">
        <v>14</v>
      </c>
      <c r="J158" s="37">
        <v>-3.7800000000000003E-4</v>
      </c>
      <c r="K158" s="27">
        <v>4</v>
      </c>
      <c r="L158" s="38">
        <v>-3.3199999999999999E-4</v>
      </c>
      <c r="M158" s="27" t="s">
        <v>65</v>
      </c>
      <c r="O158" s="27" t="s">
        <v>281</v>
      </c>
      <c r="P158" s="27">
        <v>128</v>
      </c>
      <c r="Q158" s="27" t="s">
        <v>127</v>
      </c>
      <c r="R158" s="27" t="s">
        <v>379</v>
      </c>
      <c r="S158" s="27" t="s">
        <v>292</v>
      </c>
      <c r="T158" s="27" t="s">
        <v>63</v>
      </c>
      <c r="U158" s="27">
        <v>10</v>
      </c>
      <c r="V158" s="27">
        <v>14</v>
      </c>
      <c r="W158" s="37">
        <v>-3.7800000000000003E-4</v>
      </c>
      <c r="X158" s="27">
        <v>4</v>
      </c>
      <c r="Y158" s="38">
        <v>-3.3199999999999999E-4</v>
      </c>
      <c r="Z158" s="27" t="s">
        <v>65</v>
      </c>
    </row>
    <row r="159" spans="2:26" x14ac:dyDescent="0.2">
      <c r="B159" s="27" t="s">
        <v>281</v>
      </c>
      <c r="C159" s="27">
        <v>128</v>
      </c>
      <c r="D159" s="27" t="s">
        <v>127</v>
      </c>
      <c r="E159" s="27" t="s">
        <v>106</v>
      </c>
      <c r="F159" s="27" t="s">
        <v>293</v>
      </c>
      <c r="G159" s="27" t="s">
        <v>64</v>
      </c>
      <c r="H159" s="27">
        <v>60</v>
      </c>
      <c r="I159" s="27">
        <v>11</v>
      </c>
      <c r="J159" s="37">
        <v>-2.4000000000000001E-4</v>
      </c>
      <c r="K159" s="27">
        <v>3</v>
      </c>
      <c r="L159" s="38">
        <v>-2.1800000000000001E-4</v>
      </c>
      <c r="M159" s="27" t="s">
        <v>65</v>
      </c>
      <c r="O159" s="27" t="s">
        <v>281</v>
      </c>
      <c r="P159" s="27">
        <v>128</v>
      </c>
      <c r="Q159" s="27" t="s">
        <v>127</v>
      </c>
      <c r="R159" s="27" t="s">
        <v>379</v>
      </c>
      <c r="S159" s="27" t="s">
        <v>293</v>
      </c>
      <c r="T159" s="27" t="s">
        <v>64</v>
      </c>
      <c r="U159" s="27">
        <v>10</v>
      </c>
      <c r="V159" s="27">
        <v>11</v>
      </c>
      <c r="W159" s="37">
        <v>-2.4000000000000001E-4</v>
      </c>
      <c r="X159" s="27">
        <v>3</v>
      </c>
      <c r="Y159" s="38">
        <v>-2.1800000000000001E-4</v>
      </c>
      <c r="Z159" s="27" t="s">
        <v>65</v>
      </c>
    </row>
    <row r="160" spans="2:26" x14ac:dyDescent="0.2">
      <c r="B160" s="27" t="s">
        <v>281</v>
      </c>
      <c r="C160" s="27">
        <v>144</v>
      </c>
      <c r="D160" s="27" t="s">
        <v>128</v>
      </c>
      <c r="E160" s="27" t="s">
        <v>106</v>
      </c>
      <c r="F160" s="27" t="s">
        <v>294</v>
      </c>
      <c r="G160" s="27" t="s">
        <v>63</v>
      </c>
      <c r="H160" s="27">
        <v>60</v>
      </c>
      <c r="I160" s="27">
        <v>22</v>
      </c>
      <c r="J160" s="37">
        <v>-3.7199999999999999E-4</v>
      </c>
      <c r="K160" s="27">
        <v>1</v>
      </c>
      <c r="L160" s="38">
        <v>-3.28E-4</v>
      </c>
      <c r="M160" s="27" t="s">
        <v>65</v>
      </c>
      <c r="O160" s="27" t="s">
        <v>281</v>
      </c>
      <c r="P160" s="27">
        <v>144</v>
      </c>
      <c r="Q160" s="27" t="s">
        <v>128</v>
      </c>
      <c r="R160" s="27" t="s">
        <v>379</v>
      </c>
      <c r="S160" s="27" t="s">
        <v>294</v>
      </c>
      <c r="T160" s="27" t="s">
        <v>63</v>
      </c>
      <c r="U160" s="27">
        <v>10</v>
      </c>
      <c r="V160" s="27">
        <v>22</v>
      </c>
      <c r="W160" s="37">
        <v>-3.7199999999999999E-4</v>
      </c>
      <c r="X160" s="27">
        <v>1</v>
      </c>
      <c r="Y160" s="38">
        <v>-3.28E-4</v>
      </c>
      <c r="Z160" s="27" t="s">
        <v>65</v>
      </c>
    </row>
    <row r="161" spans="2:26" x14ac:dyDescent="0.2">
      <c r="B161" s="27" t="s">
        <v>281</v>
      </c>
      <c r="C161" s="27">
        <v>144</v>
      </c>
      <c r="D161" s="27" t="s">
        <v>128</v>
      </c>
      <c r="E161" s="27" t="s">
        <v>106</v>
      </c>
      <c r="F161" s="27" t="s">
        <v>295</v>
      </c>
      <c r="G161" s="27" t="s">
        <v>64</v>
      </c>
      <c r="H161" s="27">
        <v>60</v>
      </c>
      <c r="I161" s="27">
        <v>15</v>
      </c>
      <c r="J161" s="37">
        <v>-2.3900000000000001E-4</v>
      </c>
      <c r="K161" s="27">
        <v>6</v>
      </c>
      <c r="L161" s="38">
        <v>-2.1900000000000001E-4</v>
      </c>
      <c r="M161" s="27" t="s">
        <v>65</v>
      </c>
      <c r="O161" s="27" t="s">
        <v>281</v>
      </c>
      <c r="P161" s="27">
        <v>144</v>
      </c>
      <c r="Q161" s="27" t="s">
        <v>128</v>
      </c>
      <c r="R161" s="27" t="s">
        <v>379</v>
      </c>
      <c r="S161" s="27" t="s">
        <v>295</v>
      </c>
      <c r="T161" s="27" t="s">
        <v>64</v>
      </c>
      <c r="U161" s="27">
        <v>10</v>
      </c>
      <c r="V161" s="27">
        <v>15</v>
      </c>
      <c r="W161" s="37">
        <v>-2.3900000000000001E-4</v>
      </c>
      <c r="X161" s="27">
        <v>6</v>
      </c>
      <c r="Y161" s="38">
        <v>-2.1900000000000001E-4</v>
      </c>
      <c r="Z161" s="27" t="s">
        <v>65</v>
      </c>
    </row>
    <row r="162" spans="2:26" x14ac:dyDescent="0.2">
      <c r="B162" s="27" t="s">
        <v>281</v>
      </c>
      <c r="C162" s="27">
        <v>129</v>
      </c>
      <c r="D162" s="27" t="s">
        <v>129</v>
      </c>
      <c r="E162" s="27" t="s">
        <v>106</v>
      </c>
      <c r="F162" s="27" t="s">
        <v>296</v>
      </c>
      <c r="G162" s="27" t="s">
        <v>63</v>
      </c>
      <c r="H162" s="27">
        <v>60</v>
      </c>
      <c r="I162" s="27">
        <v>22</v>
      </c>
      <c r="J162" s="37">
        <v>-3.88E-4</v>
      </c>
      <c r="K162" s="27">
        <v>1</v>
      </c>
      <c r="L162" s="38">
        <v>-3.8900000000000002E-4</v>
      </c>
      <c r="M162" s="27" t="s">
        <v>65</v>
      </c>
      <c r="O162" s="27" t="s">
        <v>281</v>
      </c>
      <c r="P162" s="27">
        <v>129</v>
      </c>
      <c r="Q162" s="27" t="s">
        <v>129</v>
      </c>
      <c r="R162" s="27" t="s">
        <v>379</v>
      </c>
      <c r="S162" s="27" t="s">
        <v>296</v>
      </c>
      <c r="T162" s="27" t="s">
        <v>63</v>
      </c>
      <c r="U162" s="27">
        <v>10</v>
      </c>
      <c r="V162" s="27">
        <v>22</v>
      </c>
      <c r="W162" s="37">
        <v>-3.88E-4</v>
      </c>
      <c r="X162" s="27">
        <v>1</v>
      </c>
      <c r="Y162" s="38">
        <v>-3.8900000000000002E-4</v>
      </c>
      <c r="Z162" s="27" t="s">
        <v>65</v>
      </c>
    </row>
    <row r="163" spans="2:26" x14ac:dyDescent="0.2">
      <c r="B163" s="27" t="s">
        <v>281</v>
      </c>
      <c r="C163" s="27">
        <v>129</v>
      </c>
      <c r="D163" s="27" t="s">
        <v>129</v>
      </c>
      <c r="E163" s="27" t="s">
        <v>106</v>
      </c>
      <c r="F163" s="27" t="s">
        <v>297</v>
      </c>
      <c r="G163" s="27" t="s">
        <v>64</v>
      </c>
      <c r="H163" s="27">
        <v>60</v>
      </c>
      <c r="I163" s="27">
        <v>15</v>
      </c>
      <c r="J163" s="37">
        <v>-2.0100000000000001E-4</v>
      </c>
      <c r="K163" s="27">
        <v>12</v>
      </c>
      <c r="L163" s="38">
        <v>-2.0100000000000001E-4</v>
      </c>
      <c r="M163" s="27" t="s">
        <v>65</v>
      </c>
      <c r="O163" s="27" t="s">
        <v>281</v>
      </c>
      <c r="P163" s="27">
        <v>129</v>
      </c>
      <c r="Q163" s="27" t="s">
        <v>129</v>
      </c>
      <c r="R163" s="27" t="s">
        <v>379</v>
      </c>
      <c r="S163" s="27" t="s">
        <v>297</v>
      </c>
      <c r="T163" s="27" t="s">
        <v>64</v>
      </c>
      <c r="U163" s="27">
        <v>10</v>
      </c>
      <c r="V163" s="27">
        <v>15</v>
      </c>
      <c r="W163" s="37">
        <v>-2.0100000000000001E-4</v>
      </c>
      <c r="X163" s="27">
        <v>12</v>
      </c>
      <c r="Y163" s="38">
        <v>-2.0100000000000001E-4</v>
      </c>
      <c r="Z163" s="27" t="s">
        <v>65</v>
      </c>
    </row>
    <row r="164" spans="2:26" x14ac:dyDescent="0.2">
      <c r="B164" s="27" t="s">
        <v>281</v>
      </c>
      <c r="C164" s="27">
        <v>147</v>
      </c>
      <c r="D164" s="27" t="s">
        <v>128</v>
      </c>
      <c r="E164" s="27" t="s">
        <v>106</v>
      </c>
      <c r="F164" s="27" t="s">
        <v>298</v>
      </c>
      <c r="G164" s="27" t="s">
        <v>63</v>
      </c>
      <c r="H164" s="27">
        <v>60</v>
      </c>
      <c r="I164" s="27">
        <v>22</v>
      </c>
      <c r="J164" s="37">
        <v>-3.9500000000000001E-4</v>
      </c>
      <c r="K164" s="27">
        <v>1</v>
      </c>
      <c r="L164" s="38">
        <v>-3.5300000000000002E-4</v>
      </c>
      <c r="M164" s="27" t="s">
        <v>65</v>
      </c>
      <c r="O164" s="27" t="s">
        <v>281</v>
      </c>
      <c r="P164" s="27">
        <v>147</v>
      </c>
      <c r="Q164" s="27" t="s">
        <v>128</v>
      </c>
      <c r="R164" s="27" t="s">
        <v>379</v>
      </c>
      <c r="S164" s="27" t="s">
        <v>298</v>
      </c>
      <c r="T164" s="27" t="s">
        <v>63</v>
      </c>
      <c r="U164" s="27">
        <v>10</v>
      </c>
      <c r="V164" s="27">
        <v>22</v>
      </c>
      <c r="W164" s="37">
        <v>-3.9500000000000001E-4</v>
      </c>
      <c r="X164" s="27">
        <v>1</v>
      </c>
      <c r="Y164" s="38">
        <v>-3.5300000000000002E-4</v>
      </c>
      <c r="Z164" s="27" t="s">
        <v>65</v>
      </c>
    </row>
    <row r="165" spans="2:26" x14ac:dyDescent="0.2">
      <c r="B165" s="27" t="s">
        <v>281</v>
      </c>
      <c r="C165" s="27">
        <v>147</v>
      </c>
      <c r="D165" s="27" t="s">
        <v>128</v>
      </c>
      <c r="E165" s="27" t="s">
        <v>106</v>
      </c>
      <c r="F165" s="27" t="s">
        <v>299</v>
      </c>
      <c r="G165" s="27" t="s">
        <v>64</v>
      </c>
      <c r="H165" s="27">
        <v>60</v>
      </c>
      <c r="I165" s="27">
        <v>15</v>
      </c>
      <c r="J165" s="37">
        <v>-2.7599999999999999E-4</v>
      </c>
      <c r="K165" s="27">
        <v>3</v>
      </c>
      <c r="L165" s="38">
        <v>-2.5500000000000002E-4</v>
      </c>
      <c r="M165" s="27" t="s">
        <v>65</v>
      </c>
      <c r="O165" s="27" t="s">
        <v>281</v>
      </c>
      <c r="P165" s="27">
        <v>147</v>
      </c>
      <c r="Q165" s="27" t="s">
        <v>128</v>
      </c>
      <c r="R165" s="27" t="s">
        <v>379</v>
      </c>
      <c r="S165" s="27" t="s">
        <v>299</v>
      </c>
      <c r="T165" s="27" t="s">
        <v>64</v>
      </c>
      <c r="U165" s="27">
        <v>10</v>
      </c>
      <c r="V165" s="27">
        <v>15</v>
      </c>
      <c r="W165" s="37">
        <v>-2.7599999999999999E-4</v>
      </c>
      <c r="X165" s="27">
        <v>3</v>
      </c>
      <c r="Y165" s="38">
        <v>-2.5500000000000002E-4</v>
      </c>
      <c r="Z165" s="27" t="s">
        <v>65</v>
      </c>
    </row>
    <row r="166" spans="2:26" x14ac:dyDescent="0.2">
      <c r="B166" s="27" t="s">
        <v>281</v>
      </c>
      <c r="C166" s="27">
        <v>148</v>
      </c>
      <c r="D166" s="27" t="s">
        <v>128</v>
      </c>
      <c r="E166" s="27" t="s">
        <v>106</v>
      </c>
      <c r="F166" s="27" t="s">
        <v>300</v>
      </c>
      <c r="G166" s="27" t="s">
        <v>63</v>
      </c>
      <c r="H166" s="27">
        <v>60</v>
      </c>
      <c r="I166" s="27">
        <v>21</v>
      </c>
      <c r="J166" s="37">
        <v>-3.9100000000000002E-4</v>
      </c>
      <c r="K166" s="27">
        <v>1</v>
      </c>
      <c r="L166" s="38">
        <v>-3.5100000000000002E-4</v>
      </c>
      <c r="M166" s="27" t="s">
        <v>65</v>
      </c>
      <c r="O166" s="27" t="s">
        <v>281</v>
      </c>
      <c r="P166" s="27">
        <v>148</v>
      </c>
      <c r="Q166" s="27" t="s">
        <v>128</v>
      </c>
      <c r="R166" s="27" t="s">
        <v>379</v>
      </c>
      <c r="S166" s="27" t="s">
        <v>300</v>
      </c>
      <c r="T166" s="27" t="s">
        <v>63</v>
      </c>
      <c r="U166" s="27">
        <v>10</v>
      </c>
      <c r="V166" s="27">
        <v>21</v>
      </c>
      <c r="W166" s="37">
        <v>-3.9100000000000002E-4</v>
      </c>
      <c r="X166" s="27">
        <v>1</v>
      </c>
      <c r="Y166" s="38">
        <v>-3.5100000000000002E-4</v>
      </c>
      <c r="Z166" s="27" t="s">
        <v>65</v>
      </c>
    </row>
    <row r="167" spans="2:26" x14ac:dyDescent="0.2">
      <c r="B167" s="27" t="s">
        <v>281</v>
      </c>
      <c r="C167" s="27">
        <v>148</v>
      </c>
      <c r="D167" s="27" t="s">
        <v>128</v>
      </c>
      <c r="E167" s="27" t="s">
        <v>106</v>
      </c>
      <c r="F167" s="27" t="s">
        <v>301</v>
      </c>
      <c r="G167" s="27" t="s">
        <v>64</v>
      </c>
      <c r="H167" s="27">
        <v>60</v>
      </c>
      <c r="I167" s="27">
        <v>15</v>
      </c>
      <c r="J167" s="37">
        <v>-2.7500000000000002E-4</v>
      </c>
      <c r="K167" s="27">
        <v>3</v>
      </c>
      <c r="L167" s="38">
        <v>-2.5599999999999999E-4</v>
      </c>
      <c r="M167" s="27" t="s">
        <v>65</v>
      </c>
      <c r="O167" s="27" t="s">
        <v>281</v>
      </c>
      <c r="P167" s="27">
        <v>148</v>
      </c>
      <c r="Q167" s="27" t="s">
        <v>128</v>
      </c>
      <c r="R167" s="27" t="s">
        <v>379</v>
      </c>
      <c r="S167" s="27" t="s">
        <v>301</v>
      </c>
      <c r="T167" s="27" t="s">
        <v>64</v>
      </c>
      <c r="U167" s="27">
        <v>10</v>
      </c>
      <c r="V167" s="27">
        <v>17</v>
      </c>
      <c r="W167" s="37">
        <v>-2.7599999999999999E-4</v>
      </c>
      <c r="X167" s="27">
        <v>3</v>
      </c>
      <c r="Y167" s="38">
        <v>-2.5599999999999999E-4</v>
      </c>
      <c r="Z167" s="27" t="s">
        <v>65</v>
      </c>
    </row>
    <row r="168" spans="2:26" x14ac:dyDescent="0.2">
      <c r="B168" s="27" t="s">
        <v>281</v>
      </c>
      <c r="C168" s="27">
        <v>131</v>
      </c>
      <c r="D168" s="27" t="s">
        <v>129</v>
      </c>
      <c r="E168" s="27" t="s">
        <v>106</v>
      </c>
      <c r="F168" s="27" t="s">
        <v>302</v>
      </c>
      <c r="G168" s="27" t="s">
        <v>63</v>
      </c>
      <c r="H168" s="27">
        <v>60</v>
      </c>
      <c r="I168" s="27">
        <v>22</v>
      </c>
      <c r="J168" s="37">
        <v>-3.9300000000000001E-4</v>
      </c>
      <c r="K168" s="27">
        <v>1</v>
      </c>
      <c r="L168" s="38">
        <v>-3.9300000000000001E-4</v>
      </c>
      <c r="M168" s="27" t="s">
        <v>65</v>
      </c>
      <c r="O168" s="27" t="s">
        <v>281</v>
      </c>
      <c r="P168" s="27">
        <v>131</v>
      </c>
      <c r="Q168" s="27" t="s">
        <v>129</v>
      </c>
      <c r="R168" s="27" t="s">
        <v>379</v>
      </c>
      <c r="S168" s="27" t="s">
        <v>302</v>
      </c>
      <c r="T168" s="27" t="s">
        <v>63</v>
      </c>
      <c r="U168" s="27">
        <v>10</v>
      </c>
      <c r="V168" s="27">
        <v>22</v>
      </c>
      <c r="W168" s="37">
        <v>-3.9300000000000001E-4</v>
      </c>
      <c r="X168" s="27">
        <v>1</v>
      </c>
      <c r="Y168" s="38">
        <v>-3.9300000000000001E-4</v>
      </c>
      <c r="Z168" s="27" t="s">
        <v>65</v>
      </c>
    </row>
    <row r="169" spans="2:26" x14ac:dyDescent="0.2">
      <c r="B169" s="27" t="s">
        <v>281</v>
      </c>
      <c r="C169" s="27">
        <v>131</v>
      </c>
      <c r="D169" s="27" t="s">
        <v>129</v>
      </c>
      <c r="E169" s="27" t="s">
        <v>106</v>
      </c>
      <c r="F169" s="27" t="s">
        <v>303</v>
      </c>
      <c r="G169" s="27" t="s">
        <v>64</v>
      </c>
      <c r="H169" s="27">
        <v>60</v>
      </c>
      <c r="I169" s="27">
        <v>15</v>
      </c>
      <c r="J169" s="37">
        <v>-2.03E-4</v>
      </c>
      <c r="K169" s="27">
        <v>6</v>
      </c>
      <c r="L169" s="38">
        <v>-2.03E-4</v>
      </c>
      <c r="M169" s="27" t="s">
        <v>65</v>
      </c>
      <c r="O169" s="27" t="s">
        <v>281</v>
      </c>
      <c r="P169" s="27">
        <v>131</v>
      </c>
      <c r="Q169" s="27" t="s">
        <v>129</v>
      </c>
      <c r="R169" s="27" t="s">
        <v>379</v>
      </c>
      <c r="S169" s="27" t="s">
        <v>303</v>
      </c>
      <c r="T169" s="27" t="s">
        <v>64</v>
      </c>
      <c r="U169" s="27">
        <v>10</v>
      </c>
      <c r="V169" s="27">
        <v>15</v>
      </c>
      <c r="W169" s="37">
        <v>-2.03E-4</v>
      </c>
      <c r="X169" s="27">
        <v>6</v>
      </c>
      <c r="Y169" s="38">
        <v>-2.03E-4</v>
      </c>
      <c r="Z169" s="27" t="s">
        <v>65</v>
      </c>
    </row>
    <row r="170" spans="2:26" x14ac:dyDescent="0.2">
      <c r="B170" s="27" t="s">
        <v>281</v>
      </c>
      <c r="C170" s="27">
        <v>142</v>
      </c>
      <c r="D170" s="27" t="s">
        <v>128</v>
      </c>
      <c r="E170" s="27" t="s">
        <v>106</v>
      </c>
      <c r="F170" s="27" t="s">
        <v>304</v>
      </c>
      <c r="G170" s="27" t="s">
        <v>63</v>
      </c>
      <c r="H170" s="27">
        <v>60</v>
      </c>
      <c r="I170" s="27">
        <v>22</v>
      </c>
      <c r="J170" s="37">
        <v>-1.54E-4</v>
      </c>
      <c r="K170" s="27">
        <v>1</v>
      </c>
      <c r="L170" s="38">
        <v>-1.4300000000000001E-4</v>
      </c>
      <c r="M170" s="27" t="s">
        <v>65</v>
      </c>
      <c r="O170" s="27" t="s">
        <v>281</v>
      </c>
      <c r="P170" s="27">
        <v>142</v>
      </c>
      <c r="Q170" s="27" t="s">
        <v>128</v>
      </c>
      <c r="R170" s="27" t="s">
        <v>379</v>
      </c>
      <c r="S170" s="27" t="s">
        <v>304</v>
      </c>
      <c r="T170" s="27" t="s">
        <v>63</v>
      </c>
      <c r="U170" s="27">
        <v>10</v>
      </c>
      <c r="V170" s="27">
        <v>22</v>
      </c>
      <c r="W170" s="37">
        <v>-1.54E-4</v>
      </c>
      <c r="X170" s="27">
        <v>1</v>
      </c>
      <c r="Y170" s="38">
        <v>-1.4300000000000001E-4</v>
      </c>
      <c r="Z170" s="27" t="s">
        <v>65</v>
      </c>
    </row>
    <row r="171" spans="2:26" x14ac:dyDescent="0.2">
      <c r="B171" s="27" t="s">
        <v>281</v>
      </c>
      <c r="C171" s="27">
        <v>142</v>
      </c>
      <c r="D171" s="27" t="s">
        <v>128</v>
      </c>
      <c r="E171" s="27" t="s">
        <v>106</v>
      </c>
      <c r="F171" s="27" t="s">
        <v>305</v>
      </c>
      <c r="G171" s="27" t="s">
        <v>64</v>
      </c>
      <c r="H171" s="27">
        <v>60</v>
      </c>
      <c r="I171" s="27">
        <v>15</v>
      </c>
      <c r="J171" s="37">
        <v>-9.7E-5</v>
      </c>
      <c r="K171" s="27">
        <v>6</v>
      </c>
      <c r="L171" s="38">
        <v>-9.7E-5</v>
      </c>
      <c r="M171" s="27" t="s">
        <v>65</v>
      </c>
      <c r="O171" s="27" t="s">
        <v>281</v>
      </c>
      <c r="P171" s="27">
        <v>142</v>
      </c>
      <c r="Q171" s="27" t="s">
        <v>128</v>
      </c>
      <c r="R171" s="27" t="s">
        <v>379</v>
      </c>
      <c r="S171" s="27" t="s">
        <v>305</v>
      </c>
      <c r="T171" s="27" t="s">
        <v>64</v>
      </c>
      <c r="U171" s="27">
        <v>10</v>
      </c>
      <c r="V171" s="27">
        <v>15</v>
      </c>
      <c r="W171" s="37">
        <v>-9.7E-5</v>
      </c>
      <c r="X171" s="27">
        <v>6</v>
      </c>
      <c r="Y171" s="38">
        <v>-9.7E-5</v>
      </c>
      <c r="Z171" s="27" t="s">
        <v>65</v>
      </c>
    </row>
    <row r="172" spans="2:26" x14ac:dyDescent="0.2">
      <c r="B172" s="27" t="s">
        <v>281</v>
      </c>
      <c r="C172" s="27">
        <v>143</v>
      </c>
      <c r="D172" s="27" t="s">
        <v>128</v>
      </c>
      <c r="E172" s="27" t="s">
        <v>106</v>
      </c>
      <c r="F172" s="27" t="s">
        <v>306</v>
      </c>
      <c r="G172" s="27" t="s">
        <v>63</v>
      </c>
      <c r="H172" s="27">
        <v>60</v>
      </c>
      <c r="I172" s="27">
        <v>20</v>
      </c>
      <c r="J172" s="37">
        <v>-3.7300000000000001E-4</v>
      </c>
      <c r="K172" s="27">
        <v>4</v>
      </c>
      <c r="L172" s="38">
        <v>-3.28E-4</v>
      </c>
      <c r="M172" s="27" t="s">
        <v>65</v>
      </c>
      <c r="O172" s="27" t="s">
        <v>281</v>
      </c>
      <c r="P172" s="27">
        <v>143</v>
      </c>
      <c r="Q172" s="27" t="s">
        <v>128</v>
      </c>
      <c r="R172" s="27" t="s">
        <v>379</v>
      </c>
      <c r="S172" s="27" t="s">
        <v>306</v>
      </c>
      <c r="T172" s="27" t="s">
        <v>63</v>
      </c>
      <c r="U172" s="27">
        <v>10</v>
      </c>
      <c r="V172" s="27">
        <v>20</v>
      </c>
      <c r="W172" s="37">
        <v>-3.7300000000000001E-4</v>
      </c>
      <c r="X172" s="27">
        <v>4</v>
      </c>
      <c r="Y172" s="38">
        <v>-3.28E-4</v>
      </c>
      <c r="Z172" s="27" t="s">
        <v>65</v>
      </c>
    </row>
    <row r="173" spans="2:26" x14ac:dyDescent="0.2">
      <c r="B173" s="27" t="s">
        <v>281</v>
      </c>
      <c r="C173" s="27">
        <v>143</v>
      </c>
      <c r="D173" s="27" t="s">
        <v>128</v>
      </c>
      <c r="E173" s="27" t="s">
        <v>106</v>
      </c>
      <c r="F173" s="27" t="s">
        <v>307</v>
      </c>
      <c r="G173" s="27" t="s">
        <v>64</v>
      </c>
      <c r="H173" s="27">
        <v>60</v>
      </c>
      <c r="I173" s="27">
        <v>17</v>
      </c>
      <c r="J173" s="37">
        <v>-2.3900000000000001E-4</v>
      </c>
      <c r="K173" s="27">
        <v>3</v>
      </c>
      <c r="L173" s="38">
        <v>-2.1900000000000001E-4</v>
      </c>
      <c r="M173" s="27" t="s">
        <v>65</v>
      </c>
      <c r="O173" s="27" t="s">
        <v>281</v>
      </c>
      <c r="P173" s="27">
        <v>143</v>
      </c>
      <c r="Q173" s="27" t="s">
        <v>128</v>
      </c>
      <c r="R173" s="27" t="s">
        <v>379</v>
      </c>
      <c r="S173" s="27" t="s">
        <v>307</v>
      </c>
      <c r="T173" s="27" t="s">
        <v>64</v>
      </c>
      <c r="U173" s="27">
        <v>10</v>
      </c>
      <c r="V173" s="27">
        <v>17</v>
      </c>
      <c r="W173" s="37">
        <v>-2.4000000000000001E-4</v>
      </c>
      <c r="X173" s="27">
        <v>3</v>
      </c>
      <c r="Y173" s="38">
        <v>-2.1900000000000001E-4</v>
      </c>
      <c r="Z173" s="27" t="s">
        <v>65</v>
      </c>
    </row>
    <row r="174" spans="2:26" x14ac:dyDescent="0.2">
      <c r="B174" s="27" t="s">
        <v>281</v>
      </c>
      <c r="C174" s="27">
        <v>130</v>
      </c>
      <c r="D174" s="27" t="s">
        <v>129</v>
      </c>
      <c r="E174" s="27" t="s">
        <v>106</v>
      </c>
      <c r="F174" s="27" t="s">
        <v>308</v>
      </c>
      <c r="G174" s="27" t="s">
        <v>63</v>
      </c>
      <c r="H174" s="27">
        <v>60</v>
      </c>
      <c r="I174" s="27">
        <v>20</v>
      </c>
      <c r="J174" s="37">
        <v>-3.8900000000000002E-4</v>
      </c>
      <c r="K174" s="27">
        <v>7</v>
      </c>
      <c r="L174" s="38">
        <v>-3.8900000000000002E-4</v>
      </c>
      <c r="M174" s="27" t="s">
        <v>65</v>
      </c>
      <c r="O174" s="27" t="s">
        <v>281</v>
      </c>
      <c r="P174" s="27">
        <v>130</v>
      </c>
      <c r="Q174" s="27" t="s">
        <v>129</v>
      </c>
      <c r="R174" s="27" t="s">
        <v>379</v>
      </c>
      <c r="S174" s="27" t="s">
        <v>308</v>
      </c>
      <c r="T174" s="27" t="s">
        <v>63</v>
      </c>
      <c r="U174" s="27">
        <v>10</v>
      </c>
      <c r="V174" s="27">
        <v>20</v>
      </c>
      <c r="W174" s="37">
        <v>-3.8900000000000002E-4</v>
      </c>
      <c r="X174" s="27">
        <v>7</v>
      </c>
      <c r="Y174" s="38">
        <v>-3.8900000000000002E-4</v>
      </c>
      <c r="Z174" s="27" t="s">
        <v>65</v>
      </c>
    </row>
    <row r="175" spans="2:26" x14ac:dyDescent="0.2">
      <c r="B175" s="27" t="s">
        <v>281</v>
      </c>
      <c r="C175" s="27">
        <v>130</v>
      </c>
      <c r="D175" s="27" t="s">
        <v>129</v>
      </c>
      <c r="E175" s="27" t="s">
        <v>106</v>
      </c>
      <c r="F175" s="27" t="s">
        <v>309</v>
      </c>
      <c r="G175" s="27" t="s">
        <v>64</v>
      </c>
      <c r="H175" s="27">
        <v>60</v>
      </c>
      <c r="I175" s="27">
        <v>17</v>
      </c>
      <c r="J175" s="37">
        <v>-2.0100000000000001E-4</v>
      </c>
      <c r="K175" s="27">
        <v>6</v>
      </c>
      <c r="L175" s="38">
        <v>-2.0100000000000001E-4</v>
      </c>
      <c r="M175" s="27" t="s">
        <v>65</v>
      </c>
      <c r="O175" s="27" t="s">
        <v>281</v>
      </c>
      <c r="P175" s="27">
        <v>130</v>
      </c>
      <c r="Q175" s="27" t="s">
        <v>129</v>
      </c>
      <c r="R175" s="27" t="s">
        <v>379</v>
      </c>
      <c r="S175" s="27" t="s">
        <v>309</v>
      </c>
      <c r="T175" s="27" t="s">
        <v>64</v>
      </c>
      <c r="U175" s="27">
        <v>10</v>
      </c>
      <c r="V175" s="27">
        <v>16</v>
      </c>
      <c r="W175" s="37">
        <v>-2.0100000000000001E-4</v>
      </c>
      <c r="X175" s="27">
        <v>6</v>
      </c>
      <c r="Y175" s="38">
        <v>-2.0100000000000001E-4</v>
      </c>
      <c r="Z175" s="27" t="s">
        <v>65</v>
      </c>
    </row>
    <row r="176" spans="2:26" x14ac:dyDescent="0.2">
      <c r="B176" s="27" t="s">
        <v>281</v>
      </c>
      <c r="C176" s="27">
        <v>145</v>
      </c>
      <c r="D176" s="27" t="s">
        <v>128</v>
      </c>
      <c r="E176" s="27" t="s">
        <v>106</v>
      </c>
      <c r="F176" s="27" t="s">
        <v>310</v>
      </c>
      <c r="G176" s="27" t="s">
        <v>63</v>
      </c>
      <c r="H176" s="27">
        <v>60</v>
      </c>
      <c r="I176" s="27">
        <v>20</v>
      </c>
      <c r="J176" s="37">
        <v>-3.9500000000000001E-4</v>
      </c>
      <c r="K176" s="27">
        <v>4</v>
      </c>
      <c r="L176" s="38">
        <v>-3.5300000000000002E-4</v>
      </c>
      <c r="M176" s="27" t="s">
        <v>65</v>
      </c>
      <c r="O176" s="27" t="s">
        <v>281</v>
      </c>
      <c r="P176" s="27">
        <v>145</v>
      </c>
      <c r="Q176" s="27" t="s">
        <v>128</v>
      </c>
      <c r="R176" s="27" t="s">
        <v>379</v>
      </c>
      <c r="S176" s="27" t="s">
        <v>310</v>
      </c>
      <c r="T176" s="27" t="s">
        <v>63</v>
      </c>
      <c r="U176" s="27">
        <v>10</v>
      </c>
      <c r="V176" s="27">
        <v>20</v>
      </c>
      <c r="W176" s="37">
        <v>-3.9500000000000001E-4</v>
      </c>
      <c r="X176" s="27">
        <v>4</v>
      </c>
      <c r="Y176" s="38">
        <v>-3.5300000000000002E-4</v>
      </c>
      <c r="Z176" s="27" t="s">
        <v>65</v>
      </c>
    </row>
    <row r="177" spans="2:26" x14ac:dyDescent="0.2">
      <c r="B177" s="27" t="s">
        <v>281</v>
      </c>
      <c r="C177" s="27">
        <v>145</v>
      </c>
      <c r="D177" s="27" t="s">
        <v>128</v>
      </c>
      <c r="E177" s="27" t="s">
        <v>106</v>
      </c>
      <c r="F177" s="27" t="s">
        <v>311</v>
      </c>
      <c r="G177" s="27" t="s">
        <v>64</v>
      </c>
      <c r="H177" s="27">
        <v>60</v>
      </c>
      <c r="I177" s="27">
        <v>15</v>
      </c>
      <c r="J177" s="37">
        <v>-2.7599999999999999E-4</v>
      </c>
      <c r="K177" s="27">
        <v>3</v>
      </c>
      <c r="L177" s="38">
        <v>-2.5500000000000002E-4</v>
      </c>
      <c r="M177" s="27" t="s">
        <v>65</v>
      </c>
      <c r="O177" s="27" t="s">
        <v>281</v>
      </c>
      <c r="P177" s="27">
        <v>145</v>
      </c>
      <c r="Q177" s="27" t="s">
        <v>128</v>
      </c>
      <c r="R177" s="27" t="s">
        <v>379</v>
      </c>
      <c r="S177" s="27" t="s">
        <v>311</v>
      </c>
      <c r="T177" s="27" t="s">
        <v>64</v>
      </c>
      <c r="U177" s="27">
        <v>10</v>
      </c>
      <c r="V177" s="27">
        <v>15</v>
      </c>
      <c r="W177" s="37">
        <v>-2.7599999999999999E-4</v>
      </c>
      <c r="X177" s="27">
        <v>3</v>
      </c>
      <c r="Y177" s="38">
        <v>-2.5500000000000002E-4</v>
      </c>
      <c r="Z177" s="27" t="s">
        <v>65</v>
      </c>
    </row>
    <row r="178" spans="2:26" x14ac:dyDescent="0.2">
      <c r="B178" s="27" t="s">
        <v>281</v>
      </c>
      <c r="C178" s="27">
        <v>146</v>
      </c>
      <c r="D178" s="27" t="s">
        <v>128</v>
      </c>
      <c r="E178" s="27" t="s">
        <v>106</v>
      </c>
      <c r="F178" s="27" t="s">
        <v>312</v>
      </c>
      <c r="G178" s="27" t="s">
        <v>63</v>
      </c>
      <c r="H178" s="27">
        <v>60</v>
      </c>
      <c r="I178" s="27">
        <v>20</v>
      </c>
      <c r="J178" s="37">
        <v>-3.9100000000000002E-4</v>
      </c>
      <c r="K178" s="27">
        <v>1</v>
      </c>
      <c r="L178" s="38">
        <v>-3.5E-4</v>
      </c>
      <c r="M178" s="27" t="s">
        <v>65</v>
      </c>
      <c r="O178" s="27" t="s">
        <v>281</v>
      </c>
      <c r="P178" s="27">
        <v>146</v>
      </c>
      <c r="Q178" s="27" t="s">
        <v>128</v>
      </c>
      <c r="R178" s="27" t="s">
        <v>379</v>
      </c>
      <c r="S178" s="27" t="s">
        <v>312</v>
      </c>
      <c r="T178" s="27" t="s">
        <v>63</v>
      </c>
      <c r="U178" s="27">
        <v>10</v>
      </c>
      <c r="V178" s="27">
        <v>20</v>
      </c>
      <c r="W178" s="37">
        <v>-3.9100000000000002E-4</v>
      </c>
      <c r="X178" s="27">
        <v>1</v>
      </c>
      <c r="Y178" s="38">
        <v>-3.5E-4</v>
      </c>
      <c r="Z178" s="27" t="s">
        <v>65</v>
      </c>
    </row>
    <row r="179" spans="2:26" x14ac:dyDescent="0.2">
      <c r="B179" s="27" t="s">
        <v>281</v>
      </c>
      <c r="C179" s="27">
        <v>146</v>
      </c>
      <c r="D179" s="27" t="s">
        <v>128</v>
      </c>
      <c r="E179" s="27" t="s">
        <v>106</v>
      </c>
      <c r="F179" s="27" t="s">
        <v>313</v>
      </c>
      <c r="G179" s="27" t="s">
        <v>64</v>
      </c>
      <c r="H179" s="27">
        <v>60</v>
      </c>
      <c r="I179" s="27">
        <v>15</v>
      </c>
      <c r="J179" s="37">
        <v>-2.7599999999999999E-4</v>
      </c>
      <c r="K179" s="27">
        <v>6</v>
      </c>
      <c r="L179" s="38">
        <v>-2.5599999999999999E-4</v>
      </c>
      <c r="M179" s="27" t="s">
        <v>65</v>
      </c>
      <c r="O179" s="27" t="s">
        <v>281</v>
      </c>
      <c r="P179" s="27">
        <v>146</v>
      </c>
      <c r="Q179" s="27" t="s">
        <v>128</v>
      </c>
      <c r="R179" s="27" t="s">
        <v>379</v>
      </c>
      <c r="S179" s="27" t="s">
        <v>313</v>
      </c>
      <c r="T179" s="27" t="s">
        <v>64</v>
      </c>
      <c r="U179" s="27">
        <v>10</v>
      </c>
      <c r="V179" s="27">
        <v>15</v>
      </c>
      <c r="W179" s="37">
        <v>-2.7599999999999999E-4</v>
      </c>
      <c r="X179" s="27">
        <v>6</v>
      </c>
      <c r="Y179" s="38">
        <v>-2.5599999999999999E-4</v>
      </c>
      <c r="Z179" s="27" t="s">
        <v>65</v>
      </c>
    </row>
    <row r="180" spans="2:26" x14ac:dyDescent="0.2">
      <c r="B180" s="27" t="s">
        <v>281</v>
      </c>
      <c r="C180" s="27">
        <v>132</v>
      </c>
      <c r="D180" s="27" t="s">
        <v>129</v>
      </c>
      <c r="E180" s="27" t="s">
        <v>106</v>
      </c>
      <c r="F180" s="27" t="s">
        <v>314</v>
      </c>
      <c r="G180" s="27" t="s">
        <v>63</v>
      </c>
      <c r="H180" s="27">
        <v>60</v>
      </c>
      <c r="I180" s="27">
        <v>20</v>
      </c>
      <c r="J180" s="37">
        <v>-3.9199999999999999E-4</v>
      </c>
      <c r="K180" s="27">
        <v>7</v>
      </c>
      <c r="L180" s="38">
        <v>-3.9300000000000001E-4</v>
      </c>
      <c r="M180" s="27" t="s">
        <v>65</v>
      </c>
      <c r="O180" s="27" t="s">
        <v>281</v>
      </c>
      <c r="P180" s="27">
        <v>132</v>
      </c>
      <c r="Q180" s="27" t="s">
        <v>129</v>
      </c>
      <c r="R180" s="27" t="s">
        <v>379</v>
      </c>
      <c r="S180" s="27" t="s">
        <v>314</v>
      </c>
      <c r="T180" s="27" t="s">
        <v>63</v>
      </c>
      <c r="U180" s="27">
        <v>10</v>
      </c>
      <c r="V180" s="27">
        <v>20</v>
      </c>
      <c r="W180" s="37">
        <v>-3.9199999999999999E-4</v>
      </c>
      <c r="X180" s="27">
        <v>7</v>
      </c>
      <c r="Y180" s="38">
        <v>-3.9300000000000001E-4</v>
      </c>
      <c r="Z180" s="27" t="s">
        <v>65</v>
      </c>
    </row>
    <row r="181" spans="2:26" x14ac:dyDescent="0.2">
      <c r="B181" s="27" t="s">
        <v>281</v>
      </c>
      <c r="C181" s="27">
        <v>132</v>
      </c>
      <c r="D181" s="27" t="s">
        <v>129</v>
      </c>
      <c r="E181" s="27" t="s">
        <v>106</v>
      </c>
      <c r="F181" s="27" t="s">
        <v>315</v>
      </c>
      <c r="G181" s="27" t="s">
        <v>64</v>
      </c>
      <c r="H181" s="27">
        <v>60</v>
      </c>
      <c r="I181" s="27">
        <v>15</v>
      </c>
      <c r="J181" s="37">
        <v>-2.03E-4</v>
      </c>
      <c r="K181" s="27">
        <v>6</v>
      </c>
      <c r="L181" s="38">
        <v>-2.03E-4</v>
      </c>
      <c r="M181" s="27" t="s">
        <v>65</v>
      </c>
      <c r="O181" s="27" t="s">
        <v>281</v>
      </c>
      <c r="P181" s="27">
        <v>132</v>
      </c>
      <c r="Q181" s="27" t="s">
        <v>129</v>
      </c>
      <c r="R181" s="27" t="s">
        <v>379</v>
      </c>
      <c r="S181" s="27" t="s">
        <v>315</v>
      </c>
      <c r="T181" s="27" t="s">
        <v>64</v>
      </c>
      <c r="U181" s="27">
        <v>10</v>
      </c>
      <c r="V181" s="27">
        <v>15</v>
      </c>
      <c r="W181" s="37">
        <v>-2.03E-4</v>
      </c>
      <c r="X181" s="27">
        <v>6</v>
      </c>
      <c r="Y181" s="38">
        <v>-2.03E-4</v>
      </c>
      <c r="Z181" s="27" t="s">
        <v>65</v>
      </c>
    </row>
    <row r="182" spans="2:26" x14ac:dyDescent="0.2">
      <c r="B182" s="27" t="s">
        <v>281</v>
      </c>
      <c r="C182" s="27">
        <v>141</v>
      </c>
      <c r="D182" s="27" t="s">
        <v>128</v>
      </c>
      <c r="E182" s="27" t="s">
        <v>106</v>
      </c>
      <c r="F182" s="27" t="s">
        <v>316</v>
      </c>
      <c r="G182" s="27" t="s">
        <v>63</v>
      </c>
      <c r="H182" s="27">
        <v>60</v>
      </c>
      <c r="I182" s="27">
        <v>20</v>
      </c>
      <c r="J182" s="37">
        <v>-1.5300000000000001E-4</v>
      </c>
      <c r="K182" s="27">
        <v>4</v>
      </c>
      <c r="L182" s="38">
        <v>-1.4300000000000001E-4</v>
      </c>
      <c r="M182" s="27" t="s">
        <v>65</v>
      </c>
      <c r="O182" s="27" t="s">
        <v>281</v>
      </c>
      <c r="P182" s="27">
        <v>141</v>
      </c>
      <c r="Q182" s="27" t="s">
        <v>128</v>
      </c>
      <c r="R182" s="27" t="s">
        <v>379</v>
      </c>
      <c r="S182" s="27" t="s">
        <v>316</v>
      </c>
      <c r="T182" s="27" t="s">
        <v>63</v>
      </c>
      <c r="U182" s="27">
        <v>10</v>
      </c>
      <c r="V182" s="27">
        <v>20</v>
      </c>
      <c r="W182" s="37">
        <v>-1.5300000000000001E-4</v>
      </c>
      <c r="X182" s="27">
        <v>4</v>
      </c>
      <c r="Y182" s="38">
        <v>-1.4300000000000001E-4</v>
      </c>
      <c r="Z182" s="27" t="s">
        <v>65</v>
      </c>
    </row>
    <row r="183" spans="2:26" x14ac:dyDescent="0.2">
      <c r="B183" s="27" t="s">
        <v>281</v>
      </c>
      <c r="C183" s="27">
        <v>141</v>
      </c>
      <c r="D183" s="27" t="s">
        <v>128</v>
      </c>
      <c r="E183" s="27" t="s">
        <v>106</v>
      </c>
      <c r="F183" s="27" t="s">
        <v>317</v>
      </c>
      <c r="G183" s="27" t="s">
        <v>64</v>
      </c>
      <c r="H183" s="27">
        <v>60</v>
      </c>
      <c r="I183" s="27">
        <v>17</v>
      </c>
      <c r="J183" s="37">
        <v>-9.7E-5</v>
      </c>
      <c r="K183" s="27">
        <v>3</v>
      </c>
      <c r="L183" s="38">
        <v>-9.7E-5</v>
      </c>
      <c r="M183" s="27" t="s">
        <v>65</v>
      </c>
      <c r="O183" s="27" t="s">
        <v>281</v>
      </c>
      <c r="P183" s="27">
        <v>141</v>
      </c>
      <c r="Q183" s="27" t="s">
        <v>128</v>
      </c>
      <c r="R183" s="27" t="s">
        <v>379</v>
      </c>
      <c r="S183" s="27" t="s">
        <v>317</v>
      </c>
      <c r="T183" s="27" t="s">
        <v>64</v>
      </c>
      <c r="U183" s="27">
        <v>10</v>
      </c>
      <c r="V183" s="27">
        <v>17</v>
      </c>
      <c r="W183" s="37">
        <v>-9.7999999999999997E-5</v>
      </c>
      <c r="X183" s="27">
        <v>3</v>
      </c>
      <c r="Y183" s="38">
        <v>-9.7E-5</v>
      </c>
      <c r="Z183" s="27" t="s">
        <v>65</v>
      </c>
    </row>
    <row r="184" spans="2:26" x14ac:dyDescent="0.2">
      <c r="B184" s="27" t="s">
        <v>281</v>
      </c>
      <c r="C184" s="27">
        <v>125</v>
      </c>
      <c r="D184" s="27" t="s">
        <v>127</v>
      </c>
      <c r="E184" s="27" t="s">
        <v>106</v>
      </c>
      <c r="F184" s="27" t="s">
        <v>318</v>
      </c>
      <c r="G184" s="27" t="s">
        <v>63</v>
      </c>
      <c r="H184" s="27">
        <v>60</v>
      </c>
      <c r="I184" s="27">
        <v>16</v>
      </c>
      <c r="J184" s="37">
        <v>-7.85E-4</v>
      </c>
      <c r="K184" s="27">
        <v>1</v>
      </c>
      <c r="L184" s="38">
        <v>-6.7199999999999996E-4</v>
      </c>
      <c r="M184" s="27" t="s">
        <v>65</v>
      </c>
      <c r="O184" s="27" t="s">
        <v>281</v>
      </c>
      <c r="P184" s="27">
        <v>125</v>
      </c>
      <c r="Q184" s="27" t="s">
        <v>127</v>
      </c>
      <c r="R184" s="27" t="s">
        <v>379</v>
      </c>
      <c r="S184" s="27" t="s">
        <v>318</v>
      </c>
      <c r="T184" s="27" t="s">
        <v>63</v>
      </c>
      <c r="U184" s="27">
        <v>10</v>
      </c>
      <c r="V184" s="27">
        <v>16</v>
      </c>
      <c r="W184" s="37">
        <v>-7.8600000000000002E-4</v>
      </c>
      <c r="X184" s="27">
        <v>1</v>
      </c>
      <c r="Y184" s="38">
        <v>-6.7299999999999999E-4</v>
      </c>
      <c r="Z184" s="27" t="s">
        <v>65</v>
      </c>
    </row>
    <row r="185" spans="2:26" x14ac:dyDescent="0.2">
      <c r="B185" s="27" t="s">
        <v>281</v>
      </c>
      <c r="C185" s="27">
        <v>125</v>
      </c>
      <c r="D185" s="27" t="s">
        <v>127</v>
      </c>
      <c r="E185" s="27" t="s">
        <v>106</v>
      </c>
      <c r="F185" s="27" t="s">
        <v>319</v>
      </c>
      <c r="G185" s="27" t="s">
        <v>64</v>
      </c>
      <c r="H185" s="27">
        <v>60</v>
      </c>
      <c r="I185" s="27">
        <v>9</v>
      </c>
      <c r="J185" s="37">
        <v>-4.64E-4</v>
      </c>
      <c r="K185" s="27">
        <v>6</v>
      </c>
      <c r="L185" s="38">
        <v>-4.1199999999999999E-4</v>
      </c>
      <c r="M185" s="27" t="s">
        <v>65</v>
      </c>
      <c r="O185" s="27" t="s">
        <v>281</v>
      </c>
      <c r="P185" s="27">
        <v>125</v>
      </c>
      <c r="Q185" s="27" t="s">
        <v>127</v>
      </c>
      <c r="R185" s="27" t="s">
        <v>379</v>
      </c>
      <c r="S185" s="27" t="s">
        <v>319</v>
      </c>
      <c r="T185" s="27" t="s">
        <v>64</v>
      </c>
      <c r="U185" s="27">
        <v>10</v>
      </c>
      <c r="V185" s="27">
        <v>9</v>
      </c>
      <c r="W185" s="37">
        <v>-4.64E-4</v>
      </c>
      <c r="X185" s="27">
        <v>6</v>
      </c>
      <c r="Y185" s="38">
        <v>-4.1199999999999999E-4</v>
      </c>
      <c r="Z185" s="27" t="s">
        <v>65</v>
      </c>
    </row>
    <row r="186" spans="2:26" x14ac:dyDescent="0.2">
      <c r="B186" s="27" t="s">
        <v>281</v>
      </c>
      <c r="C186" s="27">
        <v>137</v>
      </c>
      <c r="D186" s="27" t="s">
        <v>128</v>
      </c>
      <c r="E186" s="27" t="s">
        <v>106</v>
      </c>
      <c r="F186" s="27" t="s">
        <v>320</v>
      </c>
      <c r="G186" s="27" t="s">
        <v>63</v>
      </c>
      <c r="H186" s="27">
        <v>60</v>
      </c>
      <c r="I186" s="27">
        <v>22</v>
      </c>
      <c r="J186" s="37">
        <v>-3.5799999999999997E-4</v>
      </c>
      <c r="K186" s="27">
        <v>1</v>
      </c>
      <c r="L186" s="38">
        <v>-3.2699999999999998E-4</v>
      </c>
      <c r="M186" s="27" t="s">
        <v>65</v>
      </c>
      <c r="O186" s="27" t="s">
        <v>281</v>
      </c>
      <c r="P186" s="27">
        <v>137</v>
      </c>
      <c r="Q186" s="27" t="s">
        <v>128</v>
      </c>
      <c r="R186" s="27" t="s">
        <v>379</v>
      </c>
      <c r="S186" s="27" t="s">
        <v>320</v>
      </c>
      <c r="T186" s="27" t="s">
        <v>63</v>
      </c>
      <c r="U186" s="27">
        <v>10</v>
      </c>
      <c r="V186" s="27">
        <v>22</v>
      </c>
      <c r="W186" s="37">
        <v>-3.5799999999999997E-4</v>
      </c>
      <c r="X186" s="27">
        <v>1</v>
      </c>
      <c r="Y186" s="38">
        <v>-3.2699999999999998E-4</v>
      </c>
      <c r="Z186" s="27" t="s">
        <v>65</v>
      </c>
    </row>
    <row r="187" spans="2:26" x14ac:dyDescent="0.2">
      <c r="B187" s="27" t="s">
        <v>281</v>
      </c>
      <c r="C187" s="27">
        <v>137</v>
      </c>
      <c r="D187" s="27" t="s">
        <v>128</v>
      </c>
      <c r="E187" s="27" t="s">
        <v>106</v>
      </c>
      <c r="F187" s="27" t="s">
        <v>321</v>
      </c>
      <c r="G187" s="27" t="s">
        <v>64</v>
      </c>
      <c r="H187" s="27">
        <v>60</v>
      </c>
      <c r="I187" s="27">
        <v>15</v>
      </c>
      <c r="J187" s="37">
        <v>-2.23E-4</v>
      </c>
      <c r="K187" s="27">
        <v>6</v>
      </c>
      <c r="L187" s="38">
        <v>-2.1000000000000001E-4</v>
      </c>
      <c r="M187" s="27" t="s">
        <v>65</v>
      </c>
      <c r="O187" s="27" t="s">
        <v>281</v>
      </c>
      <c r="P187" s="27">
        <v>137</v>
      </c>
      <c r="Q187" s="27" t="s">
        <v>128</v>
      </c>
      <c r="R187" s="27" t="s">
        <v>379</v>
      </c>
      <c r="S187" s="27" t="s">
        <v>321</v>
      </c>
      <c r="T187" s="27" t="s">
        <v>64</v>
      </c>
      <c r="U187" s="27">
        <v>10</v>
      </c>
      <c r="V187" s="27">
        <v>15</v>
      </c>
      <c r="W187" s="37">
        <v>-2.23E-4</v>
      </c>
      <c r="X187" s="27">
        <v>6</v>
      </c>
      <c r="Y187" s="38">
        <v>-2.1000000000000001E-4</v>
      </c>
      <c r="Z187" s="27" t="s">
        <v>65</v>
      </c>
    </row>
    <row r="188" spans="2:26" x14ac:dyDescent="0.2">
      <c r="B188" s="27" t="s">
        <v>281</v>
      </c>
      <c r="C188" s="27">
        <v>133</v>
      </c>
      <c r="D188" s="27" t="s">
        <v>129</v>
      </c>
      <c r="E188" s="27" t="s">
        <v>106</v>
      </c>
      <c r="F188" s="27" t="s">
        <v>322</v>
      </c>
      <c r="G188" s="27" t="s">
        <v>63</v>
      </c>
      <c r="H188" s="27">
        <v>60</v>
      </c>
      <c r="I188" s="27">
        <v>22</v>
      </c>
      <c r="J188" s="37">
        <v>-4.86E-4</v>
      </c>
      <c r="K188" s="27">
        <v>1</v>
      </c>
      <c r="L188" s="38">
        <v>-4.55E-4</v>
      </c>
      <c r="M188" s="27" t="s">
        <v>65</v>
      </c>
      <c r="O188" s="27" t="s">
        <v>281</v>
      </c>
      <c r="P188" s="27">
        <v>133</v>
      </c>
      <c r="Q188" s="27" t="s">
        <v>129</v>
      </c>
      <c r="R188" s="27" t="s">
        <v>379</v>
      </c>
      <c r="S188" s="27" t="s">
        <v>322</v>
      </c>
      <c r="T188" s="27" t="s">
        <v>63</v>
      </c>
      <c r="U188" s="27">
        <v>10</v>
      </c>
      <c r="V188" s="27">
        <v>22</v>
      </c>
      <c r="W188" s="37">
        <v>-4.86E-4</v>
      </c>
      <c r="X188" s="27">
        <v>1</v>
      </c>
      <c r="Y188" s="38">
        <v>-4.55E-4</v>
      </c>
      <c r="Z188" s="27" t="s">
        <v>65</v>
      </c>
    </row>
    <row r="189" spans="2:26" x14ac:dyDescent="0.2">
      <c r="B189" s="27" t="s">
        <v>281</v>
      </c>
      <c r="C189" s="27">
        <v>133</v>
      </c>
      <c r="D189" s="27" t="s">
        <v>129</v>
      </c>
      <c r="E189" s="27" t="s">
        <v>106</v>
      </c>
      <c r="F189" s="27" t="s">
        <v>323</v>
      </c>
      <c r="G189" s="27" t="s">
        <v>64</v>
      </c>
      <c r="H189" s="27">
        <v>60</v>
      </c>
      <c r="I189" s="27">
        <v>15</v>
      </c>
      <c r="J189" s="37">
        <v>-2.0900000000000001E-4</v>
      </c>
      <c r="K189" s="27">
        <v>12</v>
      </c>
      <c r="L189" s="38">
        <v>-1.93E-4</v>
      </c>
      <c r="M189" s="27" t="s">
        <v>65</v>
      </c>
      <c r="O189" s="27" t="s">
        <v>281</v>
      </c>
      <c r="P189" s="27">
        <v>133</v>
      </c>
      <c r="Q189" s="27" t="s">
        <v>129</v>
      </c>
      <c r="R189" s="27" t="s">
        <v>379</v>
      </c>
      <c r="S189" s="27" t="s">
        <v>323</v>
      </c>
      <c r="T189" s="27" t="s">
        <v>64</v>
      </c>
      <c r="U189" s="27">
        <v>10</v>
      </c>
      <c r="V189" s="27">
        <v>15</v>
      </c>
      <c r="W189" s="37">
        <v>-2.0900000000000001E-4</v>
      </c>
      <c r="X189" s="27">
        <v>12</v>
      </c>
      <c r="Y189" s="38">
        <v>-1.93E-4</v>
      </c>
      <c r="Z189" s="27" t="s">
        <v>65</v>
      </c>
    </row>
    <row r="190" spans="2:26" x14ac:dyDescent="0.2">
      <c r="B190" s="27" t="s">
        <v>281</v>
      </c>
      <c r="C190" s="27">
        <v>134</v>
      </c>
      <c r="D190" s="27" t="s">
        <v>129</v>
      </c>
      <c r="E190" s="27" t="s">
        <v>106</v>
      </c>
      <c r="F190" s="27" t="s">
        <v>324</v>
      </c>
      <c r="G190" s="27" t="s">
        <v>63</v>
      </c>
      <c r="H190" s="27">
        <v>60</v>
      </c>
      <c r="I190" s="27">
        <v>22</v>
      </c>
      <c r="J190" s="37">
        <v>-4.8500000000000003E-4</v>
      </c>
      <c r="K190" s="27">
        <v>1</v>
      </c>
      <c r="L190" s="38">
        <v>-4.5399999999999998E-4</v>
      </c>
      <c r="M190" s="27" t="s">
        <v>65</v>
      </c>
      <c r="O190" s="27" t="s">
        <v>281</v>
      </c>
      <c r="P190" s="27">
        <v>134</v>
      </c>
      <c r="Q190" s="27" t="s">
        <v>129</v>
      </c>
      <c r="R190" s="27" t="s">
        <v>379</v>
      </c>
      <c r="S190" s="27" t="s">
        <v>324</v>
      </c>
      <c r="T190" s="27" t="s">
        <v>63</v>
      </c>
      <c r="U190" s="27">
        <v>10</v>
      </c>
      <c r="V190" s="27">
        <v>22</v>
      </c>
      <c r="W190" s="37">
        <v>-4.8500000000000003E-4</v>
      </c>
      <c r="X190" s="27">
        <v>1</v>
      </c>
      <c r="Y190" s="38">
        <v>-4.5399999999999998E-4</v>
      </c>
      <c r="Z190" s="27" t="s">
        <v>65</v>
      </c>
    </row>
    <row r="191" spans="2:26" x14ac:dyDescent="0.2">
      <c r="B191" s="27" t="s">
        <v>281</v>
      </c>
      <c r="C191" s="27">
        <v>134</v>
      </c>
      <c r="D191" s="27" t="s">
        <v>129</v>
      </c>
      <c r="E191" s="27" t="s">
        <v>106</v>
      </c>
      <c r="F191" s="27" t="s">
        <v>325</v>
      </c>
      <c r="G191" s="27" t="s">
        <v>64</v>
      </c>
      <c r="H191" s="27">
        <v>60</v>
      </c>
      <c r="I191" s="27">
        <v>15</v>
      </c>
      <c r="J191" s="37">
        <v>-2.0699999999999999E-4</v>
      </c>
      <c r="K191" s="27">
        <v>12</v>
      </c>
      <c r="L191" s="38">
        <v>-1.9100000000000001E-4</v>
      </c>
      <c r="M191" s="27" t="s">
        <v>65</v>
      </c>
      <c r="O191" s="27" t="s">
        <v>281</v>
      </c>
      <c r="P191" s="27">
        <v>134</v>
      </c>
      <c r="Q191" s="27" t="s">
        <v>129</v>
      </c>
      <c r="R191" s="27" t="s">
        <v>379</v>
      </c>
      <c r="S191" s="27" t="s">
        <v>325</v>
      </c>
      <c r="T191" s="27" t="s">
        <v>64</v>
      </c>
      <c r="U191" s="27">
        <v>10</v>
      </c>
      <c r="V191" s="27">
        <v>15</v>
      </c>
      <c r="W191" s="37">
        <v>-2.0799999999999999E-4</v>
      </c>
      <c r="X191" s="27">
        <v>12</v>
      </c>
      <c r="Y191" s="38">
        <v>-1.92E-4</v>
      </c>
      <c r="Z191" s="27" t="s">
        <v>65</v>
      </c>
    </row>
    <row r="192" spans="2:26" x14ac:dyDescent="0.2">
      <c r="B192" s="27" t="s">
        <v>281</v>
      </c>
      <c r="C192" s="27">
        <v>138</v>
      </c>
      <c r="D192" s="27" t="s">
        <v>128</v>
      </c>
      <c r="E192" s="27" t="s">
        <v>106</v>
      </c>
      <c r="F192" s="27" t="s">
        <v>326</v>
      </c>
      <c r="G192" s="27" t="s">
        <v>63</v>
      </c>
      <c r="H192" s="27">
        <v>60</v>
      </c>
      <c r="I192" s="27">
        <v>22</v>
      </c>
      <c r="J192" s="37">
        <v>-3.6600000000000001E-4</v>
      </c>
      <c r="K192" s="27">
        <v>1</v>
      </c>
      <c r="L192" s="38">
        <v>-3.3300000000000002E-4</v>
      </c>
      <c r="M192" s="27" t="s">
        <v>65</v>
      </c>
      <c r="O192" s="27" t="s">
        <v>281</v>
      </c>
      <c r="P192" s="27">
        <v>138</v>
      </c>
      <c r="Q192" s="27" t="s">
        <v>128</v>
      </c>
      <c r="R192" s="27" t="s">
        <v>379</v>
      </c>
      <c r="S192" s="27" t="s">
        <v>326</v>
      </c>
      <c r="T192" s="27" t="s">
        <v>63</v>
      </c>
      <c r="U192" s="27">
        <v>10</v>
      </c>
      <c r="V192" s="27">
        <v>22</v>
      </c>
      <c r="W192" s="37">
        <v>-3.6600000000000001E-4</v>
      </c>
      <c r="X192" s="27">
        <v>1</v>
      </c>
      <c r="Y192" s="38">
        <v>-3.3300000000000002E-4</v>
      </c>
      <c r="Z192" s="27" t="s">
        <v>65</v>
      </c>
    </row>
    <row r="193" spans="2:26" x14ac:dyDescent="0.2">
      <c r="B193" s="27" t="s">
        <v>281</v>
      </c>
      <c r="C193" s="27">
        <v>138</v>
      </c>
      <c r="D193" s="27" t="s">
        <v>128</v>
      </c>
      <c r="E193" s="27" t="s">
        <v>106</v>
      </c>
      <c r="F193" s="27" t="s">
        <v>327</v>
      </c>
      <c r="G193" s="27" t="s">
        <v>64</v>
      </c>
      <c r="H193" s="27">
        <v>60</v>
      </c>
      <c r="I193" s="27">
        <v>15</v>
      </c>
      <c r="J193" s="37">
        <v>-2.2499999999999999E-4</v>
      </c>
      <c r="K193" s="27">
        <v>6</v>
      </c>
      <c r="L193" s="38">
        <v>-2.1000000000000001E-4</v>
      </c>
      <c r="M193" s="27" t="s">
        <v>65</v>
      </c>
      <c r="O193" s="27" t="s">
        <v>281</v>
      </c>
      <c r="P193" s="27">
        <v>138</v>
      </c>
      <c r="Q193" s="27" t="s">
        <v>128</v>
      </c>
      <c r="R193" s="27" t="s">
        <v>379</v>
      </c>
      <c r="S193" s="27" t="s">
        <v>327</v>
      </c>
      <c r="T193" s="27" t="s">
        <v>64</v>
      </c>
      <c r="U193" s="27">
        <v>10</v>
      </c>
      <c r="V193" s="27">
        <v>15</v>
      </c>
      <c r="W193" s="37">
        <v>-2.2499999999999999E-4</v>
      </c>
      <c r="X193" s="27">
        <v>6</v>
      </c>
      <c r="Y193" s="38">
        <v>-2.1100000000000001E-4</v>
      </c>
      <c r="Z193" s="27" t="s">
        <v>65</v>
      </c>
    </row>
    <row r="194" spans="2:26" x14ac:dyDescent="0.2">
      <c r="B194" s="27" t="s">
        <v>281</v>
      </c>
      <c r="C194" s="27">
        <v>126</v>
      </c>
      <c r="D194" s="27" t="s">
        <v>127</v>
      </c>
      <c r="E194" s="27" t="s">
        <v>106</v>
      </c>
      <c r="F194" s="27" t="s">
        <v>328</v>
      </c>
      <c r="G194" s="27" t="s">
        <v>63</v>
      </c>
      <c r="H194" s="27">
        <v>60</v>
      </c>
      <c r="I194" s="27">
        <v>16</v>
      </c>
      <c r="J194" s="37">
        <v>-3.79E-4</v>
      </c>
      <c r="K194" s="27">
        <v>1</v>
      </c>
      <c r="L194" s="38">
        <v>-3.3300000000000002E-4</v>
      </c>
      <c r="M194" s="27" t="s">
        <v>65</v>
      </c>
      <c r="O194" s="27" t="s">
        <v>281</v>
      </c>
      <c r="P194" s="27">
        <v>126</v>
      </c>
      <c r="Q194" s="27" t="s">
        <v>127</v>
      </c>
      <c r="R194" s="27" t="s">
        <v>379</v>
      </c>
      <c r="S194" s="27" t="s">
        <v>328</v>
      </c>
      <c r="T194" s="27" t="s">
        <v>63</v>
      </c>
      <c r="U194" s="27">
        <v>10</v>
      </c>
      <c r="V194" s="27">
        <v>16</v>
      </c>
      <c r="W194" s="37">
        <v>-3.79E-4</v>
      </c>
      <c r="X194" s="27">
        <v>1</v>
      </c>
      <c r="Y194" s="38">
        <v>-3.3300000000000002E-4</v>
      </c>
      <c r="Z194" s="27" t="s">
        <v>65</v>
      </c>
    </row>
    <row r="195" spans="2:26" x14ac:dyDescent="0.2">
      <c r="B195" s="27" t="s">
        <v>281</v>
      </c>
      <c r="C195" s="27">
        <v>126</v>
      </c>
      <c r="D195" s="27" t="s">
        <v>127</v>
      </c>
      <c r="E195" s="27" t="s">
        <v>106</v>
      </c>
      <c r="F195" s="27" t="s">
        <v>329</v>
      </c>
      <c r="G195" s="27" t="s">
        <v>64</v>
      </c>
      <c r="H195" s="27">
        <v>60</v>
      </c>
      <c r="I195" s="27">
        <v>9</v>
      </c>
      <c r="J195" s="37">
        <v>-2.4000000000000001E-4</v>
      </c>
      <c r="K195" s="27">
        <v>6</v>
      </c>
      <c r="L195" s="38">
        <v>-2.1800000000000001E-4</v>
      </c>
      <c r="M195" s="27" t="s">
        <v>65</v>
      </c>
      <c r="O195" s="27" t="s">
        <v>281</v>
      </c>
      <c r="P195" s="27">
        <v>126</v>
      </c>
      <c r="Q195" s="27" t="s">
        <v>127</v>
      </c>
      <c r="R195" s="27" t="s">
        <v>379</v>
      </c>
      <c r="S195" s="27" t="s">
        <v>329</v>
      </c>
      <c r="T195" s="27" t="s">
        <v>64</v>
      </c>
      <c r="U195" s="27">
        <v>10</v>
      </c>
      <c r="V195" s="27">
        <v>9</v>
      </c>
      <c r="W195" s="37">
        <v>-2.4000000000000001E-4</v>
      </c>
      <c r="X195" s="27">
        <v>6</v>
      </c>
      <c r="Y195" s="38">
        <v>-2.1800000000000001E-4</v>
      </c>
      <c r="Z195" s="27" t="s">
        <v>65</v>
      </c>
    </row>
    <row r="196" spans="2:26" x14ac:dyDescent="0.2">
      <c r="B196" s="27" t="s">
        <v>330</v>
      </c>
      <c r="C196" s="27">
        <v>3</v>
      </c>
      <c r="D196" s="27" t="s">
        <v>130</v>
      </c>
      <c r="E196" s="27" t="s">
        <v>106</v>
      </c>
      <c r="F196" s="27" t="s">
        <v>331</v>
      </c>
      <c r="G196" s="27" t="s">
        <v>63</v>
      </c>
      <c r="H196" s="27">
        <v>60</v>
      </c>
      <c r="I196" s="27">
        <v>10</v>
      </c>
      <c r="J196" s="37">
        <v>-6.2200000000000005E-4</v>
      </c>
      <c r="K196" s="27">
        <v>3</v>
      </c>
      <c r="L196" s="38">
        <v>-5.6099999999999998E-4</v>
      </c>
      <c r="M196" s="27" t="s">
        <v>65</v>
      </c>
      <c r="O196" s="27" t="s">
        <v>330</v>
      </c>
      <c r="P196" s="27">
        <v>3</v>
      </c>
      <c r="Q196" s="27" t="s">
        <v>130</v>
      </c>
      <c r="R196" s="27" t="s">
        <v>379</v>
      </c>
      <c r="S196" s="27" t="s">
        <v>331</v>
      </c>
      <c r="T196" s="27" t="s">
        <v>63</v>
      </c>
      <c r="U196" s="27">
        <v>10</v>
      </c>
      <c r="V196" s="27">
        <v>10</v>
      </c>
      <c r="W196" s="37">
        <v>-6.2299999999999996E-4</v>
      </c>
      <c r="X196" s="27">
        <v>3</v>
      </c>
      <c r="Y196" s="38">
        <v>-5.62E-4</v>
      </c>
      <c r="Z196" s="27" t="s">
        <v>65</v>
      </c>
    </row>
    <row r="197" spans="2:26" x14ac:dyDescent="0.2">
      <c r="B197" s="27" t="s">
        <v>330</v>
      </c>
      <c r="C197" s="27">
        <v>3</v>
      </c>
      <c r="D197" s="27" t="s">
        <v>130</v>
      </c>
      <c r="E197" s="27" t="s">
        <v>106</v>
      </c>
      <c r="F197" s="27" t="s">
        <v>332</v>
      </c>
      <c r="G197" s="27" t="s">
        <v>64</v>
      </c>
      <c r="H197" s="27">
        <v>60</v>
      </c>
      <c r="I197" s="27">
        <v>7</v>
      </c>
      <c r="J197" s="37">
        <v>-4.2000000000000002E-4</v>
      </c>
      <c r="K197" s="27">
        <v>2</v>
      </c>
      <c r="L197" s="38">
        <v>-3.8900000000000002E-4</v>
      </c>
      <c r="M197" s="27" t="s">
        <v>65</v>
      </c>
      <c r="O197" s="27" t="s">
        <v>330</v>
      </c>
      <c r="P197" s="27">
        <v>3</v>
      </c>
      <c r="Q197" s="27" t="s">
        <v>130</v>
      </c>
      <c r="R197" s="27" t="s">
        <v>379</v>
      </c>
      <c r="S197" s="27" t="s">
        <v>332</v>
      </c>
      <c r="T197" s="27" t="s">
        <v>64</v>
      </c>
      <c r="U197" s="27">
        <v>10</v>
      </c>
      <c r="V197" s="27">
        <v>7</v>
      </c>
      <c r="W197" s="37">
        <v>-4.2000000000000002E-4</v>
      </c>
      <c r="X197" s="27">
        <v>2</v>
      </c>
      <c r="Y197" s="38">
        <v>-3.8900000000000002E-4</v>
      </c>
      <c r="Z197" s="27" t="s">
        <v>65</v>
      </c>
    </row>
    <row r="198" spans="2:26" x14ac:dyDescent="0.2">
      <c r="B198" s="27" t="s">
        <v>330</v>
      </c>
      <c r="C198" s="27">
        <v>15</v>
      </c>
      <c r="D198" s="27" t="s">
        <v>131</v>
      </c>
      <c r="E198" s="27" t="s">
        <v>106</v>
      </c>
      <c r="F198" s="27" t="s">
        <v>333</v>
      </c>
      <c r="G198" s="27" t="s">
        <v>63</v>
      </c>
      <c r="H198" s="27">
        <v>60</v>
      </c>
      <c r="I198" s="27">
        <v>12</v>
      </c>
      <c r="J198" s="37">
        <v>-4.2999999999999999E-4</v>
      </c>
      <c r="K198" s="27">
        <v>3</v>
      </c>
      <c r="L198" s="38">
        <v>-3.8699999999999997E-4</v>
      </c>
      <c r="M198" s="27" t="s">
        <v>65</v>
      </c>
      <c r="O198" s="27" t="s">
        <v>330</v>
      </c>
      <c r="P198" s="27">
        <v>15</v>
      </c>
      <c r="Q198" s="27" t="s">
        <v>131</v>
      </c>
      <c r="R198" s="27" t="s">
        <v>379</v>
      </c>
      <c r="S198" s="27" t="s">
        <v>333</v>
      </c>
      <c r="T198" s="27" t="s">
        <v>63</v>
      </c>
      <c r="U198" s="27">
        <v>10</v>
      </c>
      <c r="V198" s="27">
        <v>12</v>
      </c>
      <c r="W198" s="37">
        <v>-4.2999999999999999E-4</v>
      </c>
      <c r="X198" s="27">
        <v>3</v>
      </c>
      <c r="Y198" s="38">
        <v>-3.8699999999999997E-4</v>
      </c>
      <c r="Z198" s="27" t="s">
        <v>65</v>
      </c>
    </row>
    <row r="199" spans="2:26" x14ac:dyDescent="0.2">
      <c r="B199" s="27" t="s">
        <v>330</v>
      </c>
      <c r="C199" s="27">
        <v>15</v>
      </c>
      <c r="D199" s="27" t="s">
        <v>131</v>
      </c>
      <c r="E199" s="27" t="s">
        <v>106</v>
      </c>
      <c r="F199" s="27" t="s">
        <v>334</v>
      </c>
      <c r="G199" s="27" t="s">
        <v>64</v>
      </c>
      <c r="H199" s="27">
        <v>60</v>
      </c>
      <c r="I199" s="27">
        <v>14</v>
      </c>
      <c r="J199" s="37">
        <v>-2.04E-4</v>
      </c>
      <c r="K199" s="27">
        <v>1</v>
      </c>
      <c r="L199" s="38">
        <v>-2.02E-4</v>
      </c>
      <c r="M199" s="27" t="s">
        <v>65</v>
      </c>
      <c r="O199" s="27" t="s">
        <v>330</v>
      </c>
      <c r="P199" s="27">
        <v>15</v>
      </c>
      <c r="Q199" s="27" t="s">
        <v>131</v>
      </c>
      <c r="R199" s="27" t="s">
        <v>379</v>
      </c>
      <c r="S199" s="27" t="s">
        <v>334</v>
      </c>
      <c r="T199" s="27" t="s">
        <v>64</v>
      </c>
      <c r="U199" s="27">
        <v>10</v>
      </c>
      <c r="V199" s="27">
        <v>14</v>
      </c>
      <c r="W199" s="37">
        <v>-2.04E-4</v>
      </c>
      <c r="X199" s="27">
        <v>1</v>
      </c>
      <c r="Y199" s="38">
        <v>-2.02E-4</v>
      </c>
      <c r="Z199" s="27" t="s">
        <v>65</v>
      </c>
    </row>
    <row r="200" spans="2:26" x14ac:dyDescent="0.2">
      <c r="B200" s="27" t="s">
        <v>330</v>
      </c>
      <c r="C200" s="27">
        <v>11</v>
      </c>
      <c r="D200" s="27" t="s">
        <v>132</v>
      </c>
      <c r="E200" s="27" t="s">
        <v>106</v>
      </c>
      <c r="F200" s="27" t="s">
        <v>335</v>
      </c>
      <c r="G200" s="27" t="s">
        <v>63</v>
      </c>
      <c r="H200" s="27">
        <v>60</v>
      </c>
      <c r="I200" s="27">
        <v>12</v>
      </c>
      <c r="J200" s="37">
        <v>-7.6999999999999996E-4</v>
      </c>
      <c r="K200" s="27">
        <v>3</v>
      </c>
      <c r="L200" s="38">
        <v>8.1800000000000004E-4</v>
      </c>
      <c r="M200" s="27" t="s">
        <v>65</v>
      </c>
      <c r="O200" s="27" t="s">
        <v>330</v>
      </c>
      <c r="P200" s="27">
        <v>11</v>
      </c>
      <c r="Q200" s="27" t="s">
        <v>132</v>
      </c>
      <c r="R200" s="27" t="s">
        <v>379</v>
      </c>
      <c r="S200" s="27" t="s">
        <v>335</v>
      </c>
      <c r="T200" s="27" t="s">
        <v>63</v>
      </c>
      <c r="U200" s="27">
        <v>10</v>
      </c>
      <c r="V200" s="27">
        <v>12</v>
      </c>
      <c r="W200" s="37">
        <v>-7.6999999999999996E-4</v>
      </c>
      <c r="X200" s="27">
        <v>3</v>
      </c>
      <c r="Y200" s="38">
        <v>8.1899999999999996E-4</v>
      </c>
      <c r="Z200" s="27" t="s">
        <v>65</v>
      </c>
    </row>
    <row r="201" spans="2:26" x14ac:dyDescent="0.2">
      <c r="B201" s="27" t="s">
        <v>330</v>
      </c>
      <c r="C201" s="27">
        <v>11</v>
      </c>
      <c r="D201" s="27" t="s">
        <v>132</v>
      </c>
      <c r="E201" s="27" t="s">
        <v>106</v>
      </c>
      <c r="F201" s="27" t="s">
        <v>336</v>
      </c>
      <c r="G201" s="27" t="s">
        <v>64</v>
      </c>
      <c r="H201" s="27">
        <v>60</v>
      </c>
      <c r="I201" s="27">
        <v>14</v>
      </c>
      <c r="J201" s="37">
        <v>-3.7599999999999998E-4</v>
      </c>
      <c r="K201" s="27">
        <v>1</v>
      </c>
      <c r="L201" s="38">
        <v>-3.6299999999999999E-4</v>
      </c>
      <c r="M201" s="27" t="s">
        <v>65</v>
      </c>
      <c r="O201" s="27" t="s">
        <v>330</v>
      </c>
      <c r="P201" s="27">
        <v>11</v>
      </c>
      <c r="Q201" s="27" t="s">
        <v>132</v>
      </c>
      <c r="R201" s="27" t="s">
        <v>379</v>
      </c>
      <c r="S201" s="27" t="s">
        <v>336</v>
      </c>
      <c r="T201" s="27" t="s">
        <v>64</v>
      </c>
      <c r="U201" s="27">
        <v>10</v>
      </c>
      <c r="V201" s="27">
        <v>14</v>
      </c>
      <c r="W201" s="37">
        <v>-3.7599999999999998E-4</v>
      </c>
      <c r="X201" s="27">
        <v>1</v>
      </c>
      <c r="Y201" s="38">
        <v>-3.6299999999999999E-4</v>
      </c>
      <c r="Z201" s="27" t="s">
        <v>65</v>
      </c>
    </row>
    <row r="202" spans="2:26" x14ac:dyDescent="0.2">
      <c r="B202" s="27" t="s">
        <v>330</v>
      </c>
      <c r="C202" s="27">
        <v>12</v>
      </c>
      <c r="D202" s="27" t="s">
        <v>132</v>
      </c>
      <c r="E202" s="27" t="s">
        <v>106</v>
      </c>
      <c r="F202" s="27" t="s">
        <v>337</v>
      </c>
      <c r="G202" s="27" t="s">
        <v>63</v>
      </c>
      <c r="H202" s="27">
        <v>60</v>
      </c>
      <c r="I202" s="27">
        <v>12</v>
      </c>
      <c r="J202" s="37">
        <v>-7.6800000000000002E-4</v>
      </c>
      <c r="K202" s="27">
        <v>3</v>
      </c>
      <c r="L202" s="38">
        <v>8.2299999999999995E-4</v>
      </c>
      <c r="M202" s="27" t="s">
        <v>65</v>
      </c>
      <c r="O202" s="27" t="s">
        <v>330</v>
      </c>
      <c r="P202" s="27">
        <v>12</v>
      </c>
      <c r="Q202" s="27" t="s">
        <v>132</v>
      </c>
      <c r="R202" s="27" t="s">
        <v>379</v>
      </c>
      <c r="S202" s="27" t="s">
        <v>337</v>
      </c>
      <c r="T202" s="27" t="s">
        <v>63</v>
      </c>
      <c r="U202" s="27">
        <v>10</v>
      </c>
      <c r="V202" s="27">
        <v>12</v>
      </c>
      <c r="W202" s="37">
        <v>-7.6800000000000002E-4</v>
      </c>
      <c r="X202" s="27">
        <v>3</v>
      </c>
      <c r="Y202" s="38">
        <v>8.2399999999999997E-4</v>
      </c>
      <c r="Z202" s="27" t="s">
        <v>65</v>
      </c>
    </row>
    <row r="203" spans="2:26" x14ac:dyDescent="0.2">
      <c r="B203" s="27" t="s">
        <v>330</v>
      </c>
      <c r="C203" s="27">
        <v>12</v>
      </c>
      <c r="D203" s="27" t="s">
        <v>132</v>
      </c>
      <c r="E203" s="27" t="s">
        <v>106</v>
      </c>
      <c r="F203" s="27" t="s">
        <v>338</v>
      </c>
      <c r="G203" s="27" t="s">
        <v>64</v>
      </c>
      <c r="H203" s="27">
        <v>60</v>
      </c>
      <c r="I203" s="27">
        <v>14</v>
      </c>
      <c r="J203" s="37">
        <v>-3.7399999999999998E-4</v>
      </c>
      <c r="K203" s="27">
        <v>1</v>
      </c>
      <c r="L203" s="38">
        <v>-3.6099999999999999E-4</v>
      </c>
      <c r="M203" s="27" t="s">
        <v>65</v>
      </c>
      <c r="O203" s="27" t="s">
        <v>330</v>
      </c>
      <c r="P203" s="27">
        <v>12</v>
      </c>
      <c r="Q203" s="27" t="s">
        <v>132</v>
      </c>
      <c r="R203" s="27" t="s">
        <v>379</v>
      </c>
      <c r="S203" s="27" t="s">
        <v>338</v>
      </c>
      <c r="T203" s="27" t="s">
        <v>64</v>
      </c>
      <c r="U203" s="27">
        <v>10</v>
      </c>
      <c r="V203" s="27">
        <v>14</v>
      </c>
      <c r="W203" s="37">
        <v>-3.7399999999999998E-4</v>
      </c>
      <c r="X203" s="27">
        <v>1</v>
      </c>
      <c r="Y203" s="38">
        <v>-3.6099999999999999E-4</v>
      </c>
      <c r="Z203" s="27" t="s">
        <v>65</v>
      </c>
    </row>
    <row r="204" spans="2:26" x14ac:dyDescent="0.2">
      <c r="B204" s="27" t="s">
        <v>330</v>
      </c>
      <c r="C204" s="27">
        <v>16</v>
      </c>
      <c r="D204" s="27" t="s">
        <v>131</v>
      </c>
      <c r="E204" s="27" t="s">
        <v>106</v>
      </c>
      <c r="F204" s="27" t="s">
        <v>339</v>
      </c>
      <c r="G204" s="27" t="s">
        <v>63</v>
      </c>
      <c r="H204" s="27">
        <v>60</v>
      </c>
      <c r="I204" s="27">
        <v>12</v>
      </c>
      <c r="J204" s="37">
        <v>-4.2900000000000002E-4</v>
      </c>
      <c r="K204" s="27">
        <v>3</v>
      </c>
      <c r="L204" s="38">
        <v>-3.8499999999999998E-4</v>
      </c>
      <c r="M204" s="27" t="s">
        <v>65</v>
      </c>
      <c r="O204" s="27" t="s">
        <v>330</v>
      </c>
      <c r="P204" s="27">
        <v>16</v>
      </c>
      <c r="Q204" s="27" t="s">
        <v>131</v>
      </c>
      <c r="R204" s="27" t="s">
        <v>379</v>
      </c>
      <c r="S204" s="27" t="s">
        <v>339</v>
      </c>
      <c r="T204" s="27" t="s">
        <v>63</v>
      </c>
      <c r="U204" s="27">
        <v>10</v>
      </c>
      <c r="V204" s="27">
        <v>12</v>
      </c>
      <c r="W204" s="37">
        <v>-4.2900000000000002E-4</v>
      </c>
      <c r="X204" s="27">
        <v>3</v>
      </c>
      <c r="Y204" s="38">
        <v>-3.8499999999999998E-4</v>
      </c>
      <c r="Z204" s="27" t="s">
        <v>65</v>
      </c>
    </row>
    <row r="205" spans="2:26" x14ac:dyDescent="0.2">
      <c r="B205" s="27" t="s">
        <v>330</v>
      </c>
      <c r="C205" s="27">
        <v>16</v>
      </c>
      <c r="D205" s="27" t="s">
        <v>131</v>
      </c>
      <c r="E205" s="27" t="s">
        <v>106</v>
      </c>
      <c r="F205" s="27" t="s">
        <v>340</v>
      </c>
      <c r="G205" s="27" t="s">
        <v>64</v>
      </c>
      <c r="H205" s="27">
        <v>60</v>
      </c>
      <c r="I205" s="27">
        <v>14</v>
      </c>
      <c r="J205" s="37">
        <v>-1.94E-4</v>
      </c>
      <c r="K205" s="27">
        <v>1</v>
      </c>
      <c r="L205" s="38">
        <v>-1.93E-4</v>
      </c>
      <c r="M205" s="27" t="s">
        <v>65</v>
      </c>
      <c r="O205" s="27" t="s">
        <v>330</v>
      </c>
      <c r="P205" s="27">
        <v>16</v>
      </c>
      <c r="Q205" s="27" t="s">
        <v>131</v>
      </c>
      <c r="R205" s="27" t="s">
        <v>379</v>
      </c>
      <c r="S205" s="27" t="s">
        <v>340</v>
      </c>
      <c r="T205" s="27" t="s">
        <v>64</v>
      </c>
      <c r="U205" s="27">
        <v>10</v>
      </c>
      <c r="V205" s="27">
        <v>14</v>
      </c>
      <c r="W205" s="37">
        <v>-1.94E-4</v>
      </c>
      <c r="X205" s="27">
        <v>1</v>
      </c>
      <c r="Y205" s="38">
        <v>-1.93E-4</v>
      </c>
      <c r="Z205" s="27" t="s">
        <v>65</v>
      </c>
    </row>
    <row r="206" spans="2:26" x14ac:dyDescent="0.2">
      <c r="B206" s="27" t="s">
        <v>330</v>
      </c>
      <c r="C206" s="27">
        <v>4</v>
      </c>
      <c r="D206" s="27" t="s">
        <v>130</v>
      </c>
      <c r="E206" s="27" t="s">
        <v>106</v>
      </c>
      <c r="F206" s="27" t="s">
        <v>341</v>
      </c>
      <c r="G206" s="27" t="s">
        <v>63</v>
      </c>
      <c r="H206" s="27">
        <v>60</v>
      </c>
      <c r="I206" s="27">
        <v>10</v>
      </c>
      <c r="J206" s="37">
        <v>-4.4900000000000002E-4</v>
      </c>
      <c r="K206" s="27">
        <v>3</v>
      </c>
      <c r="L206" s="38">
        <v>-4.0400000000000001E-4</v>
      </c>
      <c r="M206" s="27" t="s">
        <v>65</v>
      </c>
      <c r="O206" s="27" t="s">
        <v>330</v>
      </c>
      <c r="P206" s="27">
        <v>4</v>
      </c>
      <c r="Q206" s="27" t="s">
        <v>130</v>
      </c>
      <c r="R206" s="27" t="s">
        <v>379</v>
      </c>
      <c r="S206" s="27" t="s">
        <v>341</v>
      </c>
      <c r="T206" s="27" t="s">
        <v>63</v>
      </c>
      <c r="U206" s="27">
        <v>10</v>
      </c>
      <c r="V206" s="27">
        <v>10</v>
      </c>
      <c r="W206" s="37">
        <v>-4.4900000000000002E-4</v>
      </c>
      <c r="X206" s="27">
        <v>3</v>
      </c>
      <c r="Y206" s="38">
        <v>-4.0499999999999998E-4</v>
      </c>
      <c r="Z206" s="27" t="s">
        <v>65</v>
      </c>
    </row>
    <row r="207" spans="2:26" x14ac:dyDescent="0.2">
      <c r="B207" s="27" t="s">
        <v>330</v>
      </c>
      <c r="C207" s="27">
        <v>4</v>
      </c>
      <c r="D207" s="27" t="s">
        <v>130</v>
      </c>
      <c r="E207" s="27" t="s">
        <v>106</v>
      </c>
      <c r="F207" s="27" t="s">
        <v>342</v>
      </c>
      <c r="G207" s="27" t="s">
        <v>64</v>
      </c>
      <c r="H207" s="27">
        <v>60</v>
      </c>
      <c r="I207" s="27">
        <v>12</v>
      </c>
      <c r="J207" s="37">
        <v>-3.39E-4</v>
      </c>
      <c r="K207" s="27">
        <v>1</v>
      </c>
      <c r="L207" s="38">
        <v>-3.1E-4</v>
      </c>
      <c r="M207" s="27" t="s">
        <v>65</v>
      </c>
      <c r="O207" s="27" t="s">
        <v>330</v>
      </c>
      <c r="P207" s="27">
        <v>4</v>
      </c>
      <c r="Q207" s="27" t="s">
        <v>130</v>
      </c>
      <c r="R207" s="27" t="s">
        <v>379</v>
      </c>
      <c r="S207" s="27" t="s">
        <v>342</v>
      </c>
      <c r="T207" s="27" t="s">
        <v>64</v>
      </c>
      <c r="U207" s="27">
        <v>10</v>
      </c>
      <c r="V207" s="27">
        <v>12</v>
      </c>
      <c r="W207" s="37">
        <v>-3.39E-4</v>
      </c>
      <c r="X207" s="27">
        <v>1</v>
      </c>
      <c r="Y207" s="38">
        <v>-3.1E-4</v>
      </c>
      <c r="Z207" s="27" t="s">
        <v>65</v>
      </c>
    </row>
    <row r="208" spans="2:26" x14ac:dyDescent="0.2">
      <c r="B208" s="27" t="s">
        <v>330</v>
      </c>
      <c r="C208" s="27">
        <v>20</v>
      </c>
      <c r="D208" s="27" t="s">
        <v>131</v>
      </c>
      <c r="E208" s="27" t="s">
        <v>106</v>
      </c>
      <c r="F208" s="27" t="s">
        <v>343</v>
      </c>
      <c r="G208" s="27" t="s">
        <v>63</v>
      </c>
      <c r="H208" s="27">
        <v>60</v>
      </c>
      <c r="I208" s="27">
        <v>12</v>
      </c>
      <c r="J208" s="37">
        <v>-4.5800000000000002E-4</v>
      </c>
      <c r="K208" s="27">
        <v>1</v>
      </c>
      <c r="L208" s="38">
        <v>-4.1100000000000002E-4</v>
      </c>
      <c r="M208" s="27" t="s">
        <v>65</v>
      </c>
      <c r="O208" s="27" t="s">
        <v>330</v>
      </c>
      <c r="P208" s="27">
        <v>20</v>
      </c>
      <c r="Q208" s="27" t="s">
        <v>131</v>
      </c>
      <c r="R208" s="27" t="s">
        <v>379</v>
      </c>
      <c r="S208" s="27" t="s">
        <v>343</v>
      </c>
      <c r="T208" s="27" t="s">
        <v>63</v>
      </c>
      <c r="U208" s="27">
        <v>10</v>
      </c>
      <c r="V208" s="27">
        <v>13</v>
      </c>
      <c r="W208" s="37">
        <v>-4.5899999999999999E-4</v>
      </c>
      <c r="X208" s="27">
        <v>1</v>
      </c>
      <c r="Y208" s="38">
        <v>-4.1199999999999999E-4</v>
      </c>
      <c r="Z208" s="27" t="s">
        <v>65</v>
      </c>
    </row>
    <row r="209" spans="2:26" x14ac:dyDescent="0.2">
      <c r="B209" s="27" t="s">
        <v>330</v>
      </c>
      <c r="C209" s="27">
        <v>20</v>
      </c>
      <c r="D209" s="27" t="s">
        <v>131</v>
      </c>
      <c r="E209" s="27" t="s">
        <v>106</v>
      </c>
      <c r="F209" s="27" t="s">
        <v>344</v>
      </c>
      <c r="G209" s="27" t="s">
        <v>64</v>
      </c>
      <c r="H209" s="27">
        <v>60</v>
      </c>
      <c r="I209" s="27">
        <v>7</v>
      </c>
      <c r="J209" s="37">
        <v>-1.9699999999999999E-4</v>
      </c>
      <c r="K209" s="27">
        <v>4</v>
      </c>
      <c r="L209" s="38">
        <v>-1.93E-4</v>
      </c>
      <c r="M209" s="27" t="s">
        <v>65</v>
      </c>
      <c r="O209" s="27" t="s">
        <v>330</v>
      </c>
      <c r="P209" s="27">
        <v>20</v>
      </c>
      <c r="Q209" s="27" t="s">
        <v>131</v>
      </c>
      <c r="R209" s="27" t="s">
        <v>379</v>
      </c>
      <c r="S209" s="27" t="s">
        <v>344</v>
      </c>
      <c r="T209" s="27" t="s">
        <v>64</v>
      </c>
      <c r="U209" s="27">
        <v>10</v>
      </c>
      <c r="V209" s="27">
        <v>7</v>
      </c>
      <c r="W209" s="37">
        <v>-1.9699999999999999E-4</v>
      </c>
      <c r="X209" s="27">
        <v>4</v>
      </c>
      <c r="Y209" s="38">
        <v>-1.93E-4</v>
      </c>
      <c r="Z209" s="27" t="s">
        <v>65</v>
      </c>
    </row>
    <row r="210" spans="2:26" x14ac:dyDescent="0.2">
      <c r="B210" s="27" t="s">
        <v>330</v>
      </c>
      <c r="C210" s="27">
        <v>5</v>
      </c>
      <c r="D210" s="27" t="s">
        <v>132</v>
      </c>
      <c r="E210" s="27" t="s">
        <v>106</v>
      </c>
      <c r="F210" s="27" t="s">
        <v>345</v>
      </c>
      <c r="G210" s="27" t="s">
        <v>63</v>
      </c>
      <c r="H210" s="27">
        <v>60</v>
      </c>
      <c r="I210" s="27">
        <v>14</v>
      </c>
      <c r="J210" s="37">
        <v>-7.8899999999999999E-4</v>
      </c>
      <c r="K210" s="27">
        <v>1</v>
      </c>
      <c r="L210" s="38">
        <v>-7.9699999999999997E-4</v>
      </c>
      <c r="M210" s="27" t="s">
        <v>65</v>
      </c>
      <c r="O210" s="27" t="s">
        <v>330</v>
      </c>
      <c r="P210" s="27">
        <v>5</v>
      </c>
      <c r="Q210" s="27" t="s">
        <v>132</v>
      </c>
      <c r="R210" s="27" t="s">
        <v>379</v>
      </c>
      <c r="S210" s="27" t="s">
        <v>345</v>
      </c>
      <c r="T210" s="27" t="s">
        <v>63</v>
      </c>
      <c r="U210" s="27">
        <v>10</v>
      </c>
      <c r="V210" s="27">
        <v>14</v>
      </c>
      <c r="W210" s="37">
        <v>-7.9100000000000004E-4</v>
      </c>
      <c r="X210" s="27">
        <v>1</v>
      </c>
      <c r="Y210" s="38">
        <v>-7.9900000000000001E-4</v>
      </c>
      <c r="Z210" s="27" t="s">
        <v>65</v>
      </c>
    </row>
    <row r="211" spans="2:26" x14ac:dyDescent="0.2">
      <c r="B211" s="27" t="s">
        <v>330</v>
      </c>
      <c r="C211" s="27">
        <v>5</v>
      </c>
      <c r="D211" s="27" t="s">
        <v>132</v>
      </c>
      <c r="E211" s="27" t="s">
        <v>106</v>
      </c>
      <c r="F211" s="27" t="s">
        <v>346</v>
      </c>
      <c r="G211" s="27" t="s">
        <v>64</v>
      </c>
      <c r="H211" s="27">
        <v>60</v>
      </c>
      <c r="I211" s="27">
        <v>12</v>
      </c>
      <c r="J211" s="37">
        <v>-3.68E-4</v>
      </c>
      <c r="K211" s="27">
        <v>4</v>
      </c>
      <c r="L211" s="38">
        <v>-3.6999999999999999E-4</v>
      </c>
      <c r="M211" s="27" t="s">
        <v>65</v>
      </c>
      <c r="O211" s="27" t="s">
        <v>330</v>
      </c>
      <c r="P211" s="27">
        <v>5</v>
      </c>
      <c r="Q211" s="27" t="s">
        <v>132</v>
      </c>
      <c r="R211" s="27" t="s">
        <v>379</v>
      </c>
      <c r="S211" s="27" t="s">
        <v>346</v>
      </c>
      <c r="T211" s="27" t="s">
        <v>64</v>
      </c>
      <c r="U211" s="27">
        <v>10</v>
      </c>
      <c r="V211" s="27">
        <v>12</v>
      </c>
      <c r="W211" s="37">
        <v>-3.68E-4</v>
      </c>
      <c r="X211" s="27">
        <v>4</v>
      </c>
      <c r="Y211" s="38">
        <v>-3.6999999999999999E-4</v>
      </c>
      <c r="Z211" s="27" t="s">
        <v>65</v>
      </c>
    </row>
    <row r="212" spans="2:26" x14ac:dyDescent="0.2">
      <c r="B212" s="27" t="s">
        <v>330</v>
      </c>
      <c r="C212" s="27">
        <v>23</v>
      </c>
      <c r="D212" s="27" t="s">
        <v>131</v>
      </c>
      <c r="E212" s="27" t="s">
        <v>106</v>
      </c>
      <c r="F212" s="27" t="s">
        <v>347</v>
      </c>
      <c r="G212" s="27" t="s">
        <v>63</v>
      </c>
      <c r="H212" s="27">
        <v>60</v>
      </c>
      <c r="I212" s="27">
        <v>13</v>
      </c>
      <c r="J212" s="37">
        <v>-5.0299999999999997E-4</v>
      </c>
      <c r="K212" s="27">
        <v>1</v>
      </c>
      <c r="L212" s="38">
        <v>-4.57E-4</v>
      </c>
      <c r="M212" s="27" t="s">
        <v>65</v>
      </c>
      <c r="O212" s="27" t="s">
        <v>330</v>
      </c>
      <c r="P212" s="27">
        <v>23</v>
      </c>
      <c r="Q212" s="27" t="s">
        <v>131</v>
      </c>
      <c r="R212" s="27" t="s">
        <v>379</v>
      </c>
      <c r="S212" s="27" t="s">
        <v>347</v>
      </c>
      <c r="T212" s="27" t="s">
        <v>63</v>
      </c>
      <c r="U212" s="27">
        <v>10</v>
      </c>
      <c r="V212" s="27">
        <v>14</v>
      </c>
      <c r="W212" s="37">
        <v>-5.04E-4</v>
      </c>
      <c r="X212" s="27">
        <v>1</v>
      </c>
      <c r="Y212" s="38">
        <v>-4.57E-4</v>
      </c>
      <c r="Z212" s="27" t="s">
        <v>65</v>
      </c>
    </row>
    <row r="213" spans="2:26" x14ac:dyDescent="0.2">
      <c r="B213" s="27" t="s">
        <v>330</v>
      </c>
      <c r="C213" s="27">
        <v>23</v>
      </c>
      <c r="D213" s="27" t="s">
        <v>131</v>
      </c>
      <c r="E213" s="27" t="s">
        <v>106</v>
      </c>
      <c r="F213" s="27" t="s">
        <v>348</v>
      </c>
      <c r="G213" s="27" t="s">
        <v>64</v>
      </c>
      <c r="H213" s="27">
        <v>60</v>
      </c>
      <c r="I213" s="27">
        <v>7</v>
      </c>
      <c r="J213" s="37">
        <v>-2.34E-4</v>
      </c>
      <c r="K213" s="27">
        <v>4</v>
      </c>
      <c r="L213" s="38">
        <v>-2.32E-4</v>
      </c>
      <c r="M213" s="27" t="s">
        <v>65</v>
      </c>
      <c r="O213" s="27" t="s">
        <v>330</v>
      </c>
      <c r="P213" s="27">
        <v>23</v>
      </c>
      <c r="Q213" s="27" t="s">
        <v>131</v>
      </c>
      <c r="R213" s="27" t="s">
        <v>379</v>
      </c>
      <c r="S213" s="27" t="s">
        <v>348</v>
      </c>
      <c r="T213" s="27" t="s">
        <v>64</v>
      </c>
      <c r="U213" s="27">
        <v>10</v>
      </c>
      <c r="V213" s="27">
        <v>7</v>
      </c>
      <c r="W213" s="37">
        <v>-2.34E-4</v>
      </c>
      <c r="X213" s="27">
        <v>4</v>
      </c>
      <c r="Y213" s="38">
        <v>-2.32E-4</v>
      </c>
      <c r="Z213" s="27" t="s">
        <v>65</v>
      </c>
    </row>
    <row r="214" spans="2:26" x14ac:dyDescent="0.2">
      <c r="B214" s="27" t="s">
        <v>330</v>
      </c>
      <c r="C214" s="27">
        <v>24</v>
      </c>
      <c r="D214" s="27" t="s">
        <v>131</v>
      </c>
      <c r="E214" s="27" t="s">
        <v>106</v>
      </c>
      <c r="F214" s="27" t="s">
        <v>349</v>
      </c>
      <c r="G214" s="27" t="s">
        <v>63</v>
      </c>
      <c r="H214" s="27">
        <v>60</v>
      </c>
      <c r="I214" s="27">
        <v>13</v>
      </c>
      <c r="J214" s="37">
        <v>-5.0500000000000002E-4</v>
      </c>
      <c r="K214" s="27">
        <v>1</v>
      </c>
      <c r="L214" s="38">
        <v>-4.5899999999999999E-4</v>
      </c>
      <c r="M214" s="27" t="s">
        <v>65</v>
      </c>
      <c r="O214" s="27" t="s">
        <v>330</v>
      </c>
      <c r="P214" s="27">
        <v>24</v>
      </c>
      <c r="Q214" s="27" t="s">
        <v>131</v>
      </c>
      <c r="R214" s="27" t="s">
        <v>379</v>
      </c>
      <c r="S214" s="27" t="s">
        <v>349</v>
      </c>
      <c r="T214" s="27" t="s">
        <v>63</v>
      </c>
      <c r="U214" s="27">
        <v>10</v>
      </c>
      <c r="V214" s="27">
        <v>14</v>
      </c>
      <c r="W214" s="37">
        <v>-5.0600000000000005E-4</v>
      </c>
      <c r="X214" s="27">
        <v>1</v>
      </c>
      <c r="Y214" s="38">
        <v>-4.6000000000000001E-4</v>
      </c>
      <c r="Z214" s="27" t="s">
        <v>65</v>
      </c>
    </row>
    <row r="215" spans="2:26" x14ac:dyDescent="0.2">
      <c r="B215" s="27" t="s">
        <v>330</v>
      </c>
      <c r="C215" s="27">
        <v>24</v>
      </c>
      <c r="D215" s="27" t="s">
        <v>131</v>
      </c>
      <c r="E215" s="27" t="s">
        <v>106</v>
      </c>
      <c r="F215" s="27" t="s">
        <v>350</v>
      </c>
      <c r="G215" s="27" t="s">
        <v>64</v>
      </c>
      <c r="H215" s="27">
        <v>60</v>
      </c>
      <c r="I215" s="27">
        <v>7</v>
      </c>
      <c r="J215" s="37">
        <v>-2.34E-4</v>
      </c>
      <c r="K215" s="27">
        <v>4</v>
      </c>
      <c r="L215" s="38">
        <v>-2.33E-4</v>
      </c>
      <c r="M215" s="27" t="s">
        <v>65</v>
      </c>
      <c r="O215" s="27" t="s">
        <v>330</v>
      </c>
      <c r="P215" s="27">
        <v>24</v>
      </c>
      <c r="Q215" s="27" t="s">
        <v>131</v>
      </c>
      <c r="R215" s="27" t="s">
        <v>379</v>
      </c>
      <c r="S215" s="27" t="s">
        <v>350</v>
      </c>
      <c r="T215" s="27" t="s">
        <v>64</v>
      </c>
      <c r="U215" s="27">
        <v>10</v>
      </c>
      <c r="V215" s="27">
        <v>7</v>
      </c>
      <c r="W215" s="37">
        <v>-2.34E-4</v>
      </c>
      <c r="X215" s="27">
        <v>4</v>
      </c>
      <c r="Y215" s="38">
        <v>-2.33E-4</v>
      </c>
      <c r="Z215" s="27" t="s">
        <v>65</v>
      </c>
    </row>
    <row r="216" spans="2:26" x14ac:dyDescent="0.2">
      <c r="B216" s="27" t="s">
        <v>330</v>
      </c>
      <c r="C216" s="27">
        <v>7</v>
      </c>
      <c r="D216" s="27" t="s">
        <v>132</v>
      </c>
      <c r="E216" s="27" t="s">
        <v>106</v>
      </c>
      <c r="F216" s="27" t="s">
        <v>351</v>
      </c>
      <c r="G216" s="27" t="s">
        <v>63</v>
      </c>
      <c r="H216" s="27">
        <v>60</v>
      </c>
      <c r="I216" s="27">
        <v>14</v>
      </c>
      <c r="J216" s="37">
        <v>-7.9299999999999998E-4</v>
      </c>
      <c r="K216" s="27">
        <v>1</v>
      </c>
      <c r="L216" s="38">
        <v>-8.0099999999999995E-4</v>
      </c>
      <c r="M216" s="27" t="s">
        <v>65</v>
      </c>
      <c r="O216" s="27" t="s">
        <v>330</v>
      </c>
      <c r="P216" s="27">
        <v>7</v>
      </c>
      <c r="Q216" s="27" t="s">
        <v>132</v>
      </c>
      <c r="R216" s="27" t="s">
        <v>379</v>
      </c>
      <c r="S216" s="27" t="s">
        <v>351</v>
      </c>
      <c r="T216" s="27" t="s">
        <v>63</v>
      </c>
      <c r="U216" s="27">
        <v>10</v>
      </c>
      <c r="V216" s="27">
        <v>14</v>
      </c>
      <c r="W216" s="37">
        <v>-7.9500000000000003E-4</v>
      </c>
      <c r="X216" s="27">
        <v>1</v>
      </c>
      <c r="Y216" s="38">
        <v>-8.03E-4</v>
      </c>
      <c r="Z216" s="27" t="s">
        <v>65</v>
      </c>
    </row>
    <row r="217" spans="2:26" x14ac:dyDescent="0.2">
      <c r="B217" s="27" t="s">
        <v>330</v>
      </c>
      <c r="C217" s="27">
        <v>7</v>
      </c>
      <c r="D217" s="27" t="s">
        <v>132</v>
      </c>
      <c r="E217" s="27" t="s">
        <v>106</v>
      </c>
      <c r="F217" s="27" t="s">
        <v>352</v>
      </c>
      <c r="G217" s="27" t="s">
        <v>64</v>
      </c>
      <c r="H217" s="27">
        <v>60</v>
      </c>
      <c r="I217" s="27">
        <v>12</v>
      </c>
      <c r="J217" s="37">
        <v>-3.6699999999999998E-4</v>
      </c>
      <c r="K217" s="27">
        <v>4</v>
      </c>
      <c r="L217" s="38">
        <v>-3.68E-4</v>
      </c>
      <c r="M217" s="27" t="s">
        <v>65</v>
      </c>
      <c r="O217" s="27" t="s">
        <v>330</v>
      </c>
      <c r="P217" s="27">
        <v>7</v>
      </c>
      <c r="Q217" s="27" t="s">
        <v>132</v>
      </c>
      <c r="R217" s="27" t="s">
        <v>379</v>
      </c>
      <c r="S217" s="27" t="s">
        <v>352</v>
      </c>
      <c r="T217" s="27" t="s">
        <v>64</v>
      </c>
      <c r="U217" s="27">
        <v>10</v>
      </c>
      <c r="V217" s="27">
        <v>12</v>
      </c>
      <c r="W217" s="37">
        <v>-3.6699999999999998E-4</v>
      </c>
      <c r="X217" s="27">
        <v>4</v>
      </c>
      <c r="Y217" s="38">
        <v>-3.68E-4</v>
      </c>
      <c r="Z217" s="27" t="s">
        <v>65</v>
      </c>
    </row>
    <row r="218" spans="2:26" x14ac:dyDescent="0.2">
      <c r="B218" s="27" t="s">
        <v>330</v>
      </c>
      <c r="C218" s="27">
        <v>18</v>
      </c>
      <c r="D218" s="27" t="s">
        <v>131</v>
      </c>
      <c r="E218" s="27" t="s">
        <v>106</v>
      </c>
      <c r="F218" s="27" t="s">
        <v>353</v>
      </c>
      <c r="G218" s="27" t="s">
        <v>63</v>
      </c>
      <c r="H218" s="27">
        <v>60</v>
      </c>
      <c r="I218" s="27">
        <v>14</v>
      </c>
      <c r="J218" s="37">
        <v>-3.5E-4</v>
      </c>
      <c r="K218" s="27">
        <v>1</v>
      </c>
      <c r="L218" s="38">
        <v>-3.1300000000000002E-4</v>
      </c>
      <c r="M218" s="27" t="s">
        <v>65</v>
      </c>
      <c r="O218" s="27" t="s">
        <v>330</v>
      </c>
      <c r="P218" s="27">
        <v>18</v>
      </c>
      <c r="Q218" s="27" t="s">
        <v>131</v>
      </c>
      <c r="R218" s="27" t="s">
        <v>379</v>
      </c>
      <c r="S218" s="27" t="s">
        <v>353</v>
      </c>
      <c r="T218" s="27" t="s">
        <v>63</v>
      </c>
      <c r="U218" s="27">
        <v>10</v>
      </c>
      <c r="V218" s="27">
        <v>14</v>
      </c>
      <c r="W218" s="37">
        <v>-3.5100000000000002E-4</v>
      </c>
      <c r="X218" s="27">
        <v>1</v>
      </c>
      <c r="Y218" s="38">
        <v>-3.1399999999999999E-4</v>
      </c>
      <c r="Z218" s="27" t="s">
        <v>65</v>
      </c>
    </row>
    <row r="219" spans="2:26" x14ac:dyDescent="0.2">
      <c r="B219" s="27" t="s">
        <v>330</v>
      </c>
      <c r="C219" s="27">
        <v>18</v>
      </c>
      <c r="D219" s="27" t="s">
        <v>131</v>
      </c>
      <c r="E219" s="27" t="s">
        <v>106</v>
      </c>
      <c r="F219" s="27" t="s">
        <v>354</v>
      </c>
      <c r="G219" s="27" t="s">
        <v>64</v>
      </c>
      <c r="H219" s="27">
        <v>60</v>
      </c>
      <c r="I219" s="27">
        <v>12</v>
      </c>
      <c r="J219" s="37">
        <v>-2.02E-4</v>
      </c>
      <c r="K219" s="27">
        <v>3</v>
      </c>
      <c r="L219" s="38">
        <v>-1.8900000000000001E-4</v>
      </c>
      <c r="M219" s="27" t="s">
        <v>65</v>
      </c>
      <c r="O219" s="27" t="s">
        <v>330</v>
      </c>
      <c r="P219" s="27">
        <v>18</v>
      </c>
      <c r="Q219" s="27" t="s">
        <v>131</v>
      </c>
      <c r="R219" s="27" t="s">
        <v>379</v>
      </c>
      <c r="S219" s="27" t="s">
        <v>354</v>
      </c>
      <c r="T219" s="27" t="s">
        <v>64</v>
      </c>
      <c r="U219" s="27">
        <v>10</v>
      </c>
      <c r="V219" s="27">
        <v>12</v>
      </c>
      <c r="W219" s="37">
        <v>-2.0100000000000001E-4</v>
      </c>
      <c r="X219" s="27">
        <v>3</v>
      </c>
      <c r="Y219" s="38">
        <v>-1.8799999999999999E-4</v>
      </c>
      <c r="Z219" s="27" t="s">
        <v>65</v>
      </c>
    </row>
    <row r="220" spans="2:26" x14ac:dyDescent="0.2">
      <c r="B220" s="27" t="s">
        <v>330</v>
      </c>
      <c r="C220" s="27">
        <v>19</v>
      </c>
      <c r="D220" s="27" t="s">
        <v>131</v>
      </c>
      <c r="E220" s="27" t="s">
        <v>106</v>
      </c>
      <c r="F220" s="27" t="s">
        <v>355</v>
      </c>
      <c r="G220" s="27" t="s">
        <v>63</v>
      </c>
      <c r="H220" s="27">
        <v>60</v>
      </c>
      <c r="I220" s="27">
        <v>12</v>
      </c>
      <c r="J220" s="37">
        <v>-4.6000000000000001E-4</v>
      </c>
      <c r="K220" s="27">
        <v>3</v>
      </c>
      <c r="L220" s="38">
        <v>-4.1199999999999999E-4</v>
      </c>
      <c r="M220" s="27" t="s">
        <v>65</v>
      </c>
      <c r="O220" s="27" t="s">
        <v>330</v>
      </c>
      <c r="P220" s="27">
        <v>19</v>
      </c>
      <c r="Q220" s="27" t="s">
        <v>131</v>
      </c>
      <c r="R220" s="27" t="s">
        <v>379</v>
      </c>
      <c r="S220" s="27" t="s">
        <v>355</v>
      </c>
      <c r="T220" s="27" t="s">
        <v>63</v>
      </c>
      <c r="U220" s="27">
        <v>10</v>
      </c>
      <c r="V220" s="27">
        <v>12</v>
      </c>
      <c r="W220" s="37">
        <v>-4.6000000000000001E-4</v>
      </c>
      <c r="X220" s="27">
        <v>3</v>
      </c>
      <c r="Y220" s="38">
        <v>-4.1300000000000001E-4</v>
      </c>
      <c r="Z220" s="27" t="s">
        <v>65</v>
      </c>
    </row>
    <row r="221" spans="2:26" x14ac:dyDescent="0.2">
      <c r="B221" s="27" t="s">
        <v>330</v>
      </c>
      <c r="C221" s="27">
        <v>19</v>
      </c>
      <c r="D221" s="27" t="s">
        <v>131</v>
      </c>
      <c r="E221" s="27" t="s">
        <v>106</v>
      </c>
      <c r="F221" s="27" t="s">
        <v>356</v>
      </c>
      <c r="G221" s="27" t="s">
        <v>64</v>
      </c>
      <c r="H221" s="27">
        <v>60</v>
      </c>
      <c r="I221" s="27">
        <v>9</v>
      </c>
      <c r="J221" s="37">
        <v>-1.9699999999999999E-4</v>
      </c>
      <c r="K221" s="27">
        <v>2</v>
      </c>
      <c r="L221" s="38">
        <v>-1.93E-4</v>
      </c>
      <c r="M221" s="27" t="s">
        <v>65</v>
      </c>
      <c r="O221" s="27" t="s">
        <v>330</v>
      </c>
      <c r="P221" s="27">
        <v>19</v>
      </c>
      <c r="Q221" s="27" t="s">
        <v>131</v>
      </c>
      <c r="R221" s="27" t="s">
        <v>379</v>
      </c>
      <c r="S221" s="27" t="s">
        <v>356</v>
      </c>
      <c r="T221" s="27" t="s">
        <v>64</v>
      </c>
      <c r="U221" s="27">
        <v>10</v>
      </c>
      <c r="V221" s="27">
        <v>9</v>
      </c>
      <c r="W221" s="37">
        <v>-1.9699999999999999E-4</v>
      </c>
      <c r="X221" s="27">
        <v>2</v>
      </c>
      <c r="Y221" s="38">
        <v>-1.93E-4</v>
      </c>
      <c r="Z221" s="27" t="s">
        <v>65</v>
      </c>
    </row>
    <row r="222" spans="2:26" x14ac:dyDescent="0.2">
      <c r="B222" s="27" t="s">
        <v>330</v>
      </c>
      <c r="C222" s="27">
        <v>6</v>
      </c>
      <c r="D222" s="27" t="s">
        <v>132</v>
      </c>
      <c r="E222" s="27" t="s">
        <v>106</v>
      </c>
      <c r="F222" s="27" t="s">
        <v>357</v>
      </c>
      <c r="G222" s="27" t="s">
        <v>63</v>
      </c>
      <c r="H222" s="27">
        <v>60</v>
      </c>
      <c r="I222" s="27">
        <v>12</v>
      </c>
      <c r="J222" s="37">
        <v>-7.9000000000000001E-4</v>
      </c>
      <c r="K222" s="27">
        <v>4</v>
      </c>
      <c r="L222" s="38">
        <v>-7.9799999999999999E-4</v>
      </c>
      <c r="M222" s="27" t="s">
        <v>65</v>
      </c>
      <c r="O222" s="27" t="s">
        <v>330</v>
      </c>
      <c r="P222" s="27">
        <v>6</v>
      </c>
      <c r="Q222" s="27" t="s">
        <v>132</v>
      </c>
      <c r="R222" s="27" t="s">
        <v>379</v>
      </c>
      <c r="S222" s="27" t="s">
        <v>357</v>
      </c>
      <c r="T222" s="27" t="s">
        <v>63</v>
      </c>
      <c r="U222" s="27">
        <v>10</v>
      </c>
      <c r="V222" s="27">
        <v>12</v>
      </c>
      <c r="W222" s="37">
        <v>-7.9199999999999995E-4</v>
      </c>
      <c r="X222" s="27">
        <v>4</v>
      </c>
      <c r="Y222" s="38">
        <v>-7.9900000000000001E-4</v>
      </c>
      <c r="Z222" s="27" t="s">
        <v>65</v>
      </c>
    </row>
    <row r="223" spans="2:26" x14ac:dyDescent="0.2">
      <c r="B223" s="27" t="s">
        <v>330</v>
      </c>
      <c r="C223" s="27">
        <v>6</v>
      </c>
      <c r="D223" s="27" t="s">
        <v>132</v>
      </c>
      <c r="E223" s="27" t="s">
        <v>106</v>
      </c>
      <c r="F223" s="27" t="s">
        <v>358</v>
      </c>
      <c r="G223" s="27" t="s">
        <v>64</v>
      </c>
      <c r="H223" s="27">
        <v>60</v>
      </c>
      <c r="I223" s="27">
        <v>14</v>
      </c>
      <c r="J223" s="37">
        <v>-3.68E-4</v>
      </c>
      <c r="K223" s="27">
        <v>1</v>
      </c>
      <c r="L223" s="38">
        <v>-3.6999999999999999E-4</v>
      </c>
      <c r="M223" s="27" t="s">
        <v>65</v>
      </c>
      <c r="O223" s="27" t="s">
        <v>330</v>
      </c>
      <c r="P223" s="27">
        <v>6</v>
      </c>
      <c r="Q223" s="27" t="s">
        <v>132</v>
      </c>
      <c r="R223" s="27" t="s">
        <v>379</v>
      </c>
      <c r="S223" s="27" t="s">
        <v>358</v>
      </c>
      <c r="T223" s="27" t="s">
        <v>64</v>
      </c>
      <c r="U223" s="27">
        <v>10</v>
      </c>
      <c r="V223" s="27">
        <v>14</v>
      </c>
      <c r="W223" s="37">
        <v>-3.68E-4</v>
      </c>
      <c r="X223" s="27">
        <v>1</v>
      </c>
      <c r="Y223" s="38">
        <v>-3.6999999999999999E-4</v>
      </c>
      <c r="Z223" s="27" t="s">
        <v>65</v>
      </c>
    </row>
    <row r="224" spans="2:26" x14ac:dyDescent="0.2">
      <c r="B224" s="27" t="s">
        <v>330</v>
      </c>
      <c r="C224" s="27">
        <v>21</v>
      </c>
      <c r="D224" s="27" t="s">
        <v>131</v>
      </c>
      <c r="E224" s="27" t="s">
        <v>106</v>
      </c>
      <c r="F224" s="27" t="s">
        <v>359</v>
      </c>
      <c r="G224" s="27" t="s">
        <v>63</v>
      </c>
      <c r="H224" s="27">
        <v>60</v>
      </c>
      <c r="I224" s="27">
        <v>12</v>
      </c>
      <c r="J224" s="37">
        <v>-5.0299999999999997E-4</v>
      </c>
      <c r="K224" s="27">
        <v>3</v>
      </c>
      <c r="L224" s="38">
        <v>-4.57E-4</v>
      </c>
      <c r="M224" s="27" t="s">
        <v>65</v>
      </c>
      <c r="O224" s="27" t="s">
        <v>330</v>
      </c>
      <c r="P224" s="27">
        <v>21</v>
      </c>
      <c r="Q224" s="27" t="s">
        <v>131</v>
      </c>
      <c r="R224" s="27" t="s">
        <v>379</v>
      </c>
      <c r="S224" s="27" t="s">
        <v>359</v>
      </c>
      <c r="T224" s="27" t="s">
        <v>63</v>
      </c>
      <c r="U224" s="27">
        <v>10</v>
      </c>
      <c r="V224" s="27">
        <v>12</v>
      </c>
      <c r="W224" s="37">
        <v>-5.04E-4</v>
      </c>
      <c r="X224" s="27">
        <v>1</v>
      </c>
      <c r="Y224" s="38">
        <v>-4.57E-4</v>
      </c>
      <c r="Z224" s="27" t="s">
        <v>65</v>
      </c>
    </row>
    <row r="225" spans="2:26" x14ac:dyDescent="0.2">
      <c r="B225" s="27" t="s">
        <v>330</v>
      </c>
      <c r="C225" s="27">
        <v>21</v>
      </c>
      <c r="D225" s="27" t="s">
        <v>131</v>
      </c>
      <c r="E225" s="27" t="s">
        <v>106</v>
      </c>
      <c r="F225" s="27" t="s">
        <v>360</v>
      </c>
      <c r="G225" s="27" t="s">
        <v>64</v>
      </c>
      <c r="H225" s="27">
        <v>60</v>
      </c>
      <c r="I225" s="27">
        <v>9</v>
      </c>
      <c r="J225" s="37">
        <v>-2.34E-4</v>
      </c>
      <c r="K225" s="27">
        <v>2</v>
      </c>
      <c r="L225" s="38">
        <v>-2.32E-4</v>
      </c>
      <c r="M225" s="27" t="s">
        <v>65</v>
      </c>
      <c r="O225" s="27" t="s">
        <v>330</v>
      </c>
      <c r="P225" s="27">
        <v>21</v>
      </c>
      <c r="Q225" s="27" t="s">
        <v>131</v>
      </c>
      <c r="R225" s="27" t="s">
        <v>379</v>
      </c>
      <c r="S225" s="27" t="s">
        <v>360</v>
      </c>
      <c r="T225" s="27" t="s">
        <v>64</v>
      </c>
      <c r="U225" s="27">
        <v>10</v>
      </c>
      <c r="V225" s="27">
        <v>9</v>
      </c>
      <c r="W225" s="37">
        <v>-2.34E-4</v>
      </c>
      <c r="X225" s="27">
        <v>2</v>
      </c>
      <c r="Y225" s="38">
        <v>-2.32E-4</v>
      </c>
      <c r="Z225" s="27" t="s">
        <v>65</v>
      </c>
    </row>
    <row r="226" spans="2:26" x14ac:dyDescent="0.2">
      <c r="B226" s="27" t="s">
        <v>330</v>
      </c>
      <c r="C226" s="27">
        <v>22</v>
      </c>
      <c r="D226" s="27" t="s">
        <v>131</v>
      </c>
      <c r="E226" s="27" t="s">
        <v>106</v>
      </c>
      <c r="F226" s="27" t="s">
        <v>361</v>
      </c>
      <c r="G226" s="27" t="s">
        <v>63</v>
      </c>
      <c r="H226" s="27">
        <v>60</v>
      </c>
      <c r="I226" s="27">
        <v>12</v>
      </c>
      <c r="J226" s="37">
        <v>-5.0500000000000002E-4</v>
      </c>
      <c r="K226" s="27">
        <v>1</v>
      </c>
      <c r="L226" s="38">
        <v>-4.5899999999999999E-4</v>
      </c>
      <c r="M226" s="27" t="s">
        <v>65</v>
      </c>
      <c r="O226" s="27" t="s">
        <v>330</v>
      </c>
      <c r="P226" s="27">
        <v>22</v>
      </c>
      <c r="Q226" s="27" t="s">
        <v>131</v>
      </c>
      <c r="R226" s="27" t="s">
        <v>379</v>
      </c>
      <c r="S226" s="27" t="s">
        <v>361</v>
      </c>
      <c r="T226" s="27" t="s">
        <v>63</v>
      </c>
      <c r="U226" s="27">
        <v>10</v>
      </c>
      <c r="V226" s="27">
        <v>13</v>
      </c>
      <c r="W226" s="37">
        <v>-5.0600000000000005E-4</v>
      </c>
      <c r="X226" s="27">
        <v>1</v>
      </c>
      <c r="Y226" s="38">
        <v>-4.6000000000000001E-4</v>
      </c>
      <c r="Z226" s="27" t="s">
        <v>65</v>
      </c>
    </row>
    <row r="227" spans="2:26" x14ac:dyDescent="0.2">
      <c r="B227" s="27" t="s">
        <v>330</v>
      </c>
      <c r="C227" s="27">
        <v>22</v>
      </c>
      <c r="D227" s="27" t="s">
        <v>131</v>
      </c>
      <c r="E227" s="27" t="s">
        <v>106</v>
      </c>
      <c r="F227" s="27" t="s">
        <v>362</v>
      </c>
      <c r="G227" s="27" t="s">
        <v>64</v>
      </c>
      <c r="H227" s="27">
        <v>60</v>
      </c>
      <c r="I227" s="27">
        <v>8</v>
      </c>
      <c r="J227" s="37">
        <v>-2.34E-4</v>
      </c>
      <c r="K227" s="27">
        <v>2</v>
      </c>
      <c r="L227" s="38">
        <v>-2.33E-4</v>
      </c>
      <c r="M227" s="27" t="s">
        <v>65</v>
      </c>
      <c r="O227" s="27" t="s">
        <v>330</v>
      </c>
      <c r="P227" s="27">
        <v>22</v>
      </c>
      <c r="Q227" s="27" t="s">
        <v>131</v>
      </c>
      <c r="R227" s="27" t="s">
        <v>379</v>
      </c>
      <c r="S227" s="27" t="s">
        <v>362</v>
      </c>
      <c r="T227" s="27" t="s">
        <v>64</v>
      </c>
      <c r="U227" s="27">
        <v>10</v>
      </c>
      <c r="V227" s="27">
        <v>9</v>
      </c>
      <c r="W227" s="37">
        <v>-2.3499999999999999E-4</v>
      </c>
      <c r="X227" s="27">
        <v>2</v>
      </c>
      <c r="Y227" s="38">
        <v>-2.33E-4</v>
      </c>
      <c r="Z227" s="27" t="s">
        <v>65</v>
      </c>
    </row>
    <row r="228" spans="2:26" x14ac:dyDescent="0.2">
      <c r="B228" s="27" t="s">
        <v>330</v>
      </c>
      <c r="C228" s="27">
        <v>8</v>
      </c>
      <c r="D228" s="27" t="s">
        <v>132</v>
      </c>
      <c r="E228" s="27" t="s">
        <v>106</v>
      </c>
      <c r="F228" s="27" t="s">
        <v>363</v>
      </c>
      <c r="G228" s="27" t="s">
        <v>63</v>
      </c>
      <c r="H228" s="27">
        <v>60</v>
      </c>
      <c r="I228" s="27">
        <v>12</v>
      </c>
      <c r="J228" s="37">
        <v>-7.9299999999999998E-4</v>
      </c>
      <c r="K228" s="27">
        <v>4</v>
      </c>
      <c r="L228" s="38">
        <v>-8.0099999999999995E-4</v>
      </c>
      <c r="M228" s="27" t="s">
        <v>65</v>
      </c>
      <c r="O228" s="27" t="s">
        <v>330</v>
      </c>
      <c r="P228" s="27">
        <v>8</v>
      </c>
      <c r="Q228" s="27" t="s">
        <v>132</v>
      </c>
      <c r="R228" s="27" t="s">
        <v>379</v>
      </c>
      <c r="S228" s="27" t="s">
        <v>363</v>
      </c>
      <c r="T228" s="27" t="s">
        <v>63</v>
      </c>
      <c r="U228" s="27">
        <v>10</v>
      </c>
      <c r="V228" s="27">
        <v>12</v>
      </c>
      <c r="W228" s="37">
        <v>-7.94E-4</v>
      </c>
      <c r="X228" s="27">
        <v>1</v>
      </c>
      <c r="Y228" s="38">
        <v>-8.0199999999999998E-4</v>
      </c>
      <c r="Z228" s="27" t="s">
        <v>65</v>
      </c>
    </row>
    <row r="229" spans="2:26" x14ac:dyDescent="0.2">
      <c r="B229" s="27" t="s">
        <v>330</v>
      </c>
      <c r="C229" s="27">
        <v>8</v>
      </c>
      <c r="D229" s="27" t="s">
        <v>132</v>
      </c>
      <c r="E229" s="27" t="s">
        <v>106</v>
      </c>
      <c r="F229" s="27" t="s">
        <v>364</v>
      </c>
      <c r="G229" s="27" t="s">
        <v>64</v>
      </c>
      <c r="H229" s="27">
        <v>60</v>
      </c>
      <c r="I229" s="27">
        <v>14</v>
      </c>
      <c r="J229" s="37">
        <v>-3.6699999999999998E-4</v>
      </c>
      <c r="K229" s="27">
        <v>1</v>
      </c>
      <c r="L229" s="38">
        <v>-3.6900000000000002E-4</v>
      </c>
      <c r="M229" s="27" t="s">
        <v>65</v>
      </c>
      <c r="O229" s="27" t="s">
        <v>330</v>
      </c>
      <c r="P229" s="27">
        <v>8</v>
      </c>
      <c r="Q229" s="27" t="s">
        <v>132</v>
      </c>
      <c r="R229" s="27" t="s">
        <v>379</v>
      </c>
      <c r="S229" s="27" t="s">
        <v>364</v>
      </c>
      <c r="T229" s="27" t="s">
        <v>64</v>
      </c>
      <c r="U229" s="27">
        <v>10</v>
      </c>
      <c r="V229" s="27">
        <v>14</v>
      </c>
      <c r="W229" s="37">
        <v>-3.6699999999999998E-4</v>
      </c>
      <c r="X229" s="27">
        <v>1</v>
      </c>
      <c r="Y229" s="38">
        <v>-3.68E-4</v>
      </c>
      <c r="Z229" s="27" t="s">
        <v>65</v>
      </c>
    </row>
    <row r="230" spans="2:26" x14ac:dyDescent="0.2">
      <c r="B230" s="27" t="s">
        <v>330</v>
      </c>
      <c r="C230" s="27">
        <v>17</v>
      </c>
      <c r="D230" s="27" t="s">
        <v>131</v>
      </c>
      <c r="E230" s="27" t="s">
        <v>106</v>
      </c>
      <c r="F230" s="27" t="s">
        <v>365</v>
      </c>
      <c r="G230" s="27" t="s">
        <v>63</v>
      </c>
      <c r="H230" s="27">
        <v>60</v>
      </c>
      <c r="I230" s="27">
        <v>12</v>
      </c>
      <c r="J230" s="37">
        <v>-3.4900000000000003E-4</v>
      </c>
      <c r="K230" s="27">
        <v>1</v>
      </c>
      <c r="L230" s="38">
        <v>-3.1199999999999999E-4</v>
      </c>
      <c r="M230" s="27" t="s">
        <v>65</v>
      </c>
      <c r="O230" s="27" t="s">
        <v>330</v>
      </c>
      <c r="P230" s="27">
        <v>17</v>
      </c>
      <c r="Q230" s="27" t="s">
        <v>131</v>
      </c>
      <c r="R230" s="27" t="s">
        <v>379</v>
      </c>
      <c r="S230" s="27" t="s">
        <v>365</v>
      </c>
      <c r="T230" s="27" t="s">
        <v>63</v>
      </c>
      <c r="U230" s="27">
        <v>10</v>
      </c>
      <c r="V230" s="27">
        <v>13</v>
      </c>
      <c r="W230" s="37">
        <v>-3.5E-4</v>
      </c>
      <c r="X230" s="27">
        <v>1</v>
      </c>
      <c r="Y230" s="38">
        <v>-3.1199999999999999E-4</v>
      </c>
      <c r="Z230" s="27" t="s">
        <v>65</v>
      </c>
    </row>
    <row r="231" spans="2:26" x14ac:dyDescent="0.2">
      <c r="B231" s="27" t="s">
        <v>330</v>
      </c>
      <c r="C231" s="27">
        <v>17</v>
      </c>
      <c r="D231" s="27" t="s">
        <v>131</v>
      </c>
      <c r="E231" s="27" t="s">
        <v>106</v>
      </c>
      <c r="F231" s="27" t="s">
        <v>366</v>
      </c>
      <c r="G231" s="27" t="s">
        <v>64</v>
      </c>
      <c r="H231" s="27">
        <v>60</v>
      </c>
      <c r="I231" s="27">
        <v>14</v>
      </c>
      <c r="J231" s="37">
        <v>-2.02E-4</v>
      </c>
      <c r="K231" s="27">
        <v>1</v>
      </c>
      <c r="L231" s="38">
        <v>-1.8900000000000001E-4</v>
      </c>
      <c r="M231" s="27" t="s">
        <v>65</v>
      </c>
      <c r="O231" s="27" t="s">
        <v>330</v>
      </c>
      <c r="P231" s="27">
        <v>17</v>
      </c>
      <c r="Q231" s="27" t="s">
        <v>131</v>
      </c>
      <c r="R231" s="27" t="s">
        <v>379</v>
      </c>
      <c r="S231" s="27" t="s">
        <v>366</v>
      </c>
      <c r="T231" s="27" t="s">
        <v>64</v>
      </c>
      <c r="U231" s="27">
        <v>10</v>
      </c>
      <c r="V231" s="27">
        <v>14</v>
      </c>
      <c r="W231" s="37">
        <v>-2.02E-4</v>
      </c>
      <c r="X231" s="27">
        <v>1</v>
      </c>
      <c r="Y231" s="38">
        <v>-1.8900000000000001E-4</v>
      </c>
      <c r="Z231" s="27" t="s">
        <v>65</v>
      </c>
    </row>
    <row r="232" spans="2:26" x14ac:dyDescent="0.2">
      <c r="B232" s="27" t="s">
        <v>330</v>
      </c>
      <c r="C232" s="27">
        <v>1</v>
      </c>
      <c r="D232" s="27" t="s">
        <v>130</v>
      </c>
      <c r="E232" s="27" t="s">
        <v>106</v>
      </c>
      <c r="F232" s="27" t="s">
        <v>367</v>
      </c>
      <c r="G232" s="27" t="s">
        <v>63</v>
      </c>
      <c r="H232" s="27">
        <v>60</v>
      </c>
      <c r="I232" s="27">
        <v>12</v>
      </c>
      <c r="J232" s="37">
        <v>-6.2200000000000005E-4</v>
      </c>
      <c r="K232" s="27">
        <v>1</v>
      </c>
      <c r="L232" s="38">
        <v>-5.6099999999999998E-4</v>
      </c>
      <c r="M232" s="27" t="s">
        <v>65</v>
      </c>
      <c r="O232" s="27" t="s">
        <v>330</v>
      </c>
      <c r="P232" s="27">
        <v>1</v>
      </c>
      <c r="Q232" s="27" t="s">
        <v>130</v>
      </c>
      <c r="R232" s="27" t="s">
        <v>379</v>
      </c>
      <c r="S232" s="27" t="s">
        <v>367</v>
      </c>
      <c r="T232" s="27" t="s">
        <v>63</v>
      </c>
      <c r="U232" s="27">
        <v>10</v>
      </c>
      <c r="V232" s="27">
        <v>12</v>
      </c>
      <c r="W232" s="37">
        <v>-6.2299999999999996E-4</v>
      </c>
      <c r="X232" s="27">
        <v>1</v>
      </c>
      <c r="Y232" s="38">
        <v>-5.62E-4</v>
      </c>
      <c r="Z232" s="27" t="s">
        <v>65</v>
      </c>
    </row>
    <row r="233" spans="2:26" x14ac:dyDescent="0.2">
      <c r="B233" s="27" t="s">
        <v>330</v>
      </c>
      <c r="C233" s="27">
        <v>1</v>
      </c>
      <c r="D233" s="27" t="s">
        <v>130</v>
      </c>
      <c r="E233" s="27" t="s">
        <v>106</v>
      </c>
      <c r="F233" s="27" t="s">
        <v>368</v>
      </c>
      <c r="G233" s="27" t="s">
        <v>64</v>
      </c>
      <c r="H233" s="27">
        <v>60</v>
      </c>
      <c r="I233" s="27">
        <v>5</v>
      </c>
      <c r="J233" s="37">
        <v>-4.2000000000000002E-4</v>
      </c>
      <c r="K233" s="27">
        <v>4</v>
      </c>
      <c r="L233" s="38">
        <v>-3.8900000000000002E-4</v>
      </c>
      <c r="M233" s="27" t="s">
        <v>65</v>
      </c>
      <c r="O233" s="27" t="s">
        <v>330</v>
      </c>
      <c r="P233" s="27">
        <v>1</v>
      </c>
      <c r="Q233" s="27" t="s">
        <v>130</v>
      </c>
      <c r="R233" s="27" t="s">
        <v>379</v>
      </c>
      <c r="S233" s="27" t="s">
        <v>368</v>
      </c>
      <c r="T233" s="27" t="s">
        <v>64</v>
      </c>
      <c r="U233" s="27">
        <v>10</v>
      </c>
      <c r="V233" s="27">
        <v>5</v>
      </c>
      <c r="W233" s="37">
        <v>-4.2000000000000002E-4</v>
      </c>
      <c r="X233" s="27">
        <v>4</v>
      </c>
      <c r="Y233" s="38">
        <v>-3.8900000000000002E-4</v>
      </c>
      <c r="Z233" s="27" t="s">
        <v>65</v>
      </c>
    </row>
    <row r="234" spans="2:26" x14ac:dyDescent="0.2">
      <c r="B234" s="27" t="s">
        <v>330</v>
      </c>
      <c r="C234" s="27">
        <v>13</v>
      </c>
      <c r="D234" s="27" t="s">
        <v>131</v>
      </c>
      <c r="E234" s="27" t="s">
        <v>106</v>
      </c>
      <c r="F234" s="27" t="s">
        <v>369</v>
      </c>
      <c r="G234" s="27" t="s">
        <v>63</v>
      </c>
      <c r="H234" s="27">
        <v>60</v>
      </c>
      <c r="I234" s="27">
        <v>14</v>
      </c>
      <c r="J234" s="37">
        <v>-4.2999999999999999E-4</v>
      </c>
      <c r="K234" s="27">
        <v>1</v>
      </c>
      <c r="L234" s="38">
        <v>-3.8699999999999997E-4</v>
      </c>
      <c r="M234" s="27" t="s">
        <v>65</v>
      </c>
      <c r="O234" s="27" t="s">
        <v>330</v>
      </c>
      <c r="P234" s="27">
        <v>13</v>
      </c>
      <c r="Q234" s="27" t="s">
        <v>131</v>
      </c>
      <c r="R234" s="27" t="s">
        <v>379</v>
      </c>
      <c r="S234" s="27" t="s">
        <v>369</v>
      </c>
      <c r="T234" s="27" t="s">
        <v>63</v>
      </c>
      <c r="U234" s="27">
        <v>10</v>
      </c>
      <c r="V234" s="27">
        <v>14</v>
      </c>
      <c r="W234" s="37">
        <v>-4.2999999999999999E-4</v>
      </c>
      <c r="X234" s="27">
        <v>1</v>
      </c>
      <c r="Y234" s="38">
        <v>-3.8699999999999997E-4</v>
      </c>
      <c r="Z234" s="27" t="s">
        <v>65</v>
      </c>
    </row>
    <row r="235" spans="2:26" x14ac:dyDescent="0.2">
      <c r="B235" s="27" t="s">
        <v>330</v>
      </c>
      <c r="C235" s="27">
        <v>13</v>
      </c>
      <c r="D235" s="27" t="s">
        <v>131</v>
      </c>
      <c r="E235" s="27" t="s">
        <v>106</v>
      </c>
      <c r="F235" s="27" t="s">
        <v>370</v>
      </c>
      <c r="G235" s="27" t="s">
        <v>64</v>
      </c>
      <c r="H235" s="27">
        <v>60</v>
      </c>
      <c r="I235" s="27">
        <v>12</v>
      </c>
      <c r="J235" s="37">
        <v>-2.04E-4</v>
      </c>
      <c r="K235" s="27">
        <v>3</v>
      </c>
      <c r="L235" s="38">
        <v>-2.02E-4</v>
      </c>
      <c r="M235" s="27" t="s">
        <v>65</v>
      </c>
      <c r="O235" s="27" t="s">
        <v>330</v>
      </c>
      <c r="P235" s="27">
        <v>13</v>
      </c>
      <c r="Q235" s="27" t="s">
        <v>131</v>
      </c>
      <c r="R235" s="27" t="s">
        <v>379</v>
      </c>
      <c r="S235" s="27" t="s">
        <v>370</v>
      </c>
      <c r="T235" s="27" t="s">
        <v>64</v>
      </c>
      <c r="U235" s="27">
        <v>10</v>
      </c>
      <c r="V235" s="27">
        <v>12</v>
      </c>
      <c r="W235" s="37">
        <v>-2.04E-4</v>
      </c>
      <c r="X235" s="27">
        <v>3</v>
      </c>
      <c r="Y235" s="38">
        <v>-2.02E-4</v>
      </c>
      <c r="Z235" s="27" t="s">
        <v>65</v>
      </c>
    </row>
    <row r="236" spans="2:26" x14ac:dyDescent="0.2">
      <c r="B236" s="27" t="s">
        <v>330</v>
      </c>
      <c r="C236" s="27">
        <v>9</v>
      </c>
      <c r="D236" s="27" t="s">
        <v>132</v>
      </c>
      <c r="E236" s="27" t="s">
        <v>106</v>
      </c>
      <c r="F236" s="27" t="s">
        <v>371</v>
      </c>
      <c r="G236" s="27" t="s">
        <v>63</v>
      </c>
      <c r="H236" s="27">
        <v>60</v>
      </c>
      <c r="I236" s="27">
        <v>14</v>
      </c>
      <c r="J236" s="37">
        <v>-7.7099999999999998E-4</v>
      </c>
      <c r="K236" s="27">
        <v>6</v>
      </c>
      <c r="L236" s="38">
        <v>8.2100000000000001E-4</v>
      </c>
      <c r="M236" s="27" t="s">
        <v>65</v>
      </c>
      <c r="O236" s="27" t="s">
        <v>330</v>
      </c>
      <c r="P236" s="27">
        <v>9</v>
      </c>
      <c r="Q236" s="27" t="s">
        <v>132</v>
      </c>
      <c r="R236" s="27" t="s">
        <v>379</v>
      </c>
      <c r="S236" s="27" t="s">
        <v>371</v>
      </c>
      <c r="T236" s="27" t="s">
        <v>63</v>
      </c>
      <c r="U236" s="27">
        <v>10</v>
      </c>
      <c r="V236" s="27">
        <v>14</v>
      </c>
      <c r="W236" s="37">
        <v>-7.7200000000000001E-4</v>
      </c>
      <c r="X236" s="27">
        <v>6</v>
      </c>
      <c r="Y236" s="38">
        <v>8.2200000000000003E-4</v>
      </c>
      <c r="Z236" s="27" t="s">
        <v>65</v>
      </c>
    </row>
    <row r="237" spans="2:26" x14ac:dyDescent="0.2">
      <c r="B237" s="27" t="s">
        <v>330</v>
      </c>
      <c r="C237" s="27">
        <v>9</v>
      </c>
      <c r="D237" s="27" t="s">
        <v>132</v>
      </c>
      <c r="E237" s="27" t="s">
        <v>106</v>
      </c>
      <c r="F237" s="27" t="s">
        <v>372</v>
      </c>
      <c r="G237" s="27" t="s">
        <v>64</v>
      </c>
      <c r="H237" s="27">
        <v>60</v>
      </c>
      <c r="I237" s="27">
        <v>12</v>
      </c>
      <c r="J237" s="37">
        <v>-3.7599999999999998E-4</v>
      </c>
      <c r="K237" s="27">
        <v>4</v>
      </c>
      <c r="L237" s="38">
        <v>-3.6299999999999999E-4</v>
      </c>
      <c r="M237" s="27" t="s">
        <v>65</v>
      </c>
      <c r="O237" s="27" t="s">
        <v>330</v>
      </c>
      <c r="P237" s="27">
        <v>9</v>
      </c>
      <c r="Q237" s="27" t="s">
        <v>132</v>
      </c>
      <c r="R237" s="27" t="s">
        <v>379</v>
      </c>
      <c r="S237" s="27" t="s">
        <v>372</v>
      </c>
      <c r="T237" s="27" t="s">
        <v>64</v>
      </c>
      <c r="U237" s="27">
        <v>10</v>
      </c>
      <c r="V237" s="27">
        <v>12</v>
      </c>
      <c r="W237" s="37">
        <v>-3.7599999999999998E-4</v>
      </c>
      <c r="X237" s="27">
        <v>4</v>
      </c>
      <c r="Y237" s="38">
        <v>-3.6299999999999999E-4</v>
      </c>
      <c r="Z237" s="27" t="s">
        <v>65</v>
      </c>
    </row>
    <row r="238" spans="2:26" x14ac:dyDescent="0.2">
      <c r="B238" s="27" t="s">
        <v>330</v>
      </c>
      <c r="C238" s="27">
        <v>10</v>
      </c>
      <c r="D238" s="27" t="s">
        <v>132</v>
      </c>
      <c r="E238" s="27" t="s">
        <v>106</v>
      </c>
      <c r="F238" s="27" t="s">
        <v>373</v>
      </c>
      <c r="G238" s="27" t="s">
        <v>63</v>
      </c>
      <c r="H238" s="27">
        <v>60</v>
      </c>
      <c r="I238" s="27">
        <v>14</v>
      </c>
      <c r="J238" s="37">
        <v>-7.6999999999999996E-4</v>
      </c>
      <c r="K238" s="27">
        <v>6</v>
      </c>
      <c r="L238" s="38">
        <v>8.2700000000000004E-4</v>
      </c>
      <c r="M238" s="27" t="s">
        <v>65</v>
      </c>
      <c r="O238" s="27" t="s">
        <v>330</v>
      </c>
      <c r="P238" s="27">
        <v>10</v>
      </c>
      <c r="Q238" s="27" t="s">
        <v>132</v>
      </c>
      <c r="R238" s="27" t="s">
        <v>379</v>
      </c>
      <c r="S238" s="27" t="s">
        <v>373</v>
      </c>
      <c r="T238" s="27" t="s">
        <v>63</v>
      </c>
      <c r="U238" s="27">
        <v>10</v>
      </c>
      <c r="V238" s="27">
        <v>14</v>
      </c>
      <c r="W238" s="37">
        <v>-7.6999999999999996E-4</v>
      </c>
      <c r="X238" s="27">
        <v>6</v>
      </c>
      <c r="Y238" s="38">
        <v>8.2700000000000004E-4</v>
      </c>
      <c r="Z238" s="27" t="s">
        <v>65</v>
      </c>
    </row>
    <row r="239" spans="2:26" x14ac:dyDescent="0.2">
      <c r="B239" s="27" t="s">
        <v>330</v>
      </c>
      <c r="C239" s="27">
        <v>10</v>
      </c>
      <c r="D239" s="27" t="s">
        <v>132</v>
      </c>
      <c r="E239" s="27" t="s">
        <v>106</v>
      </c>
      <c r="F239" s="27" t="s">
        <v>374</v>
      </c>
      <c r="G239" s="27" t="s">
        <v>64</v>
      </c>
      <c r="H239" s="27">
        <v>60</v>
      </c>
      <c r="I239" s="27">
        <v>12</v>
      </c>
      <c r="J239" s="37">
        <v>-3.7399999999999998E-4</v>
      </c>
      <c r="K239" s="27">
        <v>4</v>
      </c>
      <c r="L239" s="38">
        <v>-3.6099999999999999E-4</v>
      </c>
      <c r="M239" s="27" t="s">
        <v>65</v>
      </c>
      <c r="O239" s="27" t="s">
        <v>330</v>
      </c>
      <c r="P239" s="27">
        <v>10</v>
      </c>
      <c r="Q239" s="27" t="s">
        <v>132</v>
      </c>
      <c r="R239" s="27" t="s">
        <v>379</v>
      </c>
      <c r="S239" s="27" t="s">
        <v>374</v>
      </c>
      <c r="T239" s="27" t="s">
        <v>64</v>
      </c>
      <c r="U239" s="27">
        <v>10</v>
      </c>
      <c r="V239" s="27">
        <v>12</v>
      </c>
      <c r="W239" s="37">
        <v>-3.7399999999999998E-4</v>
      </c>
      <c r="X239" s="27">
        <v>4</v>
      </c>
      <c r="Y239" s="38">
        <v>-3.6099999999999999E-4</v>
      </c>
      <c r="Z239" s="27" t="s">
        <v>65</v>
      </c>
    </row>
    <row r="240" spans="2:26" x14ac:dyDescent="0.2">
      <c r="B240" s="27" t="s">
        <v>330</v>
      </c>
      <c r="C240" s="27">
        <v>14</v>
      </c>
      <c r="D240" s="27" t="s">
        <v>131</v>
      </c>
      <c r="E240" s="27" t="s">
        <v>106</v>
      </c>
      <c r="F240" s="27" t="s">
        <v>375</v>
      </c>
      <c r="G240" s="27" t="s">
        <v>63</v>
      </c>
      <c r="H240" s="27">
        <v>60</v>
      </c>
      <c r="I240" s="27">
        <v>14</v>
      </c>
      <c r="J240" s="37">
        <v>-4.2999999999999999E-4</v>
      </c>
      <c r="K240" s="27">
        <v>1</v>
      </c>
      <c r="L240" s="38">
        <v>-3.8699999999999997E-4</v>
      </c>
      <c r="M240" s="27" t="s">
        <v>65</v>
      </c>
      <c r="O240" s="27" t="s">
        <v>330</v>
      </c>
      <c r="P240" s="27">
        <v>14</v>
      </c>
      <c r="Q240" s="27" t="s">
        <v>131</v>
      </c>
      <c r="R240" s="27" t="s">
        <v>379</v>
      </c>
      <c r="S240" s="27" t="s">
        <v>375</v>
      </c>
      <c r="T240" s="27" t="s">
        <v>63</v>
      </c>
      <c r="U240" s="27">
        <v>10</v>
      </c>
      <c r="V240" s="27">
        <v>14</v>
      </c>
      <c r="W240" s="37">
        <v>-4.3100000000000001E-4</v>
      </c>
      <c r="X240" s="27">
        <v>1</v>
      </c>
      <c r="Y240" s="38">
        <v>-3.8699999999999997E-4</v>
      </c>
      <c r="Z240" s="27" t="s">
        <v>65</v>
      </c>
    </row>
    <row r="241" spans="2:26" x14ac:dyDescent="0.2">
      <c r="B241" s="27" t="s">
        <v>330</v>
      </c>
      <c r="C241" s="27">
        <v>14</v>
      </c>
      <c r="D241" s="27" t="s">
        <v>131</v>
      </c>
      <c r="E241" s="27" t="s">
        <v>106</v>
      </c>
      <c r="F241" s="27" t="s">
        <v>376</v>
      </c>
      <c r="G241" s="27" t="s">
        <v>64</v>
      </c>
      <c r="H241" s="27">
        <v>60</v>
      </c>
      <c r="I241" s="27">
        <v>12</v>
      </c>
      <c r="J241" s="37">
        <v>-1.93E-4</v>
      </c>
      <c r="K241" s="27">
        <v>3</v>
      </c>
      <c r="L241" s="38">
        <v>-1.92E-4</v>
      </c>
      <c r="M241" s="27" t="s">
        <v>65</v>
      </c>
      <c r="O241" s="27" t="s">
        <v>330</v>
      </c>
      <c r="P241" s="27">
        <v>14</v>
      </c>
      <c r="Q241" s="27" t="s">
        <v>131</v>
      </c>
      <c r="R241" s="27" t="s">
        <v>379</v>
      </c>
      <c r="S241" s="27" t="s">
        <v>376</v>
      </c>
      <c r="T241" s="27" t="s">
        <v>64</v>
      </c>
      <c r="U241" s="27">
        <v>10</v>
      </c>
      <c r="V241" s="27">
        <v>12</v>
      </c>
      <c r="W241" s="37">
        <v>-1.93E-4</v>
      </c>
      <c r="X241" s="27">
        <v>3</v>
      </c>
      <c r="Y241" s="38">
        <v>-1.92E-4</v>
      </c>
      <c r="Z241" s="27" t="s">
        <v>65</v>
      </c>
    </row>
    <row r="242" spans="2:26" x14ac:dyDescent="0.2">
      <c r="B242" s="27" t="s">
        <v>330</v>
      </c>
      <c r="C242" s="27">
        <v>2</v>
      </c>
      <c r="D242" s="27" t="s">
        <v>130</v>
      </c>
      <c r="E242" s="27" t="s">
        <v>106</v>
      </c>
      <c r="F242" s="27" t="s">
        <v>377</v>
      </c>
      <c r="G242" s="27" t="s">
        <v>63</v>
      </c>
      <c r="H242" s="27">
        <v>60</v>
      </c>
      <c r="I242" s="27">
        <v>12</v>
      </c>
      <c r="J242" s="37">
        <v>-4.4999999999999999E-4</v>
      </c>
      <c r="K242" s="27">
        <v>1</v>
      </c>
      <c r="L242" s="38">
        <v>-4.0499999999999998E-4</v>
      </c>
      <c r="M242" s="27" t="s">
        <v>65</v>
      </c>
      <c r="O242" s="27" t="s">
        <v>330</v>
      </c>
      <c r="P242" s="27">
        <v>2</v>
      </c>
      <c r="Q242" s="27" t="s">
        <v>130</v>
      </c>
      <c r="R242" s="27" t="s">
        <v>379</v>
      </c>
      <c r="S242" s="27" t="s">
        <v>377</v>
      </c>
      <c r="T242" s="27" t="s">
        <v>63</v>
      </c>
      <c r="U242" s="27">
        <v>10</v>
      </c>
      <c r="V242" s="27">
        <v>12</v>
      </c>
      <c r="W242" s="37">
        <v>-4.5100000000000001E-4</v>
      </c>
      <c r="X242" s="27">
        <v>1</v>
      </c>
      <c r="Y242" s="38">
        <v>-4.06E-4</v>
      </c>
      <c r="Z242" s="27" t="s">
        <v>65</v>
      </c>
    </row>
    <row r="243" spans="2:26" x14ac:dyDescent="0.2">
      <c r="B243" s="27" t="s">
        <v>330</v>
      </c>
      <c r="C243" s="27">
        <v>2</v>
      </c>
      <c r="D243" s="27" t="s">
        <v>130</v>
      </c>
      <c r="E243" s="27" t="s">
        <v>106</v>
      </c>
      <c r="F243" s="27" t="s">
        <v>378</v>
      </c>
      <c r="G243" s="27" t="s">
        <v>64</v>
      </c>
      <c r="H243" s="27">
        <v>60</v>
      </c>
      <c r="I243" s="27">
        <v>10</v>
      </c>
      <c r="J243" s="37">
        <v>-3.39E-4</v>
      </c>
      <c r="K243" s="27">
        <v>3</v>
      </c>
      <c r="L243" s="38">
        <v>-3.1E-4</v>
      </c>
      <c r="M243" s="27" t="s">
        <v>65</v>
      </c>
      <c r="O243" s="27" t="s">
        <v>330</v>
      </c>
      <c r="P243" s="27">
        <v>2</v>
      </c>
      <c r="Q243" s="27" t="s">
        <v>130</v>
      </c>
      <c r="R243" s="27" t="s">
        <v>379</v>
      </c>
      <c r="S243" s="27" t="s">
        <v>378</v>
      </c>
      <c r="T243" s="27" t="s">
        <v>64</v>
      </c>
      <c r="U243" s="27">
        <v>10</v>
      </c>
      <c r="V243" s="27">
        <v>10</v>
      </c>
      <c r="W243" s="37">
        <v>-3.39E-4</v>
      </c>
      <c r="X243" s="27">
        <v>3</v>
      </c>
      <c r="Y243" s="38">
        <v>-3.1E-4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6.5703125" style="40" bestFit="1" customWidth="1"/>
    <col min="3" max="3" width="10" style="40" bestFit="1" customWidth="1"/>
    <col min="4" max="4" width="13.7109375" style="40" bestFit="1" customWidth="1"/>
    <col min="5" max="5" width="12" style="40" bestFit="1" customWidth="1"/>
    <col min="6" max="6" width="10.28515625" style="40" bestFit="1" customWidth="1"/>
    <col min="7" max="7" width="13.85546875" style="40" bestFit="1" customWidth="1"/>
    <col min="8" max="8" width="11.5703125" style="40" bestFit="1" customWidth="1"/>
    <col min="9" max="9" width="5.5703125" style="40" bestFit="1" customWidth="1"/>
    <col min="10" max="10" width="22.7109375" style="40" bestFit="1" customWidth="1"/>
    <col min="11" max="11" width="5.5703125" style="40" bestFit="1" customWidth="1"/>
    <col min="12" max="12" width="22.7109375" style="40" bestFit="1" customWidth="1"/>
    <col min="13" max="13" width="12.7109375" style="40" bestFit="1" customWidth="1"/>
    <col min="14" max="14" width="6.7109375" style="11" customWidth="1"/>
    <col min="15" max="15" width="6.5703125" style="40" bestFit="1" customWidth="1"/>
    <col min="16" max="16" width="10" style="40" bestFit="1" customWidth="1"/>
    <col min="17" max="17" width="13.7109375" style="40" bestFit="1" customWidth="1"/>
    <col min="18" max="18" width="21.42578125" style="40" bestFit="1" customWidth="1"/>
    <col min="19" max="19" width="10.28515625" style="40" bestFit="1" customWidth="1"/>
    <col min="20" max="20" width="13.85546875" style="40" bestFit="1" customWidth="1"/>
    <col min="21" max="21" width="11.5703125" style="40" bestFit="1" customWidth="1"/>
    <col min="22" max="22" width="5.5703125" style="40" bestFit="1" customWidth="1"/>
    <col min="23" max="23" width="22.7109375" style="40" bestFit="1" customWidth="1"/>
    <col min="24" max="24" width="5.5703125" style="40" bestFit="1" customWidth="1"/>
    <col min="25" max="25" width="22.7109375" style="40" bestFit="1" customWidth="1"/>
    <col min="26" max="26" width="12.7109375" style="40" bestFit="1" customWidth="1"/>
    <col min="27" max="16384" width="9.140625" style="11"/>
  </cols>
  <sheetData>
    <row r="1" spans="2:26" ht="14.45" customHeight="1" x14ac:dyDescent="0.2">
      <c r="B1" s="60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60" t="s">
        <v>103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2:26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60" t="s">
        <v>37</v>
      </c>
      <c r="P2" s="60" t="s">
        <v>39</v>
      </c>
      <c r="Q2" s="60" t="s">
        <v>38</v>
      </c>
      <c r="R2" s="60" t="s">
        <v>60</v>
      </c>
      <c r="S2" s="60" t="s">
        <v>46</v>
      </c>
      <c r="T2" s="60" t="s">
        <v>45</v>
      </c>
      <c r="U2" s="60" t="s">
        <v>61</v>
      </c>
      <c r="V2" s="60" t="s">
        <v>42</v>
      </c>
      <c r="W2" s="60"/>
      <c r="X2" s="60" t="s">
        <v>43</v>
      </c>
      <c r="Y2" s="60"/>
      <c r="Z2" s="60" t="s">
        <v>47</v>
      </c>
    </row>
    <row r="3" spans="2:26" ht="26.45" customHeight="1" x14ac:dyDescent="0.2">
      <c r="B3" s="60"/>
      <c r="C3" s="60"/>
      <c r="D3" s="60"/>
      <c r="E3" s="60"/>
      <c r="F3" s="60"/>
      <c r="G3" s="60"/>
      <c r="H3" s="60"/>
      <c r="I3" s="22" t="s">
        <v>40</v>
      </c>
      <c r="J3" s="22" t="s">
        <v>948</v>
      </c>
      <c r="K3" s="22" t="s">
        <v>40</v>
      </c>
      <c r="L3" s="22" t="s">
        <v>949</v>
      </c>
      <c r="M3" s="60"/>
      <c r="O3" s="60"/>
      <c r="P3" s="60"/>
      <c r="Q3" s="60"/>
      <c r="R3" s="60"/>
      <c r="S3" s="60"/>
      <c r="T3" s="60"/>
      <c r="U3" s="60"/>
      <c r="V3" s="22" t="s">
        <v>40</v>
      </c>
      <c r="W3" s="22" t="s">
        <v>948</v>
      </c>
      <c r="X3" s="22" t="s">
        <v>40</v>
      </c>
      <c r="Y3" s="22" t="s">
        <v>949</v>
      </c>
      <c r="Z3" s="60"/>
    </row>
    <row r="4" spans="2:26" x14ac:dyDescent="0.2">
      <c r="B4" s="27" t="s">
        <v>134</v>
      </c>
      <c r="C4" s="27">
        <v>189</v>
      </c>
      <c r="D4" s="27" t="s">
        <v>127</v>
      </c>
      <c r="E4" s="27" t="s">
        <v>107</v>
      </c>
      <c r="F4" s="27" t="s">
        <v>135</v>
      </c>
      <c r="G4" s="27" t="s">
        <v>63</v>
      </c>
      <c r="H4" s="27">
        <v>60</v>
      </c>
      <c r="I4" s="27">
        <v>14</v>
      </c>
      <c r="J4" s="37">
        <v>-5.7700000000000004E-4</v>
      </c>
      <c r="K4" s="27">
        <v>3</v>
      </c>
      <c r="L4" s="38">
        <v>6.78E-4</v>
      </c>
      <c r="M4" s="27" t="s">
        <v>65</v>
      </c>
      <c r="O4" s="27" t="s">
        <v>134</v>
      </c>
      <c r="P4" s="27">
        <v>189</v>
      </c>
      <c r="Q4" s="27" t="s">
        <v>127</v>
      </c>
      <c r="R4" s="27" t="s">
        <v>380</v>
      </c>
      <c r="S4" s="27" t="s">
        <v>135</v>
      </c>
      <c r="T4" s="27" t="s">
        <v>63</v>
      </c>
      <c r="U4" s="27">
        <v>10</v>
      </c>
      <c r="V4" s="27">
        <v>14</v>
      </c>
      <c r="W4" s="37">
        <v>-5.7700000000000004E-4</v>
      </c>
      <c r="X4" s="27">
        <v>3</v>
      </c>
      <c r="Y4" s="38">
        <v>6.7900000000000002E-4</v>
      </c>
      <c r="Z4" s="27" t="s">
        <v>65</v>
      </c>
    </row>
    <row r="5" spans="2:26" x14ac:dyDescent="0.2">
      <c r="B5" s="27" t="s">
        <v>134</v>
      </c>
      <c r="C5" s="27">
        <v>189</v>
      </c>
      <c r="D5" s="27" t="s">
        <v>127</v>
      </c>
      <c r="E5" s="27" t="s">
        <v>107</v>
      </c>
      <c r="F5" s="27" t="s">
        <v>136</v>
      </c>
      <c r="G5" s="27" t="s">
        <v>64</v>
      </c>
      <c r="H5" s="27">
        <v>60</v>
      </c>
      <c r="I5" s="27">
        <v>11</v>
      </c>
      <c r="J5" s="37">
        <v>-5.2300000000000003E-4</v>
      </c>
      <c r="K5" s="27">
        <v>4</v>
      </c>
      <c r="L5" s="38">
        <v>5.9299999999999999E-4</v>
      </c>
      <c r="M5" s="27" t="s">
        <v>65</v>
      </c>
      <c r="O5" s="27" t="s">
        <v>134</v>
      </c>
      <c r="P5" s="27">
        <v>189</v>
      </c>
      <c r="Q5" s="27" t="s">
        <v>127</v>
      </c>
      <c r="R5" s="27" t="s">
        <v>380</v>
      </c>
      <c r="S5" s="27" t="s">
        <v>136</v>
      </c>
      <c r="T5" s="27" t="s">
        <v>64</v>
      </c>
      <c r="U5" s="27">
        <v>10</v>
      </c>
      <c r="V5" s="27">
        <v>11</v>
      </c>
      <c r="W5" s="37">
        <v>-5.2400000000000005E-4</v>
      </c>
      <c r="X5" s="27">
        <v>4</v>
      </c>
      <c r="Y5" s="38">
        <v>5.9400000000000002E-4</v>
      </c>
      <c r="Z5" s="27" t="s">
        <v>65</v>
      </c>
    </row>
    <row r="6" spans="2:26" x14ac:dyDescent="0.2">
      <c r="B6" s="27" t="s">
        <v>134</v>
      </c>
      <c r="C6" s="27">
        <v>201</v>
      </c>
      <c r="D6" s="27" t="s">
        <v>128</v>
      </c>
      <c r="E6" s="27" t="s">
        <v>107</v>
      </c>
      <c r="F6" s="27" t="s">
        <v>137</v>
      </c>
      <c r="G6" s="27" t="s">
        <v>63</v>
      </c>
      <c r="H6" s="27">
        <v>60</v>
      </c>
      <c r="I6" s="27">
        <v>15</v>
      </c>
      <c r="J6" s="37">
        <v>-6.3999999999999997E-5</v>
      </c>
      <c r="K6" s="27">
        <v>6</v>
      </c>
      <c r="L6" s="38">
        <v>-6.3E-5</v>
      </c>
      <c r="M6" s="27" t="s">
        <v>65</v>
      </c>
      <c r="O6" s="27" t="s">
        <v>134</v>
      </c>
      <c r="P6" s="27">
        <v>201</v>
      </c>
      <c r="Q6" s="27" t="s">
        <v>128</v>
      </c>
      <c r="R6" s="27" t="s">
        <v>380</v>
      </c>
      <c r="S6" s="27" t="s">
        <v>137</v>
      </c>
      <c r="T6" s="27" t="s">
        <v>63</v>
      </c>
      <c r="U6" s="27">
        <v>10</v>
      </c>
      <c r="V6" s="27">
        <v>15</v>
      </c>
      <c r="W6" s="37">
        <v>-6.3999999999999997E-5</v>
      </c>
      <c r="X6" s="27">
        <v>6</v>
      </c>
      <c r="Y6" s="38">
        <v>-6.3E-5</v>
      </c>
      <c r="Z6" s="27" t="s">
        <v>65</v>
      </c>
    </row>
    <row r="7" spans="2:26" x14ac:dyDescent="0.2">
      <c r="B7" s="27" t="s">
        <v>134</v>
      </c>
      <c r="C7" s="27">
        <v>201</v>
      </c>
      <c r="D7" s="27" t="s">
        <v>128</v>
      </c>
      <c r="E7" s="27" t="s">
        <v>107</v>
      </c>
      <c r="F7" s="27" t="s">
        <v>138</v>
      </c>
      <c r="G7" s="27" t="s">
        <v>64</v>
      </c>
      <c r="H7" s="27">
        <v>60</v>
      </c>
      <c r="I7" s="27">
        <v>22</v>
      </c>
      <c r="J7" s="37">
        <v>-1.7000000000000001E-4</v>
      </c>
      <c r="K7" s="27">
        <v>1</v>
      </c>
      <c r="L7" s="38">
        <v>-1.6899999999999999E-4</v>
      </c>
      <c r="M7" s="27" t="s">
        <v>65</v>
      </c>
      <c r="O7" s="27" t="s">
        <v>134</v>
      </c>
      <c r="P7" s="27">
        <v>201</v>
      </c>
      <c r="Q7" s="27" t="s">
        <v>128</v>
      </c>
      <c r="R7" s="27" t="s">
        <v>380</v>
      </c>
      <c r="S7" s="27" t="s">
        <v>138</v>
      </c>
      <c r="T7" s="27" t="s">
        <v>64</v>
      </c>
      <c r="U7" s="27">
        <v>10</v>
      </c>
      <c r="V7" s="27">
        <v>22</v>
      </c>
      <c r="W7" s="37">
        <v>-1.7000000000000001E-4</v>
      </c>
      <c r="X7" s="27">
        <v>1</v>
      </c>
      <c r="Y7" s="38">
        <v>-1.6899999999999999E-4</v>
      </c>
      <c r="Z7" s="27" t="s">
        <v>65</v>
      </c>
    </row>
    <row r="8" spans="2:26" x14ac:dyDescent="0.2">
      <c r="B8" s="27" t="s">
        <v>134</v>
      </c>
      <c r="C8" s="27">
        <v>197</v>
      </c>
      <c r="D8" s="27" t="s">
        <v>129</v>
      </c>
      <c r="E8" s="27" t="s">
        <v>107</v>
      </c>
      <c r="F8" s="27" t="s">
        <v>139</v>
      </c>
      <c r="G8" s="27" t="s">
        <v>63</v>
      </c>
      <c r="H8" s="27">
        <v>60</v>
      </c>
      <c r="I8" s="27">
        <v>18</v>
      </c>
      <c r="J8" s="37">
        <v>-2.12E-4</v>
      </c>
      <c r="K8" s="27">
        <v>7</v>
      </c>
      <c r="L8" s="38">
        <v>-1.76E-4</v>
      </c>
      <c r="M8" s="27" t="s">
        <v>65</v>
      </c>
      <c r="O8" s="27" t="s">
        <v>134</v>
      </c>
      <c r="P8" s="27">
        <v>197</v>
      </c>
      <c r="Q8" s="27" t="s">
        <v>129</v>
      </c>
      <c r="R8" s="27" t="s">
        <v>380</v>
      </c>
      <c r="S8" s="27" t="s">
        <v>139</v>
      </c>
      <c r="T8" s="27" t="s">
        <v>63</v>
      </c>
      <c r="U8" s="27">
        <v>10</v>
      </c>
      <c r="V8" s="27">
        <v>18</v>
      </c>
      <c r="W8" s="37">
        <v>-2.12E-4</v>
      </c>
      <c r="X8" s="27">
        <v>7</v>
      </c>
      <c r="Y8" s="38">
        <v>-1.75E-4</v>
      </c>
      <c r="Z8" s="27" t="s">
        <v>65</v>
      </c>
    </row>
    <row r="9" spans="2:26" x14ac:dyDescent="0.2">
      <c r="B9" s="27" t="s">
        <v>134</v>
      </c>
      <c r="C9" s="27">
        <v>197</v>
      </c>
      <c r="D9" s="27" t="s">
        <v>129</v>
      </c>
      <c r="E9" s="27" t="s">
        <v>107</v>
      </c>
      <c r="F9" s="27" t="s">
        <v>140</v>
      </c>
      <c r="G9" s="27" t="s">
        <v>64</v>
      </c>
      <c r="H9" s="27">
        <v>60</v>
      </c>
      <c r="I9" s="27">
        <v>17</v>
      </c>
      <c r="J9" s="37">
        <v>-2.72E-4</v>
      </c>
      <c r="K9" s="27">
        <v>7</v>
      </c>
      <c r="L9" s="38">
        <v>2.6699999999999998E-4</v>
      </c>
      <c r="M9" s="27" t="s">
        <v>65</v>
      </c>
      <c r="O9" s="27" t="s">
        <v>134</v>
      </c>
      <c r="P9" s="27">
        <v>197</v>
      </c>
      <c r="Q9" s="27" t="s">
        <v>129</v>
      </c>
      <c r="R9" s="27" t="s">
        <v>380</v>
      </c>
      <c r="S9" s="27" t="s">
        <v>140</v>
      </c>
      <c r="T9" s="27" t="s">
        <v>64</v>
      </c>
      <c r="U9" s="27">
        <v>10</v>
      </c>
      <c r="V9" s="27">
        <v>17</v>
      </c>
      <c r="W9" s="37">
        <v>-2.72E-4</v>
      </c>
      <c r="X9" s="27">
        <v>7</v>
      </c>
      <c r="Y9" s="38">
        <v>2.6600000000000001E-4</v>
      </c>
      <c r="Z9" s="27" t="s">
        <v>65</v>
      </c>
    </row>
    <row r="10" spans="2:26" x14ac:dyDescent="0.2">
      <c r="B10" s="27" t="s">
        <v>134</v>
      </c>
      <c r="C10" s="27">
        <v>198</v>
      </c>
      <c r="D10" s="27" t="s">
        <v>129</v>
      </c>
      <c r="E10" s="27" t="s">
        <v>107</v>
      </c>
      <c r="F10" s="27" t="s">
        <v>141</v>
      </c>
      <c r="G10" s="27" t="s">
        <v>63</v>
      </c>
      <c r="H10" s="27">
        <v>60</v>
      </c>
      <c r="I10" s="27">
        <v>15</v>
      </c>
      <c r="J10" s="37">
        <v>-2.13E-4</v>
      </c>
      <c r="K10" s="27">
        <v>11</v>
      </c>
      <c r="L10" s="38">
        <v>-1.76E-4</v>
      </c>
      <c r="M10" s="27" t="s">
        <v>65</v>
      </c>
      <c r="O10" s="27" t="s">
        <v>134</v>
      </c>
      <c r="P10" s="27">
        <v>198</v>
      </c>
      <c r="Q10" s="27" t="s">
        <v>129</v>
      </c>
      <c r="R10" s="27" t="s">
        <v>380</v>
      </c>
      <c r="S10" s="27" t="s">
        <v>141</v>
      </c>
      <c r="T10" s="27" t="s">
        <v>63</v>
      </c>
      <c r="U10" s="27">
        <v>10</v>
      </c>
      <c r="V10" s="27">
        <v>15</v>
      </c>
      <c r="W10" s="37">
        <v>-2.13E-4</v>
      </c>
      <c r="X10" s="27">
        <v>11</v>
      </c>
      <c r="Y10" s="38">
        <v>-1.76E-4</v>
      </c>
      <c r="Z10" s="27" t="s">
        <v>65</v>
      </c>
    </row>
    <row r="11" spans="2:26" x14ac:dyDescent="0.2">
      <c r="B11" s="27" t="s">
        <v>134</v>
      </c>
      <c r="C11" s="27">
        <v>198</v>
      </c>
      <c r="D11" s="27" t="s">
        <v>129</v>
      </c>
      <c r="E11" s="27" t="s">
        <v>107</v>
      </c>
      <c r="F11" s="27" t="s">
        <v>142</v>
      </c>
      <c r="G11" s="27" t="s">
        <v>64</v>
      </c>
      <c r="H11" s="27">
        <v>60</v>
      </c>
      <c r="I11" s="27">
        <v>22</v>
      </c>
      <c r="J11" s="37">
        <v>-2.72E-4</v>
      </c>
      <c r="K11" s="27">
        <v>11</v>
      </c>
      <c r="L11" s="38">
        <v>2.6499999999999999E-4</v>
      </c>
      <c r="M11" s="27" t="s">
        <v>65</v>
      </c>
      <c r="O11" s="27" t="s">
        <v>134</v>
      </c>
      <c r="P11" s="27">
        <v>198</v>
      </c>
      <c r="Q11" s="27" t="s">
        <v>129</v>
      </c>
      <c r="R11" s="27" t="s">
        <v>380</v>
      </c>
      <c r="S11" s="27" t="s">
        <v>142</v>
      </c>
      <c r="T11" s="27" t="s">
        <v>64</v>
      </c>
      <c r="U11" s="27">
        <v>10</v>
      </c>
      <c r="V11" s="27">
        <v>22</v>
      </c>
      <c r="W11" s="37">
        <v>-2.7099999999999997E-4</v>
      </c>
      <c r="X11" s="27">
        <v>10</v>
      </c>
      <c r="Y11" s="38">
        <v>2.6400000000000002E-4</v>
      </c>
      <c r="Z11" s="27" t="s">
        <v>65</v>
      </c>
    </row>
    <row r="12" spans="2:26" x14ac:dyDescent="0.2">
      <c r="B12" s="27" t="s">
        <v>134</v>
      </c>
      <c r="C12" s="27">
        <v>202</v>
      </c>
      <c r="D12" s="27" t="s">
        <v>128</v>
      </c>
      <c r="E12" s="27" t="s">
        <v>107</v>
      </c>
      <c r="F12" s="27" t="s">
        <v>143</v>
      </c>
      <c r="G12" s="27" t="s">
        <v>63</v>
      </c>
      <c r="H12" s="27">
        <v>60</v>
      </c>
      <c r="I12" s="27">
        <v>20</v>
      </c>
      <c r="J12" s="37">
        <v>-6.6000000000000005E-5</v>
      </c>
      <c r="K12" s="27">
        <v>4</v>
      </c>
      <c r="L12" s="38">
        <v>-6.4999999999999994E-5</v>
      </c>
      <c r="M12" s="27" t="s">
        <v>65</v>
      </c>
      <c r="O12" s="27" t="s">
        <v>134</v>
      </c>
      <c r="P12" s="27">
        <v>202</v>
      </c>
      <c r="Q12" s="27" t="s">
        <v>128</v>
      </c>
      <c r="R12" s="27" t="s">
        <v>380</v>
      </c>
      <c r="S12" s="27" t="s">
        <v>143</v>
      </c>
      <c r="T12" s="27" t="s">
        <v>63</v>
      </c>
      <c r="U12" s="27">
        <v>10</v>
      </c>
      <c r="V12" s="27">
        <v>20</v>
      </c>
      <c r="W12" s="37">
        <v>-6.6000000000000005E-5</v>
      </c>
      <c r="X12" s="27">
        <v>4</v>
      </c>
      <c r="Y12" s="38">
        <v>-6.4999999999999994E-5</v>
      </c>
      <c r="Z12" s="27" t="s">
        <v>65</v>
      </c>
    </row>
    <row r="13" spans="2:26" x14ac:dyDescent="0.2">
      <c r="B13" s="27" t="s">
        <v>134</v>
      </c>
      <c r="C13" s="27">
        <v>202</v>
      </c>
      <c r="D13" s="27" t="s">
        <v>128</v>
      </c>
      <c r="E13" s="27" t="s">
        <v>107</v>
      </c>
      <c r="F13" s="27" t="s">
        <v>144</v>
      </c>
      <c r="G13" s="27" t="s">
        <v>64</v>
      </c>
      <c r="H13" s="27">
        <v>60</v>
      </c>
      <c r="I13" s="27">
        <v>17</v>
      </c>
      <c r="J13" s="37">
        <v>-1.5799999999999999E-4</v>
      </c>
      <c r="K13" s="27">
        <v>3</v>
      </c>
      <c r="L13" s="38">
        <v>-1.5799999999999999E-4</v>
      </c>
      <c r="M13" s="27" t="s">
        <v>65</v>
      </c>
      <c r="O13" s="27" t="s">
        <v>134</v>
      </c>
      <c r="P13" s="27">
        <v>202</v>
      </c>
      <c r="Q13" s="27" t="s">
        <v>128</v>
      </c>
      <c r="R13" s="27" t="s">
        <v>380</v>
      </c>
      <c r="S13" s="27" t="s">
        <v>144</v>
      </c>
      <c r="T13" s="27" t="s">
        <v>64</v>
      </c>
      <c r="U13" s="27">
        <v>10</v>
      </c>
      <c r="V13" s="27">
        <v>17</v>
      </c>
      <c r="W13" s="37">
        <v>-1.5799999999999999E-4</v>
      </c>
      <c r="X13" s="27">
        <v>3</v>
      </c>
      <c r="Y13" s="38">
        <v>-1.5799999999999999E-4</v>
      </c>
      <c r="Z13" s="27" t="s">
        <v>65</v>
      </c>
    </row>
    <row r="14" spans="2:26" x14ac:dyDescent="0.2">
      <c r="B14" s="27" t="s">
        <v>134</v>
      </c>
      <c r="C14" s="27">
        <v>190</v>
      </c>
      <c r="D14" s="27" t="s">
        <v>127</v>
      </c>
      <c r="E14" s="27" t="s">
        <v>107</v>
      </c>
      <c r="F14" s="27" t="s">
        <v>145</v>
      </c>
      <c r="G14" s="27" t="s">
        <v>63</v>
      </c>
      <c r="H14" s="27">
        <v>60</v>
      </c>
      <c r="I14" s="27">
        <v>9</v>
      </c>
      <c r="J14" s="37">
        <v>-5.9699999999999998E-4</v>
      </c>
      <c r="K14" s="27">
        <v>1</v>
      </c>
      <c r="L14" s="38">
        <v>7.2900000000000005E-4</v>
      </c>
      <c r="M14" s="27" t="s">
        <v>65</v>
      </c>
      <c r="O14" s="27" t="s">
        <v>134</v>
      </c>
      <c r="P14" s="27">
        <v>190</v>
      </c>
      <c r="Q14" s="27" t="s">
        <v>127</v>
      </c>
      <c r="R14" s="27" t="s">
        <v>380</v>
      </c>
      <c r="S14" s="27" t="s">
        <v>145</v>
      </c>
      <c r="T14" s="27" t="s">
        <v>63</v>
      </c>
      <c r="U14" s="27">
        <v>10</v>
      </c>
      <c r="V14" s="27">
        <v>9</v>
      </c>
      <c r="W14" s="37">
        <v>-5.9599999999999996E-4</v>
      </c>
      <c r="X14" s="27">
        <v>1</v>
      </c>
      <c r="Y14" s="38">
        <v>7.2599999999999997E-4</v>
      </c>
      <c r="Z14" s="27" t="s">
        <v>65</v>
      </c>
    </row>
    <row r="15" spans="2:26" x14ac:dyDescent="0.2">
      <c r="B15" s="27" t="s">
        <v>134</v>
      </c>
      <c r="C15" s="27">
        <v>190</v>
      </c>
      <c r="D15" s="27" t="s">
        <v>127</v>
      </c>
      <c r="E15" s="27" t="s">
        <v>107</v>
      </c>
      <c r="F15" s="27" t="s">
        <v>146</v>
      </c>
      <c r="G15" s="27" t="s">
        <v>64</v>
      </c>
      <c r="H15" s="27">
        <v>60</v>
      </c>
      <c r="I15" s="27">
        <v>16</v>
      </c>
      <c r="J15" s="37">
        <v>-4.7100000000000001E-4</v>
      </c>
      <c r="K15" s="27">
        <v>6</v>
      </c>
      <c r="L15" s="38">
        <v>5.04E-4</v>
      </c>
      <c r="M15" s="27" t="s">
        <v>65</v>
      </c>
      <c r="O15" s="27" t="s">
        <v>134</v>
      </c>
      <c r="P15" s="27">
        <v>190</v>
      </c>
      <c r="Q15" s="27" t="s">
        <v>127</v>
      </c>
      <c r="R15" s="27" t="s">
        <v>380</v>
      </c>
      <c r="S15" s="27" t="s">
        <v>146</v>
      </c>
      <c r="T15" s="27" t="s">
        <v>64</v>
      </c>
      <c r="U15" s="27">
        <v>10</v>
      </c>
      <c r="V15" s="27">
        <v>16</v>
      </c>
      <c r="W15" s="37">
        <v>-4.6999999999999999E-4</v>
      </c>
      <c r="X15" s="27">
        <v>6</v>
      </c>
      <c r="Y15" s="38">
        <v>5.0100000000000003E-4</v>
      </c>
      <c r="Z15" s="27" t="s">
        <v>65</v>
      </c>
    </row>
    <row r="16" spans="2:26" x14ac:dyDescent="0.2">
      <c r="B16" s="27" t="s">
        <v>134</v>
      </c>
      <c r="C16" s="27">
        <v>206</v>
      </c>
      <c r="D16" s="27" t="s">
        <v>128</v>
      </c>
      <c r="E16" s="27" t="s">
        <v>107</v>
      </c>
      <c r="F16" s="27" t="s">
        <v>147</v>
      </c>
      <c r="G16" s="27" t="s">
        <v>63</v>
      </c>
      <c r="H16" s="27">
        <v>60</v>
      </c>
      <c r="I16" s="27">
        <v>22</v>
      </c>
      <c r="J16" s="37">
        <v>-1.5300000000000001E-4</v>
      </c>
      <c r="K16" s="27">
        <v>1</v>
      </c>
      <c r="L16" s="38">
        <v>-1.35E-4</v>
      </c>
      <c r="M16" s="27" t="s">
        <v>65</v>
      </c>
      <c r="O16" s="27" t="s">
        <v>134</v>
      </c>
      <c r="P16" s="27">
        <v>206</v>
      </c>
      <c r="Q16" s="27" t="s">
        <v>128</v>
      </c>
      <c r="R16" s="27" t="s">
        <v>380</v>
      </c>
      <c r="S16" s="27" t="s">
        <v>147</v>
      </c>
      <c r="T16" s="27" t="s">
        <v>63</v>
      </c>
      <c r="U16" s="27">
        <v>10</v>
      </c>
      <c r="V16" s="27">
        <v>22</v>
      </c>
      <c r="W16" s="37">
        <v>-1.5300000000000001E-4</v>
      </c>
      <c r="X16" s="27">
        <v>1</v>
      </c>
      <c r="Y16" s="38">
        <v>-1.35E-4</v>
      </c>
      <c r="Z16" s="27" t="s">
        <v>65</v>
      </c>
    </row>
    <row r="17" spans="2:26" x14ac:dyDescent="0.2">
      <c r="B17" s="27" t="s">
        <v>134</v>
      </c>
      <c r="C17" s="27">
        <v>206</v>
      </c>
      <c r="D17" s="27" t="s">
        <v>128</v>
      </c>
      <c r="E17" s="27" t="s">
        <v>107</v>
      </c>
      <c r="F17" s="27" t="s">
        <v>148</v>
      </c>
      <c r="G17" s="27" t="s">
        <v>64</v>
      </c>
      <c r="H17" s="27">
        <v>60</v>
      </c>
      <c r="I17" s="27">
        <v>17</v>
      </c>
      <c r="J17" s="37">
        <v>-1.76E-4</v>
      </c>
      <c r="K17" s="27">
        <v>3</v>
      </c>
      <c r="L17" s="38">
        <v>-1.5799999999999999E-4</v>
      </c>
      <c r="M17" s="27" t="s">
        <v>65</v>
      </c>
      <c r="O17" s="27" t="s">
        <v>134</v>
      </c>
      <c r="P17" s="27">
        <v>206</v>
      </c>
      <c r="Q17" s="27" t="s">
        <v>128</v>
      </c>
      <c r="R17" s="27" t="s">
        <v>380</v>
      </c>
      <c r="S17" s="27" t="s">
        <v>148</v>
      </c>
      <c r="T17" s="27" t="s">
        <v>64</v>
      </c>
      <c r="U17" s="27">
        <v>10</v>
      </c>
      <c r="V17" s="27">
        <v>17</v>
      </c>
      <c r="W17" s="37">
        <v>-1.76E-4</v>
      </c>
      <c r="X17" s="27">
        <v>3</v>
      </c>
      <c r="Y17" s="38">
        <v>-1.5799999999999999E-4</v>
      </c>
      <c r="Z17" s="27" t="s">
        <v>65</v>
      </c>
    </row>
    <row r="18" spans="2:26" x14ac:dyDescent="0.2">
      <c r="B18" s="27" t="s">
        <v>134</v>
      </c>
      <c r="C18" s="27">
        <v>191</v>
      </c>
      <c r="D18" s="27" t="s">
        <v>129</v>
      </c>
      <c r="E18" s="27" t="s">
        <v>107</v>
      </c>
      <c r="F18" s="27" t="s">
        <v>149</v>
      </c>
      <c r="G18" s="27" t="s">
        <v>63</v>
      </c>
      <c r="H18" s="27">
        <v>60</v>
      </c>
      <c r="I18" s="27">
        <v>15</v>
      </c>
      <c r="J18" s="37">
        <v>-1.2300000000000001E-4</v>
      </c>
      <c r="K18" s="27">
        <v>10</v>
      </c>
      <c r="L18" s="38">
        <v>-1.07E-4</v>
      </c>
      <c r="M18" s="27" t="s">
        <v>65</v>
      </c>
      <c r="O18" s="27" t="s">
        <v>134</v>
      </c>
      <c r="P18" s="27">
        <v>191</v>
      </c>
      <c r="Q18" s="27" t="s">
        <v>129</v>
      </c>
      <c r="R18" s="27" t="s">
        <v>380</v>
      </c>
      <c r="S18" s="27" t="s">
        <v>149</v>
      </c>
      <c r="T18" s="27" t="s">
        <v>63</v>
      </c>
      <c r="U18" s="27">
        <v>10</v>
      </c>
      <c r="V18" s="27">
        <v>15</v>
      </c>
      <c r="W18" s="37">
        <v>-1.2300000000000001E-4</v>
      </c>
      <c r="X18" s="27">
        <v>11</v>
      </c>
      <c r="Y18" s="38">
        <v>-1.07E-4</v>
      </c>
      <c r="Z18" s="27" t="s">
        <v>65</v>
      </c>
    </row>
    <row r="19" spans="2:26" x14ac:dyDescent="0.2">
      <c r="B19" s="27" t="s">
        <v>134</v>
      </c>
      <c r="C19" s="27">
        <v>191</v>
      </c>
      <c r="D19" s="27" t="s">
        <v>129</v>
      </c>
      <c r="E19" s="27" t="s">
        <v>107</v>
      </c>
      <c r="F19" s="27" t="s">
        <v>150</v>
      </c>
      <c r="G19" s="27" t="s">
        <v>64</v>
      </c>
      <c r="H19" s="27">
        <v>60</v>
      </c>
      <c r="I19" s="27">
        <v>22</v>
      </c>
      <c r="J19" s="37">
        <v>-1.36E-4</v>
      </c>
      <c r="K19" s="27">
        <v>1</v>
      </c>
      <c r="L19" s="38">
        <v>-1.17E-4</v>
      </c>
      <c r="M19" s="27" t="s">
        <v>65</v>
      </c>
      <c r="O19" s="27" t="s">
        <v>134</v>
      </c>
      <c r="P19" s="27">
        <v>191</v>
      </c>
      <c r="Q19" s="27" t="s">
        <v>129</v>
      </c>
      <c r="R19" s="27" t="s">
        <v>380</v>
      </c>
      <c r="S19" s="27" t="s">
        <v>150</v>
      </c>
      <c r="T19" s="27" t="s">
        <v>64</v>
      </c>
      <c r="U19" s="27">
        <v>10</v>
      </c>
      <c r="V19" s="27">
        <v>22</v>
      </c>
      <c r="W19" s="37">
        <v>-1.36E-4</v>
      </c>
      <c r="X19" s="27">
        <v>1</v>
      </c>
      <c r="Y19" s="38">
        <v>-1.17E-4</v>
      </c>
      <c r="Z19" s="27" t="s">
        <v>65</v>
      </c>
    </row>
    <row r="20" spans="2:26" x14ac:dyDescent="0.2">
      <c r="B20" s="27" t="s">
        <v>134</v>
      </c>
      <c r="C20" s="27">
        <v>209</v>
      </c>
      <c r="D20" s="27" t="s">
        <v>128</v>
      </c>
      <c r="E20" s="27" t="s">
        <v>107</v>
      </c>
      <c r="F20" s="27" t="s">
        <v>151</v>
      </c>
      <c r="G20" s="27" t="s">
        <v>63</v>
      </c>
      <c r="H20" s="27">
        <v>60</v>
      </c>
      <c r="I20" s="27">
        <v>22</v>
      </c>
      <c r="J20" s="37">
        <v>-5.5000000000000002E-5</v>
      </c>
      <c r="K20" s="27">
        <v>1</v>
      </c>
      <c r="L20" s="38">
        <v>-5.5000000000000002E-5</v>
      </c>
      <c r="M20" s="27" t="s">
        <v>65</v>
      </c>
      <c r="O20" s="27" t="s">
        <v>134</v>
      </c>
      <c r="P20" s="27">
        <v>209</v>
      </c>
      <c r="Q20" s="27" t="s">
        <v>128</v>
      </c>
      <c r="R20" s="27" t="s">
        <v>380</v>
      </c>
      <c r="S20" s="27" t="s">
        <v>151</v>
      </c>
      <c r="T20" s="27" t="s">
        <v>63</v>
      </c>
      <c r="U20" s="27">
        <v>10</v>
      </c>
      <c r="V20" s="27">
        <v>22</v>
      </c>
      <c r="W20" s="37">
        <v>-5.5999999999999999E-5</v>
      </c>
      <c r="X20" s="27">
        <v>1</v>
      </c>
      <c r="Y20" s="38">
        <v>-5.5000000000000002E-5</v>
      </c>
      <c r="Z20" s="27" t="s">
        <v>65</v>
      </c>
    </row>
    <row r="21" spans="2:26" x14ac:dyDescent="0.2">
      <c r="B21" s="27" t="s">
        <v>134</v>
      </c>
      <c r="C21" s="27">
        <v>209</v>
      </c>
      <c r="D21" s="27" t="s">
        <v>128</v>
      </c>
      <c r="E21" s="27" t="s">
        <v>107</v>
      </c>
      <c r="F21" s="27" t="s">
        <v>152</v>
      </c>
      <c r="G21" s="27" t="s">
        <v>64</v>
      </c>
      <c r="H21" s="27">
        <v>60</v>
      </c>
      <c r="I21" s="27">
        <v>17</v>
      </c>
      <c r="J21" s="37">
        <v>-1.0900000000000001E-4</v>
      </c>
      <c r="K21" s="27">
        <v>3</v>
      </c>
      <c r="L21" s="38">
        <v>-1.1E-4</v>
      </c>
      <c r="M21" s="27" t="s">
        <v>65</v>
      </c>
      <c r="O21" s="27" t="s">
        <v>134</v>
      </c>
      <c r="P21" s="27">
        <v>209</v>
      </c>
      <c r="Q21" s="27" t="s">
        <v>128</v>
      </c>
      <c r="R21" s="27" t="s">
        <v>380</v>
      </c>
      <c r="S21" s="27" t="s">
        <v>152</v>
      </c>
      <c r="T21" s="27" t="s">
        <v>64</v>
      </c>
      <c r="U21" s="27">
        <v>10</v>
      </c>
      <c r="V21" s="27">
        <v>17</v>
      </c>
      <c r="W21" s="37">
        <v>-1.1E-4</v>
      </c>
      <c r="X21" s="27">
        <v>3</v>
      </c>
      <c r="Y21" s="38">
        <v>-1.1E-4</v>
      </c>
      <c r="Z21" s="27" t="s">
        <v>65</v>
      </c>
    </row>
    <row r="22" spans="2:26" x14ac:dyDescent="0.2">
      <c r="B22" s="27" t="s">
        <v>134</v>
      </c>
      <c r="C22" s="27">
        <v>210</v>
      </c>
      <c r="D22" s="27" t="s">
        <v>128</v>
      </c>
      <c r="E22" s="27" t="s">
        <v>107</v>
      </c>
      <c r="F22" s="27" t="s">
        <v>153</v>
      </c>
      <c r="G22" s="27" t="s">
        <v>63</v>
      </c>
      <c r="H22" s="27">
        <v>60</v>
      </c>
      <c r="I22" s="27">
        <v>17</v>
      </c>
      <c r="J22" s="37">
        <v>-5.5999999999999999E-5</v>
      </c>
      <c r="K22" s="27">
        <v>3</v>
      </c>
      <c r="L22" s="38">
        <v>-5.5000000000000002E-5</v>
      </c>
      <c r="M22" s="27" t="s">
        <v>65</v>
      </c>
      <c r="O22" s="27" t="s">
        <v>134</v>
      </c>
      <c r="P22" s="27">
        <v>210</v>
      </c>
      <c r="Q22" s="27" t="s">
        <v>128</v>
      </c>
      <c r="R22" s="27" t="s">
        <v>380</v>
      </c>
      <c r="S22" s="27" t="s">
        <v>153</v>
      </c>
      <c r="T22" s="27" t="s">
        <v>63</v>
      </c>
      <c r="U22" s="27">
        <v>10</v>
      </c>
      <c r="V22" s="27">
        <v>17</v>
      </c>
      <c r="W22" s="37">
        <v>-5.5000000000000002E-5</v>
      </c>
      <c r="X22" s="27">
        <v>3</v>
      </c>
      <c r="Y22" s="38">
        <v>-5.5000000000000002E-5</v>
      </c>
      <c r="Z22" s="27" t="s">
        <v>65</v>
      </c>
    </row>
    <row r="23" spans="2:26" x14ac:dyDescent="0.2">
      <c r="B23" s="27" t="s">
        <v>134</v>
      </c>
      <c r="C23" s="27">
        <v>210</v>
      </c>
      <c r="D23" s="27" t="s">
        <v>128</v>
      </c>
      <c r="E23" s="27" t="s">
        <v>107</v>
      </c>
      <c r="F23" s="27" t="s">
        <v>154</v>
      </c>
      <c r="G23" s="27" t="s">
        <v>64</v>
      </c>
      <c r="H23" s="27">
        <v>60</v>
      </c>
      <c r="I23" s="27">
        <v>22</v>
      </c>
      <c r="J23" s="37">
        <v>-1.1E-4</v>
      </c>
      <c r="K23" s="27">
        <v>1</v>
      </c>
      <c r="L23" s="38">
        <v>-1.1E-4</v>
      </c>
      <c r="M23" s="27" t="s">
        <v>65</v>
      </c>
      <c r="O23" s="27" t="s">
        <v>134</v>
      </c>
      <c r="P23" s="27">
        <v>210</v>
      </c>
      <c r="Q23" s="27" t="s">
        <v>128</v>
      </c>
      <c r="R23" s="27" t="s">
        <v>380</v>
      </c>
      <c r="S23" s="27" t="s">
        <v>154</v>
      </c>
      <c r="T23" s="27" t="s">
        <v>64</v>
      </c>
      <c r="U23" s="27">
        <v>10</v>
      </c>
      <c r="V23" s="27">
        <v>22</v>
      </c>
      <c r="W23" s="37">
        <v>-1.1E-4</v>
      </c>
      <c r="X23" s="27">
        <v>1</v>
      </c>
      <c r="Y23" s="38">
        <v>-1.1E-4</v>
      </c>
      <c r="Z23" s="27" t="s">
        <v>65</v>
      </c>
    </row>
    <row r="24" spans="2:26" x14ac:dyDescent="0.2">
      <c r="B24" s="27" t="s">
        <v>134</v>
      </c>
      <c r="C24" s="27">
        <v>193</v>
      </c>
      <c r="D24" s="27" t="s">
        <v>129</v>
      </c>
      <c r="E24" s="27" t="s">
        <v>107</v>
      </c>
      <c r="F24" s="27" t="s">
        <v>155</v>
      </c>
      <c r="G24" s="27" t="s">
        <v>63</v>
      </c>
      <c r="H24" s="27">
        <v>60</v>
      </c>
      <c r="I24" s="27">
        <v>20</v>
      </c>
      <c r="J24" s="37">
        <v>-1.21E-4</v>
      </c>
      <c r="K24" s="27">
        <v>7</v>
      </c>
      <c r="L24" s="38">
        <v>-1.05E-4</v>
      </c>
      <c r="M24" s="27" t="s">
        <v>65</v>
      </c>
      <c r="O24" s="27" t="s">
        <v>134</v>
      </c>
      <c r="P24" s="27">
        <v>193</v>
      </c>
      <c r="Q24" s="27" t="s">
        <v>129</v>
      </c>
      <c r="R24" s="27" t="s">
        <v>380</v>
      </c>
      <c r="S24" s="27" t="s">
        <v>155</v>
      </c>
      <c r="T24" s="27" t="s">
        <v>63</v>
      </c>
      <c r="U24" s="27">
        <v>10</v>
      </c>
      <c r="V24" s="27">
        <v>20</v>
      </c>
      <c r="W24" s="37">
        <v>-1.2E-4</v>
      </c>
      <c r="X24" s="27">
        <v>7</v>
      </c>
      <c r="Y24" s="38">
        <v>-1.05E-4</v>
      </c>
      <c r="Z24" s="27" t="s">
        <v>65</v>
      </c>
    </row>
    <row r="25" spans="2:26" x14ac:dyDescent="0.2">
      <c r="B25" s="27" t="s">
        <v>134</v>
      </c>
      <c r="C25" s="27">
        <v>193</v>
      </c>
      <c r="D25" s="27" t="s">
        <v>129</v>
      </c>
      <c r="E25" s="27" t="s">
        <v>107</v>
      </c>
      <c r="F25" s="27" t="s">
        <v>156</v>
      </c>
      <c r="G25" s="27" t="s">
        <v>64</v>
      </c>
      <c r="H25" s="27">
        <v>60</v>
      </c>
      <c r="I25" s="27">
        <v>22</v>
      </c>
      <c r="J25" s="37">
        <v>-1.3999999999999999E-4</v>
      </c>
      <c r="K25" s="27">
        <v>1</v>
      </c>
      <c r="L25" s="38">
        <v>-1.2E-4</v>
      </c>
      <c r="M25" s="27" t="s">
        <v>65</v>
      </c>
      <c r="O25" s="27" t="s">
        <v>134</v>
      </c>
      <c r="P25" s="27">
        <v>193</v>
      </c>
      <c r="Q25" s="27" t="s">
        <v>129</v>
      </c>
      <c r="R25" s="27" t="s">
        <v>380</v>
      </c>
      <c r="S25" s="27" t="s">
        <v>156</v>
      </c>
      <c r="T25" s="27" t="s">
        <v>64</v>
      </c>
      <c r="U25" s="27">
        <v>10</v>
      </c>
      <c r="V25" s="27">
        <v>22</v>
      </c>
      <c r="W25" s="37">
        <v>-1.3899999999999999E-4</v>
      </c>
      <c r="X25" s="27">
        <v>1</v>
      </c>
      <c r="Y25" s="38">
        <v>-1.2E-4</v>
      </c>
      <c r="Z25" s="27" t="s">
        <v>65</v>
      </c>
    </row>
    <row r="26" spans="2:26" x14ac:dyDescent="0.2">
      <c r="B26" s="27" t="s">
        <v>134</v>
      </c>
      <c r="C26" s="27">
        <v>204</v>
      </c>
      <c r="D26" s="27" t="s">
        <v>128</v>
      </c>
      <c r="E26" s="27" t="s">
        <v>107</v>
      </c>
      <c r="F26" s="27" t="s">
        <v>157</v>
      </c>
      <c r="G26" s="27" t="s">
        <v>63</v>
      </c>
      <c r="H26" s="27">
        <v>60</v>
      </c>
      <c r="I26" s="27">
        <v>17</v>
      </c>
      <c r="J26" s="37">
        <v>-1.55E-4</v>
      </c>
      <c r="K26" s="27">
        <v>3</v>
      </c>
      <c r="L26" s="38">
        <v>-1.37E-4</v>
      </c>
      <c r="M26" s="27" t="s">
        <v>65</v>
      </c>
      <c r="O26" s="27" t="s">
        <v>134</v>
      </c>
      <c r="P26" s="27">
        <v>204</v>
      </c>
      <c r="Q26" s="27" t="s">
        <v>128</v>
      </c>
      <c r="R26" s="27" t="s">
        <v>380</v>
      </c>
      <c r="S26" s="27" t="s">
        <v>157</v>
      </c>
      <c r="T26" s="27" t="s">
        <v>63</v>
      </c>
      <c r="U26" s="27">
        <v>10</v>
      </c>
      <c r="V26" s="27">
        <v>17</v>
      </c>
      <c r="W26" s="37">
        <v>-1.55E-4</v>
      </c>
      <c r="X26" s="27">
        <v>3</v>
      </c>
      <c r="Y26" s="38">
        <v>-1.37E-4</v>
      </c>
      <c r="Z26" s="27" t="s">
        <v>65</v>
      </c>
    </row>
    <row r="27" spans="2:26" x14ac:dyDescent="0.2">
      <c r="B27" s="27" t="s">
        <v>134</v>
      </c>
      <c r="C27" s="27">
        <v>204</v>
      </c>
      <c r="D27" s="27" t="s">
        <v>128</v>
      </c>
      <c r="E27" s="27" t="s">
        <v>107</v>
      </c>
      <c r="F27" s="27" t="s">
        <v>158</v>
      </c>
      <c r="G27" s="27" t="s">
        <v>64</v>
      </c>
      <c r="H27" s="27">
        <v>60</v>
      </c>
      <c r="I27" s="27">
        <v>22</v>
      </c>
      <c r="J27" s="37">
        <v>-1.75E-4</v>
      </c>
      <c r="K27" s="27">
        <v>1</v>
      </c>
      <c r="L27" s="38">
        <v>-1.5699999999999999E-4</v>
      </c>
      <c r="M27" s="27" t="s">
        <v>65</v>
      </c>
      <c r="O27" s="27" t="s">
        <v>134</v>
      </c>
      <c r="P27" s="27">
        <v>204</v>
      </c>
      <c r="Q27" s="27" t="s">
        <v>128</v>
      </c>
      <c r="R27" s="27" t="s">
        <v>380</v>
      </c>
      <c r="S27" s="27" t="s">
        <v>158</v>
      </c>
      <c r="T27" s="27" t="s">
        <v>64</v>
      </c>
      <c r="U27" s="27">
        <v>10</v>
      </c>
      <c r="V27" s="27">
        <v>22</v>
      </c>
      <c r="W27" s="37">
        <v>-1.74E-4</v>
      </c>
      <c r="X27" s="27">
        <v>1</v>
      </c>
      <c r="Y27" s="38">
        <v>-1.5699999999999999E-4</v>
      </c>
      <c r="Z27" s="27" t="s">
        <v>65</v>
      </c>
    </row>
    <row r="28" spans="2:26" x14ac:dyDescent="0.2">
      <c r="B28" s="27" t="s">
        <v>134</v>
      </c>
      <c r="C28" s="27">
        <v>205</v>
      </c>
      <c r="D28" s="27" t="s">
        <v>128</v>
      </c>
      <c r="E28" s="27" t="s">
        <v>107</v>
      </c>
      <c r="F28" s="27" t="s">
        <v>159</v>
      </c>
      <c r="G28" s="27" t="s">
        <v>63</v>
      </c>
      <c r="H28" s="27">
        <v>60</v>
      </c>
      <c r="I28" s="27">
        <v>22</v>
      </c>
      <c r="J28" s="37">
        <v>-1.4799999999999999E-4</v>
      </c>
      <c r="K28" s="27">
        <v>1</v>
      </c>
      <c r="L28" s="38">
        <v>-1.2999999999999999E-4</v>
      </c>
      <c r="M28" s="27" t="s">
        <v>65</v>
      </c>
      <c r="O28" s="27" t="s">
        <v>134</v>
      </c>
      <c r="P28" s="27">
        <v>205</v>
      </c>
      <c r="Q28" s="27" t="s">
        <v>128</v>
      </c>
      <c r="R28" s="27" t="s">
        <v>380</v>
      </c>
      <c r="S28" s="27" t="s">
        <v>159</v>
      </c>
      <c r="T28" s="27" t="s">
        <v>63</v>
      </c>
      <c r="U28" s="27">
        <v>10</v>
      </c>
      <c r="V28" s="27">
        <v>22</v>
      </c>
      <c r="W28" s="37">
        <v>-1.4799999999999999E-4</v>
      </c>
      <c r="X28" s="27">
        <v>1</v>
      </c>
      <c r="Y28" s="38">
        <v>-1.2999999999999999E-4</v>
      </c>
      <c r="Z28" s="27" t="s">
        <v>65</v>
      </c>
    </row>
    <row r="29" spans="2:26" x14ac:dyDescent="0.2">
      <c r="B29" s="27" t="s">
        <v>134</v>
      </c>
      <c r="C29" s="27">
        <v>205</v>
      </c>
      <c r="D29" s="27" t="s">
        <v>128</v>
      </c>
      <c r="E29" s="27" t="s">
        <v>107</v>
      </c>
      <c r="F29" s="27" t="s">
        <v>160</v>
      </c>
      <c r="G29" s="27" t="s">
        <v>64</v>
      </c>
      <c r="H29" s="27">
        <v>60</v>
      </c>
      <c r="I29" s="27">
        <v>17</v>
      </c>
      <c r="J29" s="37">
        <v>-1.85E-4</v>
      </c>
      <c r="K29" s="27">
        <v>3</v>
      </c>
      <c r="L29" s="38">
        <v>-1.6699999999999999E-4</v>
      </c>
      <c r="M29" s="27" t="s">
        <v>65</v>
      </c>
      <c r="O29" s="27" t="s">
        <v>134</v>
      </c>
      <c r="P29" s="27">
        <v>205</v>
      </c>
      <c r="Q29" s="27" t="s">
        <v>128</v>
      </c>
      <c r="R29" s="27" t="s">
        <v>380</v>
      </c>
      <c r="S29" s="27" t="s">
        <v>160</v>
      </c>
      <c r="T29" s="27" t="s">
        <v>64</v>
      </c>
      <c r="U29" s="27">
        <v>10</v>
      </c>
      <c r="V29" s="27">
        <v>17</v>
      </c>
      <c r="W29" s="37">
        <v>-1.8599999999999999E-4</v>
      </c>
      <c r="X29" s="27">
        <v>3</v>
      </c>
      <c r="Y29" s="38">
        <v>-1.6699999999999999E-4</v>
      </c>
      <c r="Z29" s="27" t="s">
        <v>65</v>
      </c>
    </row>
    <row r="30" spans="2:26" x14ac:dyDescent="0.2">
      <c r="B30" s="27" t="s">
        <v>134</v>
      </c>
      <c r="C30" s="27">
        <v>192</v>
      </c>
      <c r="D30" s="27" t="s">
        <v>129</v>
      </c>
      <c r="E30" s="27" t="s">
        <v>107</v>
      </c>
      <c r="F30" s="27" t="s">
        <v>161</v>
      </c>
      <c r="G30" s="27" t="s">
        <v>63</v>
      </c>
      <c r="H30" s="27">
        <v>60</v>
      </c>
      <c r="I30" s="27">
        <v>15</v>
      </c>
      <c r="J30" s="37">
        <v>-1.2300000000000001E-4</v>
      </c>
      <c r="K30" s="27">
        <v>10</v>
      </c>
      <c r="L30" s="38">
        <v>-1.07E-4</v>
      </c>
      <c r="M30" s="27" t="s">
        <v>65</v>
      </c>
      <c r="O30" s="27" t="s">
        <v>134</v>
      </c>
      <c r="P30" s="27">
        <v>192</v>
      </c>
      <c r="Q30" s="27" t="s">
        <v>129</v>
      </c>
      <c r="R30" s="27" t="s">
        <v>380</v>
      </c>
      <c r="S30" s="27" t="s">
        <v>161</v>
      </c>
      <c r="T30" s="27" t="s">
        <v>63</v>
      </c>
      <c r="U30" s="27">
        <v>10</v>
      </c>
      <c r="V30" s="27">
        <v>15</v>
      </c>
      <c r="W30" s="37">
        <v>-1.2300000000000001E-4</v>
      </c>
      <c r="X30" s="27">
        <v>11</v>
      </c>
      <c r="Y30" s="38">
        <v>-1.07E-4</v>
      </c>
      <c r="Z30" s="27" t="s">
        <v>65</v>
      </c>
    </row>
    <row r="31" spans="2:26" x14ac:dyDescent="0.2">
      <c r="B31" s="27" t="s">
        <v>134</v>
      </c>
      <c r="C31" s="27">
        <v>192</v>
      </c>
      <c r="D31" s="27" t="s">
        <v>129</v>
      </c>
      <c r="E31" s="27" t="s">
        <v>107</v>
      </c>
      <c r="F31" s="27" t="s">
        <v>162</v>
      </c>
      <c r="G31" s="27" t="s">
        <v>64</v>
      </c>
      <c r="H31" s="27">
        <v>60</v>
      </c>
      <c r="I31" s="27">
        <v>22</v>
      </c>
      <c r="J31" s="37">
        <v>-1.3899999999999999E-4</v>
      </c>
      <c r="K31" s="27">
        <v>1</v>
      </c>
      <c r="L31" s="38">
        <v>-1.2E-4</v>
      </c>
      <c r="M31" s="27" t="s">
        <v>65</v>
      </c>
      <c r="O31" s="27" t="s">
        <v>134</v>
      </c>
      <c r="P31" s="27">
        <v>192</v>
      </c>
      <c r="Q31" s="27" t="s">
        <v>129</v>
      </c>
      <c r="R31" s="27" t="s">
        <v>380</v>
      </c>
      <c r="S31" s="27" t="s">
        <v>162</v>
      </c>
      <c r="T31" s="27" t="s">
        <v>64</v>
      </c>
      <c r="U31" s="27">
        <v>10</v>
      </c>
      <c r="V31" s="27">
        <v>22</v>
      </c>
      <c r="W31" s="37">
        <v>-1.3899999999999999E-4</v>
      </c>
      <c r="X31" s="27">
        <v>1</v>
      </c>
      <c r="Y31" s="38">
        <v>-1.2E-4</v>
      </c>
      <c r="Z31" s="27" t="s">
        <v>65</v>
      </c>
    </row>
    <row r="32" spans="2:26" x14ac:dyDescent="0.2">
      <c r="B32" s="27" t="s">
        <v>134</v>
      </c>
      <c r="C32" s="27">
        <v>207</v>
      </c>
      <c r="D32" s="27" t="s">
        <v>128</v>
      </c>
      <c r="E32" s="27" t="s">
        <v>107</v>
      </c>
      <c r="F32" s="27" t="s">
        <v>163</v>
      </c>
      <c r="G32" s="27" t="s">
        <v>63</v>
      </c>
      <c r="H32" s="27">
        <v>60</v>
      </c>
      <c r="I32" s="27">
        <v>22</v>
      </c>
      <c r="J32" s="37">
        <v>-5.3999999999999998E-5</v>
      </c>
      <c r="K32" s="27">
        <v>1</v>
      </c>
      <c r="L32" s="38">
        <v>-5.3000000000000001E-5</v>
      </c>
      <c r="M32" s="27" t="s">
        <v>65</v>
      </c>
      <c r="O32" s="27" t="s">
        <v>134</v>
      </c>
      <c r="P32" s="27">
        <v>207</v>
      </c>
      <c r="Q32" s="27" t="s">
        <v>128</v>
      </c>
      <c r="R32" s="27" t="s">
        <v>380</v>
      </c>
      <c r="S32" s="27" t="s">
        <v>163</v>
      </c>
      <c r="T32" s="27" t="s">
        <v>63</v>
      </c>
      <c r="U32" s="27">
        <v>10</v>
      </c>
      <c r="V32" s="27">
        <v>22</v>
      </c>
      <c r="W32" s="37">
        <v>-5.3999999999999998E-5</v>
      </c>
      <c r="X32" s="27">
        <v>1</v>
      </c>
      <c r="Y32" s="38">
        <v>-5.3999999999999998E-5</v>
      </c>
      <c r="Z32" s="27" t="s">
        <v>65</v>
      </c>
    </row>
    <row r="33" spans="2:26" x14ac:dyDescent="0.2">
      <c r="B33" s="27" t="s">
        <v>134</v>
      </c>
      <c r="C33" s="27">
        <v>207</v>
      </c>
      <c r="D33" s="27" t="s">
        <v>128</v>
      </c>
      <c r="E33" s="27" t="s">
        <v>107</v>
      </c>
      <c r="F33" s="27" t="s">
        <v>164</v>
      </c>
      <c r="G33" s="27" t="s">
        <v>64</v>
      </c>
      <c r="H33" s="27">
        <v>60</v>
      </c>
      <c r="I33" s="27">
        <v>17</v>
      </c>
      <c r="J33" s="37">
        <v>-1.16E-4</v>
      </c>
      <c r="K33" s="27">
        <v>1</v>
      </c>
      <c r="L33" s="38">
        <v>-1.16E-4</v>
      </c>
      <c r="M33" s="27" t="s">
        <v>65</v>
      </c>
      <c r="O33" s="27" t="s">
        <v>134</v>
      </c>
      <c r="P33" s="27">
        <v>207</v>
      </c>
      <c r="Q33" s="27" t="s">
        <v>128</v>
      </c>
      <c r="R33" s="27" t="s">
        <v>380</v>
      </c>
      <c r="S33" s="27" t="s">
        <v>164</v>
      </c>
      <c r="T33" s="27" t="s">
        <v>64</v>
      </c>
      <c r="U33" s="27">
        <v>10</v>
      </c>
      <c r="V33" s="27">
        <v>17</v>
      </c>
      <c r="W33" s="37">
        <v>-1.17E-4</v>
      </c>
      <c r="X33" s="27">
        <v>3</v>
      </c>
      <c r="Y33" s="38">
        <v>-1.17E-4</v>
      </c>
      <c r="Z33" s="27" t="s">
        <v>65</v>
      </c>
    </row>
    <row r="34" spans="2:26" x14ac:dyDescent="0.2">
      <c r="B34" s="27" t="s">
        <v>134</v>
      </c>
      <c r="C34" s="27">
        <v>208</v>
      </c>
      <c r="D34" s="27" t="s">
        <v>128</v>
      </c>
      <c r="E34" s="27" t="s">
        <v>107</v>
      </c>
      <c r="F34" s="27" t="s">
        <v>165</v>
      </c>
      <c r="G34" s="27" t="s">
        <v>63</v>
      </c>
      <c r="H34" s="27">
        <v>60</v>
      </c>
      <c r="I34" s="27">
        <v>17</v>
      </c>
      <c r="J34" s="37">
        <v>-5.3000000000000001E-5</v>
      </c>
      <c r="K34" s="27">
        <v>3</v>
      </c>
      <c r="L34" s="38">
        <v>-5.3000000000000001E-5</v>
      </c>
      <c r="M34" s="27" t="s">
        <v>65</v>
      </c>
      <c r="O34" s="27" t="s">
        <v>134</v>
      </c>
      <c r="P34" s="27">
        <v>208</v>
      </c>
      <c r="Q34" s="27" t="s">
        <v>128</v>
      </c>
      <c r="R34" s="27" t="s">
        <v>380</v>
      </c>
      <c r="S34" s="27" t="s">
        <v>165</v>
      </c>
      <c r="T34" s="27" t="s">
        <v>63</v>
      </c>
      <c r="U34" s="27">
        <v>10</v>
      </c>
      <c r="V34" s="27">
        <v>17</v>
      </c>
      <c r="W34" s="37">
        <v>-5.3000000000000001E-5</v>
      </c>
      <c r="X34" s="27">
        <v>3</v>
      </c>
      <c r="Y34" s="38">
        <v>-5.3000000000000001E-5</v>
      </c>
      <c r="Z34" s="27" t="s">
        <v>65</v>
      </c>
    </row>
    <row r="35" spans="2:26" x14ac:dyDescent="0.2">
      <c r="B35" s="27" t="s">
        <v>134</v>
      </c>
      <c r="C35" s="27">
        <v>208</v>
      </c>
      <c r="D35" s="27" t="s">
        <v>128</v>
      </c>
      <c r="E35" s="27" t="s">
        <v>107</v>
      </c>
      <c r="F35" s="27" t="s">
        <v>166</v>
      </c>
      <c r="G35" s="27" t="s">
        <v>64</v>
      </c>
      <c r="H35" s="27">
        <v>60</v>
      </c>
      <c r="I35" s="27">
        <v>17</v>
      </c>
      <c r="J35" s="37">
        <v>-1.16E-4</v>
      </c>
      <c r="K35" s="27">
        <v>1</v>
      </c>
      <c r="L35" s="38">
        <v>-1.16E-4</v>
      </c>
      <c r="M35" s="27" t="s">
        <v>65</v>
      </c>
      <c r="O35" s="27" t="s">
        <v>134</v>
      </c>
      <c r="P35" s="27">
        <v>208</v>
      </c>
      <c r="Q35" s="27" t="s">
        <v>128</v>
      </c>
      <c r="R35" s="27" t="s">
        <v>380</v>
      </c>
      <c r="S35" s="27" t="s">
        <v>166</v>
      </c>
      <c r="T35" s="27" t="s">
        <v>64</v>
      </c>
      <c r="U35" s="27">
        <v>10</v>
      </c>
      <c r="V35" s="27">
        <v>17</v>
      </c>
      <c r="W35" s="37">
        <v>-1.16E-4</v>
      </c>
      <c r="X35" s="27">
        <v>3</v>
      </c>
      <c r="Y35" s="38">
        <v>-1.17E-4</v>
      </c>
      <c r="Z35" s="27" t="s">
        <v>65</v>
      </c>
    </row>
    <row r="36" spans="2:26" x14ac:dyDescent="0.2">
      <c r="B36" s="27" t="s">
        <v>134</v>
      </c>
      <c r="C36" s="27">
        <v>194</v>
      </c>
      <c r="D36" s="27" t="s">
        <v>129</v>
      </c>
      <c r="E36" s="27" t="s">
        <v>107</v>
      </c>
      <c r="F36" s="27" t="s">
        <v>167</v>
      </c>
      <c r="G36" s="27" t="s">
        <v>63</v>
      </c>
      <c r="H36" s="27">
        <v>60</v>
      </c>
      <c r="I36" s="27">
        <v>20</v>
      </c>
      <c r="J36" s="37">
        <v>-1.2300000000000001E-4</v>
      </c>
      <c r="K36" s="27">
        <v>7</v>
      </c>
      <c r="L36" s="38">
        <v>-1.07E-4</v>
      </c>
      <c r="M36" s="27" t="s">
        <v>65</v>
      </c>
      <c r="O36" s="27" t="s">
        <v>134</v>
      </c>
      <c r="P36" s="27">
        <v>194</v>
      </c>
      <c r="Q36" s="27" t="s">
        <v>129</v>
      </c>
      <c r="R36" s="27" t="s">
        <v>380</v>
      </c>
      <c r="S36" s="27" t="s">
        <v>167</v>
      </c>
      <c r="T36" s="27" t="s">
        <v>63</v>
      </c>
      <c r="U36" s="27">
        <v>10</v>
      </c>
      <c r="V36" s="27">
        <v>15</v>
      </c>
      <c r="W36" s="37">
        <v>-1.22E-4</v>
      </c>
      <c r="X36" s="27">
        <v>7</v>
      </c>
      <c r="Y36" s="38">
        <v>-1.06E-4</v>
      </c>
      <c r="Z36" s="27" t="s">
        <v>65</v>
      </c>
    </row>
    <row r="37" spans="2:26" x14ac:dyDescent="0.2">
      <c r="B37" s="27" t="s">
        <v>134</v>
      </c>
      <c r="C37" s="27">
        <v>194</v>
      </c>
      <c r="D37" s="27" t="s">
        <v>129</v>
      </c>
      <c r="E37" s="27" t="s">
        <v>107</v>
      </c>
      <c r="F37" s="27" t="s">
        <v>168</v>
      </c>
      <c r="G37" s="27" t="s">
        <v>64</v>
      </c>
      <c r="H37" s="27">
        <v>60</v>
      </c>
      <c r="I37" s="27">
        <v>17</v>
      </c>
      <c r="J37" s="37">
        <v>-1.3899999999999999E-4</v>
      </c>
      <c r="K37" s="27">
        <v>6</v>
      </c>
      <c r="L37" s="38">
        <v>-1.2E-4</v>
      </c>
      <c r="M37" s="27" t="s">
        <v>65</v>
      </c>
      <c r="O37" s="27" t="s">
        <v>134</v>
      </c>
      <c r="P37" s="27">
        <v>194</v>
      </c>
      <c r="Q37" s="27" t="s">
        <v>129</v>
      </c>
      <c r="R37" s="27" t="s">
        <v>380</v>
      </c>
      <c r="S37" s="27" t="s">
        <v>168</v>
      </c>
      <c r="T37" s="27" t="s">
        <v>64</v>
      </c>
      <c r="U37" s="27">
        <v>10</v>
      </c>
      <c r="V37" s="27">
        <v>17</v>
      </c>
      <c r="W37" s="37">
        <v>-1.3899999999999999E-4</v>
      </c>
      <c r="X37" s="27">
        <v>6</v>
      </c>
      <c r="Y37" s="38">
        <v>-1.2E-4</v>
      </c>
      <c r="Z37" s="27" t="s">
        <v>65</v>
      </c>
    </row>
    <row r="38" spans="2:26" x14ac:dyDescent="0.2">
      <c r="B38" s="27" t="s">
        <v>134</v>
      </c>
      <c r="C38" s="27">
        <v>203</v>
      </c>
      <c r="D38" s="27" t="s">
        <v>128</v>
      </c>
      <c r="E38" s="27" t="s">
        <v>107</v>
      </c>
      <c r="F38" s="27" t="s">
        <v>169</v>
      </c>
      <c r="G38" s="27" t="s">
        <v>63</v>
      </c>
      <c r="H38" s="27">
        <v>60</v>
      </c>
      <c r="I38" s="27">
        <v>17</v>
      </c>
      <c r="J38" s="37">
        <v>-1.4799999999999999E-4</v>
      </c>
      <c r="K38" s="27">
        <v>3</v>
      </c>
      <c r="L38" s="38">
        <v>-1.2999999999999999E-4</v>
      </c>
      <c r="M38" s="27" t="s">
        <v>65</v>
      </c>
      <c r="O38" s="27" t="s">
        <v>134</v>
      </c>
      <c r="P38" s="27">
        <v>203</v>
      </c>
      <c r="Q38" s="27" t="s">
        <v>128</v>
      </c>
      <c r="R38" s="27" t="s">
        <v>380</v>
      </c>
      <c r="S38" s="27" t="s">
        <v>169</v>
      </c>
      <c r="T38" s="27" t="s">
        <v>63</v>
      </c>
      <c r="U38" s="27">
        <v>10</v>
      </c>
      <c r="V38" s="27">
        <v>17</v>
      </c>
      <c r="W38" s="37">
        <v>-1.47E-4</v>
      </c>
      <c r="X38" s="27">
        <v>3</v>
      </c>
      <c r="Y38" s="38">
        <v>-1.2999999999999999E-4</v>
      </c>
      <c r="Z38" s="27" t="s">
        <v>65</v>
      </c>
    </row>
    <row r="39" spans="2:26" x14ac:dyDescent="0.2">
      <c r="B39" s="27" t="s">
        <v>134</v>
      </c>
      <c r="C39" s="27">
        <v>203</v>
      </c>
      <c r="D39" s="27" t="s">
        <v>128</v>
      </c>
      <c r="E39" s="27" t="s">
        <v>107</v>
      </c>
      <c r="F39" s="27" t="s">
        <v>170</v>
      </c>
      <c r="G39" s="27" t="s">
        <v>64</v>
      </c>
      <c r="H39" s="27">
        <v>60</v>
      </c>
      <c r="I39" s="27">
        <v>22</v>
      </c>
      <c r="J39" s="37">
        <v>-1.84E-4</v>
      </c>
      <c r="K39" s="27">
        <v>1</v>
      </c>
      <c r="L39" s="38">
        <v>-1.66E-4</v>
      </c>
      <c r="M39" s="27" t="s">
        <v>65</v>
      </c>
      <c r="O39" s="27" t="s">
        <v>134</v>
      </c>
      <c r="P39" s="27">
        <v>203</v>
      </c>
      <c r="Q39" s="27" t="s">
        <v>128</v>
      </c>
      <c r="R39" s="27" t="s">
        <v>380</v>
      </c>
      <c r="S39" s="27" t="s">
        <v>170</v>
      </c>
      <c r="T39" s="27" t="s">
        <v>64</v>
      </c>
      <c r="U39" s="27">
        <v>10</v>
      </c>
      <c r="V39" s="27">
        <v>22</v>
      </c>
      <c r="W39" s="37">
        <v>-1.84E-4</v>
      </c>
      <c r="X39" s="27">
        <v>1</v>
      </c>
      <c r="Y39" s="38">
        <v>-1.65E-4</v>
      </c>
      <c r="Z39" s="27" t="s">
        <v>65</v>
      </c>
    </row>
    <row r="40" spans="2:26" x14ac:dyDescent="0.2">
      <c r="B40" s="27" t="s">
        <v>134</v>
      </c>
      <c r="C40" s="27">
        <v>187</v>
      </c>
      <c r="D40" s="27" t="s">
        <v>127</v>
      </c>
      <c r="E40" s="27" t="s">
        <v>107</v>
      </c>
      <c r="F40" s="27" t="s">
        <v>171</v>
      </c>
      <c r="G40" s="27" t="s">
        <v>63</v>
      </c>
      <c r="H40" s="27">
        <v>60</v>
      </c>
      <c r="I40" s="27">
        <v>16</v>
      </c>
      <c r="J40" s="37">
        <v>-3.3799999999999998E-4</v>
      </c>
      <c r="K40" s="27">
        <v>6</v>
      </c>
      <c r="L40" s="38">
        <v>3.0400000000000002E-4</v>
      </c>
      <c r="M40" s="27" t="s">
        <v>65</v>
      </c>
      <c r="O40" s="27" t="s">
        <v>134</v>
      </c>
      <c r="P40" s="27">
        <v>187</v>
      </c>
      <c r="Q40" s="27" t="s">
        <v>127</v>
      </c>
      <c r="R40" s="27" t="s">
        <v>380</v>
      </c>
      <c r="S40" s="27" t="s">
        <v>171</v>
      </c>
      <c r="T40" s="27" t="s">
        <v>63</v>
      </c>
      <c r="U40" s="27">
        <v>10</v>
      </c>
      <c r="V40" s="27">
        <v>16</v>
      </c>
      <c r="W40" s="37">
        <v>-3.39E-4</v>
      </c>
      <c r="X40" s="27">
        <v>6</v>
      </c>
      <c r="Y40" s="38">
        <v>3.0400000000000002E-4</v>
      </c>
      <c r="Z40" s="27" t="s">
        <v>65</v>
      </c>
    </row>
    <row r="41" spans="2:26" x14ac:dyDescent="0.2">
      <c r="B41" s="27" t="s">
        <v>134</v>
      </c>
      <c r="C41" s="27">
        <v>187</v>
      </c>
      <c r="D41" s="27" t="s">
        <v>127</v>
      </c>
      <c r="E41" s="27" t="s">
        <v>107</v>
      </c>
      <c r="F41" s="27" t="s">
        <v>172</v>
      </c>
      <c r="G41" s="27" t="s">
        <v>64</v>
      </c>
      <c r="H41" s="27">
        <v>60</v>
      </c>
      <c r="I41" s="27">
        <v>9</v>
      </c>
      <c r="J41" s="37">
        <v>-2.13E-4</v>
      </c>
      <c r="K41" s="27">
        <v>6</v>
      </c>
      <c r="L41" s="38">
        <v>-1.7799999999999999E-4</v>
      </c>
      <c r="M41" s="27" t="s">
        <v>65</v>
      </c>
      <c r="O41" s="27" t="s">
        <v>134</v>
      </c>
      <c r="P41" s="27">
        <v>187</v>
      </c>
      <c r="Q41" s="27" t="s">
        <v>127</v>
      </c>
      <c r="R41" s="27" t="s">
        <v>380</v>
      </c>
      <c r="S41" s="27" t="s">
        <v>172</v>
      </c>
      <c r="T41" s="27" t="s">
        <v>64</v>
      </c>
      <c r="U41" s="27">
        <v>10</v>
      </c>
      <c r="V41" s="27">
        <v>9</v>
      </c>
      <c r="W41" s="37">
        <v>-2.14E-4</v>
      </c>
      <c r="X41" s="27">
        <v>6</v>
      </c>
      <c r="Y41" s="38">
        <v>-1.7799999999999999E-4</v>
      </c>
      <c r="Z41" s="27" t="s">
        <v>65</v>
      </c>
    </row>
    <row r="42" spans="2:26" x14ac:dyDescent="0.2">
      <c r="B42" s="27" t="s">
        <v>134</v>
      </c>
      <c r="C42" s="27">
        <v>199</v>
      </c>
      <c r="D42" s="27" t="s">
        <v>128</v>
      </c>
      <c r="E42" s="27" t="s">
        <v>107</v>
      </c>
      <c r="F42" s="27" t="s">
        <v>173</v>
      </c>
      <c r="G42" s="27" t="s">
        <v>63</v>
      </c>
      <c r="H42" s="27">
        <v>60</v>
      </c>
      <c r="I42" s="27">
        <v>17</v>
      </c>
      <c r="J42" s="37">
        <v>-1.5100000000000001E-4</v>
      </c>
      <c r="K42" s="27">
        <v>3</v>
      </c>
      <c r="L42" s="38">
        <v>-1.4999999999999999E-4</v>
      </c>
      <c r="M42" s="27" t="s">
        <v>65</v>
      </c>
      <c r="O42" s="27" t="s">
        <v>134</v>
      </c>
      <c r="P42" s="27">
        <v>199</v>
      </c>
      <c r="Q42" s="27" t="s">
        <v>128</v>
      </c>
      <c r="R42" s="27" t="s">
        <v>380</v>
      </c>
      <c r="S42" s="27" t="s">
        <v>173</v>
      </c>
      <c r="T42" s="27" t="s">
        <v>63</v>
      </c>
      <c r="U42" s="27">
        <v>10</v>
      </c>
      <c r="V42" s="27">
        <v>17</v>
      </c>
      <c r="W42" s="37">
        <v>-1.4999999999999999E-4</v>
      </c>
      <c r="X42" s="27">
        <v>3</v>
      </c>
      <c r="Y42" s="38">
        <v>-1.4999999999999999E-4</v>
      </c>
      <c r="Z42" s="27" t="s">
        <v>65</v>
      </c>
    </row>
    <row r="43" spans="2:26" x14ac:dyDescent="0.2">
      <c r="B43" s="27" t="s">
        <v>134</v>
      </c>
      <c r="C43" s="27">
        <v>199</v>
      </c>
      <c r="D43" s="27" t="s">
        <v>128</v>
      </c>
      <c r="E43" s="27" t="s">
        <v>107</v>
      </c>
      <c r="F43" s="27" t="s">
        <v>174</v>
      </c>
      <c r="G43" s="27" t="s">
        <v>64</v>
      </c>
      <c r="H43" s="27">
        <v>60</v>
      </c>
      <c r="I43" s="27">
        <v>20</v>
      </c>
      <c r="J43" s="37">
        <v>-6.4999999999999994E-5</v>
      </c>
      <c r="K43" s="27">
        <v>4</v>
      </c>
      <c r="L43" s="38">
        <v>-6.3999999999999997E-5</v>
      </c>
      <c r="M43" s="27" t="s">
        <v>65</v>
      </c>
      <c r="O43" s="27" t="s">
        <v>134</v>
      </c>
      <c r="P43" s="27">
        <v>199</v>
      </c>
      <c r="Q43" s="27" t="s">
        <v>128</v>
      </c>
      <c r="R43" s="27" t="s">
        <v>380</v>
      </c>
      <c r="S43" s="27" t="s">
        <v>174</v>
      </c>
      <c r="T43" s="27" t="s">
        <v>64</v>
      </c>
      <c r="U43" s="27">
        <v>10</v>
      </c>
      <c r="V43" s="27">
        <v>20</v>
      </c>
      <c r="W43" s="37">
        <v>-6.4999999999999994E-5</v>
      </c>
      <c r="X43" s="27">
        <v>4</v>
      </c>
      <c r="Y43" s="38">
        <v>-6.3999999999999997E-5</v>
      </c>
      <c r="Z43" s="27" t="s">
        <v>65</v>
      </c>
    </row>
    <row r="44" spans="2:26" x14ac:dyDescent="0.2">
      <c r="B44" s="27" t="s">
        <v>134</v>
      </c>
      <c r="C44" s="27">
        <v>195</v>
      </c>
      <c r="D44" s="27" t="s">
        <v>129</v>
      </c>
      <c r="E44" s="27" t="s">
        <v>107</v>
      </c>
      <c r="F44" s="27" t="s">
        <v>175</v>
      </c>
      <c r="G44" s="27" t="s">
        <v>63</v>
      </c>
      <c r="H44" s="27">
        <v>60</v>
      </c>
      <c r="I44" s="27">
        <v>17</v>
      </c>
      <c r="J44" s="37">
        <v>-1.3999999999999999E-4</v>
      </c>
      <c r="K44" s="27">
        <v>1</v>
      </c>
      <c r="L44" s="38">
        <v>-1.17E-4</v>
      </c>
      <c r="M44" s="27" t="s">
        <v>65</v>
      </c>
      <c r="O44" s="27" t="s">
        <v>134</v>
      </c>
      <c r="P44" s="27">
        <v>195</v>
      </c>
      <c r="Q44" s="27" t="s">
        <v>129</v>
      </c>
      <c r="R44" s="27" t="s">
        <v>380</v>
      </c>
      <c r="S44" s="27" t="s">
        <v>175</v>
      </c>
      <c r="T44" s="27" t="s">
        <v>63</v>
      </c>
      <c r="U44" s="27">
        <v>10</v>
      </c>
      <c r="V44" s="27">
        <v>17</v>
      </c>
      <c r="W44" s="37">
        <v>-1.3999999999999999E-4</v>
      </c>
      <c r="X44" s="27">
        <v>1</v>
      </c>
      <c r="Y44" s="38">
        <v>-1.17E-4</v>
      </c>
      <c r="Z44" s="27" t="s">
        <v>65</v>
      </c>
    </row>
    <row r="45" spans="2:26" x14ac:dyDescent="0.2">
      <c r="B45" s="27" t="s">
        <v>134</v>
      </c>
      <c r="C45" s="27">
        <v>195</v>
      </c>
      <c r="D45" s="27" t="s">
        <v>129</v>
      </c>
      <c r="E45" s="27" t="s">
        <v>107</v>
      </c>
      <c r="F45" s="27" t="s">
        <v>176</v>
      </c>
      <c r="G45" s="27" t="s">
        <v>64</v>
      </c>
      <c r="H45" s="27">
        <v>60</v>
      </c>
      <c r="I45" s="27">
        <v>15</v>
      </c>
      <c r="J45" s="37">
        <v>-1.01E-4</v>
      </c>
      <c r="K45" s="27">
        <v>10</v>
      </c>
      <c r="L45" s="38">
        <v>-8.5000000000000006E-5</v>
      </c>
      <c r="M45" s="27" t="s">
        <v>65</v>
      </c>
      <c r="O45" s="27" t="s">
        <v>134</v>
      </c>
      <c r="P45" s="27">
        <v>195</v>
      </c>
      <c r="Q45" s="27" t="s">
        <v>129</v>
      </c>
      <c r="R45" s="27" t="s">
        <v>380</v>
      </c>
      <c r="S45" s="27" t="s">
        <v>176</v>
      </c>
      <c r="T45" s="27" t="s">
        <v>64</v>
      </c>
      <c r="U45" s="27">
        <v>10</v>
      </c>
      <c r="V45" s="27">
        <v>15</v>
      </c>
      <c r="W45" s="37">
        <v>-1.01E-4</v>
      </c>
      <c r="X45" s="27">
        <v>10</v>
      </c>
      <c r="Y45" s="38">
        <v>-8.5000000000000006E-5</v>
      </c>
      <c r="Z45" s="27" t="s">
        <v>65</v>
      </c>
    </row>
    <row r="46" spans="2:26" x14ac:dyDescent="0.2">
      <c r="B46" s="27" t="s">
        <v>134</v>
      </c>
      <c r="C46" s="27">
        <v>196</v>
      </c>
      <c r="D46" s="27" t="s">
        <v>129</v>
      </c>
      <c r="E46" s="27" t="s">
        <v>107</v>
      </c>
      <c r="F46" s="27" t="s">
        <v>177</v>
      </c>
      <c r="G46" s="27" t="s">
        <v>63</v>
      </c>
      <c r="H46" s="27">
        <v>60</v>
      </c>
      <c r="I46" s="27">
        <v>17</v>
      </c>
      <c r="J46" s="37">
        <v>-1.3999999999999999E-4</v>
      </c>
      <c r="K46" s="27">
        <v>1</v>
      </c>
      <c r="L46" s="38">
        <v>-1.17E-4</v>
      </c>
      <c r="M46" s="27" t="s">
        <v>65</v>
      </c>
      <c r="O46" s="27" t="s">
        <v>134</v>
      </c>
      <c r="P46" s="27">
        <v>196</v>
      </c>
      <c r="Q46" s="27" t="s">
        <v>129</v>
      </c>
      <c r="R46" s="27" t="s">
        <v>380</v>
      </c>
      <c r="S46" s="27" t="s">
        <v>177</v>
      </c>
      <c r="T46" s="27" t="s">
        <v>63</v>
      </c>
      <c r="U46" s="27">
        <v>10</v>
      </c>
      <c r="V46" s="27">
        <v>17</v>
      </c>
      <c r="W46" s="37">
        <v>-1.3999999999999999E-4</v>
      </c>
      <c r="X46" s="27">
        <v>1</v>
      </c>
      <c r="Y46" s="38">
        <v>-1.17E-4</v>
      </c>
      <c r="Z46" s="27" t="s">
        <v>65</v>
      </c>
    </row>
    <row r="47" spans="2:26" x14ac:dyDescent="0.2">
      <c r="B47" s="27" t="s">
        <v>134</v>
      </c>
      <c r="C47" s="27">
        <v>196</v>
      </c>
      <c r="D47" s="27" t="s">
        <v>129</v>
      </c>
      <c r="E47" s="27" t="s">
        <v>107</v>
      </c>
      <c r="F47" s="27" t="s">
        <v>178</v>
      </c>
      <c r="G47" s="27" t="s">
        <v>64</v>
      </c>
      <c r="H47" s="27">
        <v>60</v>
      </c>
      <c r="I47" s="27">
        <v>15</v>
      </c>
      <c r="J47" s="37">
        <v>-1E-4</v>
      </c>
      <c r="K47" s="27">
        <v>7</v>
      </c>
      <c r="L47" s="38">
        <v>-8.5000000000000006E-5</v>
      </c>
      <c r="M47" s="27" t="s">
        <v>65</v>
      </c>
      <c r="O47" s="27" t="s">
        <v>134</v>
      </c>
      <c r="P47" s="27">
        <v>196</v>
      </c>
      <c r="Q47" s="27" t="s">
        <v>129</v>
      </c>
      <c r="R47" s="27" t="s">
        <v>380</v>
      </c>
      <c r="S47" s="27" t="s">
        <v>178</v>
      </c>
      <c r="T47" s="27" t="s">
        <v>64</v>
      </c>
      <c r="U47" s="27">
        <v>10</v>
      </c>
      <c r="V47" s="27">
        <v>15</v>
      </c>
      <c r="W47" s="37">
        <v>-1.01E-4</v>
      </c>
      <c r="X47" s="27">
        <v>9</v>
      </c>
      <c r="Y47" s="38">
        <v>-8.5000000000000006E-5</v>
      </c>
      <c r="Z47" s="27" t="s">
        <v>65</v>
      </c>
    </row>
    <row r="48" spans="2:26" x14ac:dyDescent="0.2">
      <c r="B48" s="27" t="s">
        <v>134</v>
      </c>
      <c r="C48" s="27">
        <v>200</v>
      </c>
      <c r="D48" s="27" t="s">
        <v>128</v>
      </c>
      <c r="E48" s="27" t="s">
        <v>107</v>
      </c>
      <c r="F48" s="27" t="s">
        <v>179</v>
      </c>
      <c r="G48" s="27" t="s">
        <v>63</v>
      </c>
      <c r="H48" s="27">
        <v>60</v>
      </c>
      <c r="I48" s="27">
        <v>22</v>
      </c>
      <c r="J48" s="37">
        <v>-1.5100000000000001E-4</v>
      </c>
      <c r="K48" s="27">
        <v>1</v>
      </c>
      <c r="L48" s="38">
        <v>-1.5100000000000001E-4</v>
      </c>
      <c r="M48" s="27" t="s">
        <v>65</v>
      </c>
      <c r="O48" s="27" t="s">
        <v>134</v>
      </c>
      <c r="P48" s="27">
        <v>200</v>
      </c>
      <c r="Q48" s="27" t="s">
        <v>128</v>
      </c>
      <c r="R48" s="27" t="s">
        <v>380</v>
      </c>
      <c r="S48" s="27" t="s">
        <v>179</v>
      </c>
      <c r="T48" s="27" t="s">
        <v>63</v>
      </c>
      <c r="U48" s="27">
        <v>10</v>
      </c>
      <c r="V48" s="27">
        <v>22</v>
      </c>
      <c r="W48" s="37">
        <v>-1.5100000000000001E-4</v>
      </c>
      <c r="X48" s="27">
        <v>1</v>
      </c>
      <c r="Y48" s="38">
        <v>-1.5100000000000001E-4</v>
      </c>
      <c r="Z48" s="27" t="s">
        <v>65</v>
      </c>
    </row>
    <row r="49" spans="2:26" x14ac:dyDescent="0.2">
      <c r="B49" s="27" t="s">
        <v>134</v>
      </c>
      <c r="C49" s="27">
        <v>200</v>
      </c>
      <c r="D49" s="27" t="s">
        <v>128</v>
      </c>
      <c r="E49" s="27" t="s">
        <v>107</v>
      </c>
      <c r="F49" s="27" t="s">
        <v>180</v>
      </c>
      <c r="G49" s="27" t="s">
        <v>64</v>
      </c>
      <c r="H49" s="27">
        <v>60</v>
      </c>
      <c r="I49" s="27">
        <v>15</v>
      </c>
      <c r="J49" s="37">
        <v>-6.6000000000000005E-5</v>
      </c>
      <c r="K49" s="27">
        <v>6</v>
      </c>
      <c r="L49" s="38">
        <v>-6.4999999999999994E-5</v>
      </c>
      <c r="M49" s="27" t="s">
        <v>65</v>
      </c>
      <c r="O49" s="27" t="s">
        <v>134</v>
      </c>
      <c r="P49" s="27">
        <v>200</v>
      </c>
      <c r="Q49" s="27" t="s">
        <v>128</v>
      </c>
      <c r="R49" s="27" t="s">
        <v>380</v>
      </c>
      <c r="S49" s="27" t="s">
        <v>180</v>
      </c>
      <c r="T49" s="27" t="s">
        <v>64</v>
      </c>
      <c r="U49" s="27">
        <v>10</v>
      </c>
      <c r="V49" s="27">
        <v>15</v>
      </c>
      <c r="W49" s="37">
        <v>-6.6000000000000005E-5</v>
      </c>
      <c r="X49" s="27">
        <v>6</v>
      </c>
      <c r="Y49" s="38">
        <v>-6.4999999999999994E-5</v>
      </c>
      <c r="Z49" s="27" t="s">
        <v>65</v>
      </c>
    </row>
    <row r="50" spans="2:26" x14ac:dyDescent="0.2">
      <c r="B50" s="27" t="s">
        <v>134</v>
      </c>
      <c r="C50" s="27">
        <v>188</v>
      </c>
      <c r="D50" s="27" t="s">
        <v>127</v>
      </c>
      <c r="E50" s="27" t="s">
        <v>107</v>
      </c>
      <c r="F50" s="27" t="s">
        <v>181</v>
      </c>
      <c r="G50" s="27" t="s">
        <v>63</v>
      </c>
      <c r="H50" s="27">
        <v>60</v>
      </c>
      <c r="I50" s="27">
        <v>11</v>
      </c>
      <c r="J50" s="37">
        <v>-3.3799999999999998E-4</v>
      </c>
      <c r="K50" s="27">
        <v>4</v>
      </c>
      <c r="L50" s="38">
        <v>3.0400000000000002E-4</v>
      </c>
      <c r="M50" s="27" t="s">
        <v>65</v>
      </c>
      <c r="O50" s="27" t="s">
        <v>134</v>
      </c>
      <c r="P50" s="27">
        <v>188</v>
      </c>
      <c r="Q50" s="27" t="s">
        <v>127</v>
      </c>
      <c r="R50" s="27" t="s">
        <v>380</v>
      </c>
      <c r="S50" s="27" t="s">
        <v>181</v>
      </c>
      <c r="T50" s="27" t="s">
        <v>63</v>
      </c>
      <c r="U50" s="27">
        <v>10</v>
      </c>
      <c r="V50" s="27">
        <v>11</v>
      </c>
      <c r="W50" s="37">
        <v>-3.3799999999999998E-4</v>
      </c>
      <c r="X50" s="27">
        <v>4</v>
      </c>
      <c r="Y50" s="38">
        <v>3.0400000000000002E-4</v>
      </c>
      <c r="Z50" s="27" t="s">
        <v>65</v>
      </c>
    </row>
    <row r="51" spans="2:26" x14ac:dyDescent="0.2">
      <c r="B51" s="27" t="s">
        <v>134</v>
      </c>
      <c r="C51" s="27">
        <v>188</v>
      </c>
      <c r="D51" s="27" t="s">
        <v>127</v>
      </c>
      <c r="E51" s="27" t="s">
        <v>107</v>
      </c>
      <c r="F51" s="27" t="s">
        <v>182</v>
      </c>
      <c r="G51" s="27" t="s">
        <v>64</v>
      </c>
      <c r="H51" s="27">
        <v>60</v>
      </c>
      <c r="I51" s="27">
        <v>14</v>
      </c>
      <c r="J51" s="37">
        <v>-2.13E-4</v>
      </c>
      <c r="K51" s="27">
        <v>4</v>
      </c>
      <c r="L51" s="38">
        <v>-1.7799999999999999E-4</v>
      </c>
      <c r="M51" s="27" t="s">
        <v>65</v>
      </c>
      <c r="O51" s="27" t="s">
        <v>134</v>
      </c>
      <c r="P51" s="27">
        <v>188</v>
      </c>
      <c r="Q51" s="27" t="s">
        <v>127</v>
      </c>
      <c r="R51" s="27" t="s">
        <v>380</v>
      </c>
      <c r="S51" s="27" t="s">
        <v>182</v>
      </c>
      <c r="T51" s="27" t="s">
        <v>64</v>
      </c>
      <c r="U51" s="27">
        <v>10</v>
      </c>
      <c r="V51" s="27">
        <v>14</v>
      </c>
      <c r="W51" s="37">
        <v>-2.12E-4</v>
      </c>
      <c r="X51" s="27">
        <v>4</v>
      </c>
      <c r="Y51" s="38">
        <v>-1.7799999999999999E-4</v>
      </c>
      <c r="Z51" s="27" t="s">
        <v>65</v>
      </c>
    </row>
    <row r="52" spans="2:26" x14ac:dyDescent="0.2">
      <c r="B52" s="27" t="s">
        <v>183</v>
      </c>
      <c r="C52" s="27">
        <v>251</v>
      </c>
      <c r="D52" s="27" t="s">
        <v>127</v>
      </c>
      <c r="E52" s="27" t="s">
        <v>107</v>
      </c>
      <c r="F52" s="27" t="s">
        <v>184</v>
      </c>
      <c r="G52" s="27" t="s">
        <v>63</v>
      </c>
      <c r="H52" s="27">
        <v>60</v>
      </c>
      <c r="I52" s="27">
        <v>14</v>
      </c>
      <c r="J52" s="37">
        <v>-5.5000000000000003E-4</v>
      </c>
      <c r="K52" s="27">
        <v>4</v>
      </c>
      <c r="L52" s="38">
        <v>-4.57E-4</v>
      </c>
      <c r="M52" s="27" t="s">
        <v>65</v>
      </c>
      <c r="O52" s="27" t="s">
        <v>183</v>
      </c>
      <c r="P52" s="27">
        <v>251</v>
      </c>
      <c r="Q52" s="27" t="s">
        <v>127</v>
      </c>
      <c r="R52" s="27" t="s">
        <v>380</v>
      </c>
      <c r="S52" s="27" t="s">
        <v>184</v>
      </c>
      <c r="T52" s="27" t="s">
        <v>63</v>
      </c>
      <c r="U52" s="27">
        <v>10</v>
      </c>
      <c r="V52" s="27">
        <v>14</v>
      </c>
      <c r="W52" s="37">
        <v>-5.5000000000000003E-4</v>
      </c>
      <c r="X52" s="27">
        <v>4</v>
      </c>
      <c r="Y52" s="38">
        <v>-4.57E-4</v>
      </c>
      <c r="Z52" s="27" t="s">
        <v>65</v>
      </c>
    </row>
    <row r="53" spans="2:26" x14ac:dyDescent="0.2">
      <c r="B53" s="27" t="s">
        <v>183</v>
      </c>
      <c r="C53" s="27">
        <v>251</v>
      </c>
      <c r="D53" s="27" t="s">
        <v>127</v>
      </c>
      <c r="E53" s="27" t="s">
        <v>107</v>
      </c>
      <c r="F53" s="27" t="s">
        <v>185</v>
      </c>
      <c r="G53" s="27" t="s">
        <v>64</v>
      </c>
      <c r="H53" s="27">
        <v>60</v>
      </c>
      <c r="I53" s="27">
        <v>11</v>
      </c>
      <c r="J53" s="37">
        <v>-3.9100000000000002E-4</v>
      </c>
      <c r="K53" s="27">
        <v>3</v>
      </c>
      <c r="L53" s="38">
        <v>-3.3300000000000002E-4</v>
      </c>
      <c r="M53" s="27" t="s">
        <v>65</v>
      </c>
      <c r="O53" s="27" t="s">
        <v>183</v>
      </c>
      <c r="P53" s="27">
        <v>251</v>
      </c>
      <c r="Q53" s="27" t="s">
        <v>127</v>
      </c>
      <c r="R53" s="27" t="s">
        <v>380</v>
      </c>
      <c r="S53" s="27" t="s">
        <v>185</v>
      </c>
      <c r="T53" s="27" t="s">
        <v>64</v>
      </c>
      <c r="U53" s="27">
        <v>10</v>
      </c>
      <c r="V53" s="27">
        <v>11</v>
      </c>
      <c r="W53" s="37">
        <v>-3.9199999999999999E-4</v>
      </c>
      <c r="X53" s="27">
        <v>3</v>
      </c>
      <c r="Y53" s="38">
        <v>-3.3300000000000002E-4</v>
      </c>
      <c r="Z53" s="27" t="s">
        <v>65</v>
      </c>
    </row>
    <row r="54" spans="2:26" x14ac:dyDescent="0.2">
      <c r="B54" s="27" t="s">
        <v>183</v>
      </c>
      <c r="C54" s="27">
        <v>263</v>
      </c>
      <c r="D54" s="27" t="s">
        <v>128</v>
      </c>
      <c r="E54" s="27" t="s">
        <v>107</v>
      </c>
      <c r="F54" s="27" t="s">
        <v>186</v>
      </c>
      <c r="G54" s="27" t="s">
        <v>63</v>
      </c>
      <c r="H54" s="27">
        <v>60</v>
      </c>
      <c r="I54" s="27">
        <v>15</v>
      </c>
      <c r="J54" s="37">
        <v>-1.16E-4</v>
      </c>
      <c r="K54" s="27">
        <v>6</v>
      </c>
      <c r="L54" s="38">
        <v>-1.16E-4</v>
      </c>
      <c r="M54" s="27" t="s">
        <v>65</v>
      </c>
      <c r="O54" s="27" t="s">
        <v>183</v>
      </c>
      <c r="P54" s="27">
        <v>263</v>
      </c>
      <c r="Q54" s="27" t="s">
        <v>128</v>
      </c>
      <c r="R54" s="27" t="s">
        <v>380</v>
      </c>
      <c r="S54" s="27" t="s">
        <v>186</v>
      </c>
      <c r="T54" s="27" t="s">
        <v>63</v>
      </c>
      <c r="U54" s="27">
        <v>10</v>
      </c>
      <c r="V54" s="27">
        <v>15</v>
      </c>
      <c r="W54" s="37">
        <v>-1.16E-4</v>
      </c>
      <c r="X54" s="27">
        <v>6</v>
      </c>
      <c r="Y54" s="38">
        <v>-1.15E-4</v>
      </c>
      <c r="Z54" s="27" t="s">
        <v>65</v>
      </c>
    </row>
    <row r="55" spans="2:26" x14ac:dyDescent="0.2">
      <c r="B55" s="27" t="s">
        <v>183</v>
      </c>
      <c r="C55" s="27">
        <v>263</v>
      </c>
      <c r="D55" s="27" t="s">
        <v>128</v>
      </c>
      <c r="E55" s="27" t="s">
        <v>107</v>
      </c>
      <c r="F55" s="27" t="s">
        <v>187</v>
      </c>
      <c r="G55" s="27" t="s">
        <v>64</v>
      </c>
      <c r="H55" s="27">
        <v>60</v>
      </c>
      <c r="I55" s="27">
        <v>22</v>
      </c>
      <c r="J55" s="37">
        <v>-1.8599999999999999E-4</v>
      </c>
      <c r="K55" s="27">
        <v>1</v>
      </c>
      <c r="L55" s="38">
        <v>-1.8599999999999999E-4</v>
      </c>
      <c r="M55" s="27" t="s">
        <v>65</v>
      </c>
      <c r="O55" s="27" t="s">
        <v>183</v>
      </c>
      <c r="P55" s="27">
        <v>263</v>
      </c>
      <c r="Q55" s="27" t="s">
        <v>128</v>
      </c>
      <c r="R55" s="27" t="s">
        <v>380</v>
      </c>
      <c r="S55" s="27" t="s">
        <v>187</v>
      </c>
      <c r="T55" s="27" t="s">
        <v>64</v>
      </c>
      <c r="U55" s="27">
        <v>10</v>
      </c>
      <c r="V55" s="27">
        <v>22</v>
      </c>
      <c r="W55" s="37">
        <v>-1.8599999999999999E-4</v>
      </c>
      <c r="X55" s="27">
        <v>1</v>
      </c>
      <c r="Y55" s="38">
        <v>-1.8599999999999999E-4</v>
      </c>
      <c r="Z55" s="27" t="s">
        <v>65</v>
      </c>
    </row>
    <row r="56" spans="2:26" x14ac:dyDescent="0.2">
      <c r="B56" s="27" t="s">
        <v>183</v>
      </c>
      <c r="C56" s="27">
        <v>259</v>
      </c>
      <c r="D56" s="27" t="s">
        <v>129</v>
      </c>
      <c r="E56" s="27" t="s">
        <v>107</v>
      </c>
      <c r="F56" s="27" t="s">
        <v>188</v>
      </c>
      <c r="G56" s="27" t="s">
        <v>63</v>
      </c>
      <c r="H56" s="27">
        <v>60</v>
      </c>
      <c r="I56" s="27">
        <v>20</v>
      </c>
      <c r="J56" s="37">
        <v>-2.3599999999999999E-4</v>
      </c>
      <c r="K56" s="27">
        <v>7</v>
      </c>
      <c r="L56" s="38">
        <v>-2.0100000000000001E-4</v>
      </c>
      <c r="M56" s="27" t="s">
        <v>65</v>
      </c>
      <c r="O56" s="27" t="s">
        <v>183</v>
      </c>
      <c r="P56" s="27">
        <v>259</v>
      </c>
      <c r="Q56" s="27" t="s">
        <v>129</v>
      </c>
      <c r="R56" s="27" t="s">
        <v>380</v>
      </c>
      <c r="S56" s="27" t="s">
        <v>188</v>
      </c>
      <c r="T56" s="27" t="s">
        <v>63</v>
      </c>
      <c r="U56" s="27">
        <v>10</v>
      </c>
      <c r="V56" s="27">
        <v>20</v>
      </c>
      <c r="W56" s="37">
        <v>-2.3599999999999999E-4</v>
      </c>
      <c r="X56" s="27">
        <v>7</v>
      </c>
      <c r="Y56" s="38">
        <v>-2.0100000000000001E-4</v>
      </c>
      <c r="Z56" s="27" t="s">
        <v>65</v>
      </c>
    </row>
    <row r="57" spans="2:26" x14ac:dyDescent="0.2">
      <c r="B57" s="27" t="s">
        <v>183</v>
      </c>
      <c r="C57" s="27">
        <v>259</v>
      </c>
      <c r="D57" s="27" t="s">
        <v>129</v>
      </c>
      <c r="E57" s="27" t="s">
        <v>107</v>
      </c>
      <c r="F57" s="27" t="s">
        <v>189</v>
      </c>
      <c r="G57" s="27" t="s">
        <v>64</v>
      </c>
      <c r="H57" s="27">
        <v>60</v>
      </c>
      <c r="I57" s="27">
        <v>17</v>
      </c>
      <c r="J57" s="37">
        <v>-1.9900000000000001E-4</v>
      </c>
      <c r="K57" s="27">
        <v>5</v>
      </c>
      <c r="L57" s="38">
        <v>-1.7200000000000001E-4</v>
      </c>
      <c r="M57" s="27" t="s">
        <v>65</v>
      </c>
      <c r="O57" s="27" t="s">
        <v>183</v>
      </c>
      <c r="P57" s="27">
        <v>259</v>
      </c>
      <c r="Q57" s="27" t="s">
        <v>129</v>
      </c>
      <c r="R57" s="27" t="s">
        <v>380</v>
      </c>
      <c r="S57" s="27" t="s">
        <v>189</v>
      </c>
      <c r="T57" s="27" t="s">
        <v>64</v>
      </c>
      <c r="U57" s="27">
        <v>10</v>
      </c>
      <c r="V57" s="27">
        <v>17</v>
      </c>
      <c r="W57" s="37">
        <v>-2.0000000000000001E-4</v>
      </c>
      <c r="X57" s="27">
        <v>4</v>
      </c>
      <c r="Y57" s="38">
        <v>-1.7200000000000001E-4</v>
      </c>
      <c r="Z57" s="27" t="s">
        <v>65</v>
      </c>
    </row>
    <row r="58" spans="2:26" x14ac:dyDescent="0.2">
      <c r="B58" s="27" t="s">
        <v>183</v>
      </c>
      <c r="C58" s="27">
        <v>260</v>
      </c>
      <c r="D58" s="27" t="s">
        <v>129</v>
      </c>
      <c r="E58" s="27" t="s">
        <v>107</v>
      </c>
      <c r="F58" s="27" t="s">
        <v>190</v>
      </c>
      <c r="G58" s="27" t="s">
        <v>63</v>
      </c>
      <c r="H58" s="27">
        <v>60</v>
      </c>
      <c r="I58" s="27">
        <v>15</v>
      </c>
      <c r="J58" s="37">
        <v>-2.3599999999999999E-4</v>
      </c>
      <c r="K58" s="27">
        <v>12</v>
      </c>
      <c r="L58" s="38">
        <v>-2.02E-4</v>
      </c>
      <c r="M58" s="27" t="s">
        <v>65</v>
      </c>
      <c r="O58" s="27" t="s">
        <v>183</v>
      </c>
      <c r="P58" s="27">
        <v>260</v>
      </c>
      <c r="Q58" s="27" t="s">
        <v>129</v>
      </c>
      <c r="R58" s="27" t="s">
        <v>380</v>
      </c>
      <c r="S58" s="27" t="s">
        <v>190</v>
      </c>
      <c r="T58" s="27" t="s">
        <v>63</v>
      </c>
      <c r="U58" s="27">
        <v>10</v>
      </c>
      <c r="V58" s="27">
        <v>15</v>
      </c>
      <c r="W58" s="37">
        <v>-2.3599999999999999E-4</v>
      </c>
      <c r="X58" s="27">
        <v>9</v>
      </c>
      <c r="Y58" s="38">
        <v>-2.0100000000000001E-4</v>
      </c>
      <c r="Z58" s="27" t="s">
        <v>65</v>
      </c>
    </row>
    <row r="59" spans="2:26" x14ac:dyDescent="0.2">
      <c r="B59" s="27" t="s">
        <v>183</v>
      </c>
      <c r="C59" s="27">
        <v>260</v>
      </c>
      <c r="D59" s="27" t="s">
        <v>129</v>
      </c>
      <c r="E59" s="27" t="s">
        <v>107</v>
      </c>
      <c r="F59" s="27" t="s">
        <v>191</v>
      </c>
      <c r="G59" s="27" t="s">
        <v>64</v>
      </c>
      <c r="H59" s="27">
        <v>60</v>
      </c>
      <c r="I59" s="27">
        <v>19</v>
      </c>
      <c r="J59" s="37">
        <v>-2.0000000000000001E-4</v>
      </c>
      <c r="K59" s="27">
        <v>1</v>
      </c>
      <c r="L59" s="38">
        <v>-1.7200000000000001E-4</v>
      </c>
      <c r="M59" s="27" t="s">
        <v>65</v>
      </c>
      <c r="O59" s="27" t="s">
        <v>183</v>
      </c>
      <c r="P59" s="27">
        <v>260</v>
      </c>
      <c r="Q59" s="27" t="s">
        <v>129</v>
      </c>
      <c r="R59" s="27" t="s">
        <v>380</v>
      </c>
      <c r="S59" s="27" t="s">
        <v>191</v>
      </c>
      <c r="T59" s="27" t="s">
        <v>64</v>
      </c>
      <c r="U59" s="27">
        <v>10</v>
      </c>
      <c r="V59" s="27">
        <v>22</v>
      </c>
      <c r="W59" s="37">
        <v>-2.0000000000000001E-4</v>
      </c>
      <c r="X59" s="27">
        <v>1</v>
      </c>
      <c r="Y59" s="38">
        <v>-1.7200000000000001E-4</v>
      </c>
      <c r="Z59" s="27" t="s">
        <v>65</v>
      </c>
    </row>
    <row r="60" spans="2:26" x14ac:dyDescent="0.2">
      <c r="B60" s="27" t="s">
        <v>183</v>
      </c>
      <c r="C60" s="27">
        <v>264</v>
      </c>
      <c r="D60" s="27" t="s">
        <v>128</v>
      </c>
      <c r="E60" s="27" t="s">
        <v>107</v>
      </c>
      <c r="F60" s="27" t="s">
        <v>192</v>
      </c>
      <c r="G60" s="27" t="s">
        <v>63</v>
      </c>
      <c r="H60" s="27">
        <v>60</v>
      </c>
      <c r="I60" s="27">
        <v>20</v>
      </c>
      <c r="J60" s="37">
        <v>-1.18E-4</v>
      </c>
      <c r="K60" s="27">
        <v>4</v>
      </c>
      <c r="L60" s="38">
        <v>-1.17E-4</v>
      </c>
      <c r="M60" s="27" t="s">
        <v>65</v>
      </c>
      <c r="O60" s="27" t="s">
        <v>183</v>
      </c>
      <c r="P60" s="27">
        <v>264</v>
      </c>
      <c r="Q60" s="27" t="s">
        <v>128</v>
      </c>
      <c r="R60" s="27" t="s">
        <v>380</v>
      </c>
      <c r="S60" s="27" t="s">
        <v>192</v>
      </c>
      <c r="T60" s="27" t="s">
        <v>63</v>
      </c>
      <c r="U60" s="27">
        <v>10</v>
      </c>
      <c r="V60" s="27">
        <v>20</v>
      </c>
      <c r="W60" s="37">
        <v>-1.18E-4</v>
      </c>
      <c r="X60" s="27">
        <v>4</v>
      </c>
      <c r="Y60" s="38">
        <v>-1.17E-4</v>
      </c>
      <c r="Z60" s="27" t="s">
        <v>65</v>
      </c>
    </row>
    <row r="61" spans="2:26" x14ac:dyDescent="0.2">
      <c r="B61" s="27" t="s">
        <v>183</v>
      </c>
      <c r="C61" s="27">
        <v>264</v>
      </c>
      <c r="D61" s="27" t="s">
        <v>128</v>
      </c>
      <c r="E61" s="27" t="s">
        <v>107</v>
      </c>
      <c r="F61" s="27" t="s">
        <v>193</v>
      </c>
      <c r="G61" s="27" t="s">
        <v>64</v>
      </c>
      <c r="H61" s="27">
        <v>60</v>
      </c>
      <c r="I61" s="27">
        <v>17</v>
      </c>
      <c r="J61" s="37">
        <v>-1.93E-4</v>
      </c>
      <c r="K61" s="27">
        <v>3</v>
      </c>
      <c r="L61" s="38">
        <v>-1.92E-4</v>
      </c>
      <c r="M61" s="27" t="s">
        <v>65</v>
      </c>
      <c r="O61" s="27" t="s">
        <v>183</v>
      </c>
      <c r="P61" s="27">
        <v>264</v>
      </c>
      <c r="Q61" s="27" t="s">
        <v>128</v>
      </c>
      <c r="R61" s="27" t="s">
        <v>380</v>
      </c>
      <c r="S61" s="27" t="s">
        <v>193</v>
      </c>
      <c r="T61" s="27" t="s">
        <v>64</v>
      </c>
      <c r="U61" s="27">
        <v>10</v>
      </c>
      <c r="V61" s="27">
        <v>17</v>
      </c>
      <c r="W61" s="37">
        <v>-1.93E-4</v>
      </c>
      <c r="X61" s="27">
        <v>3</v>
      </c>
      <c r="Y61" s="38">
        <v>-1.92E-4</v>
      </c>
      <c r="Z61" s="27" t="s">
        <v>65</v>
      </c>
    </row>
    <row r="62" spans="2:26" x14ac:dyDescent="0.2">
      <c r="B62" s="27" t="s">
        <v>183</v>
      </c>
      <c r="C62" s="27">
        <v>252</v>
      </c>
      <c r="D62" s="27" t="s">
        <v>127</v>
      </c>
      <c r="E62" s="27" t="s">
        <v>107</v>
      </c>
      <c r="F62" s="27" t="s">
        <v>194</v>
      </c>
      <c r="G62" s="27" t="s">
        <v>63</v>
      </c>
      <c r="H62" s="27">
        <v>60</v>
      </c>
      <c r="I62" s="27">
        <v>9</v>
      </c>
      <c r="J62" s="37">
        <v>-5.62E-4</v>
      </c>
      <c r="K62" s="27">
        <v>6</v>
      </c>
      <c r="L62" s="38">
        <v>-4.6700000000000002E-4</v>
      </c>
      <c r="M62" s="27" t="s">
        <v>65</v>
      </c>
      <c r="O62" s="27" t="s">
        <v>183</v>
      </c>
      <c r="P62" s="27">
        <v>252</v>
      </c>
      <c r="Q62" s="27" t="s">
        <v>127</v>
      </c>
      <c r="R62" s="27" t="s">
        <v>380</v>
      </c>
      <c r="S62" s="27" t="s">
        <v>194</v>
      </c>
      <c r="T62" s="27" t="s">
        <v>63</v>
      </c>
      <c r="U62" s="27">
        <v>10</v>
      </c>
      <c r="V62" s="27">
        <v>9</v>
      </c>
      <c r="W62" s="37">
        <v>-5.6099999999999998E-4</v>
      </c>
      <c r="X62" s="27">
        <v>6</v>
      </c>
      <c r="Y62" s="38">
        <v>-4.66E-4</v>
      </c>
      <c r="Z62" s="27" t="s">
        <v>65</v>
      </c>
    </row>
    <row r="63" spans="2:26" x14ac:dyDescent="0.2">
      <c r="B63" s="27" t="s">
        <v>183</v>
      </c>
      <c r="C63" s="27">
        <v>252</v>
      </c>
      <c r="D63" s="27" t="s">
        <v>127</v>
      </c>
      <c r="E63" s="27" t="s">
        <v>107</v>
      </c>
      <c r="F63" s="27" t="s">
        <v>195</v>
      </c>
      <c r="G63" s="27" t="s">
        <v>64</v>
      </c>
      <c r="H63" s="27">
        <v>60</v>
      </c>
      <c r="I63" s="27">
        <v>16</v>
      </c>
      <c r="J63" s="37">
        <v>-4.2000000000000002E-4</v>
      </c>
      <c r="K63" s="27">
        <v>1</v>
      </c>
      <c r="L63" s="38">
        <v>-3.5599999999999998E-4</v>
      </c>
      <c r="M63" s="27" t="s">
        <v>65</v>
      </c>
      <c r="O63" s="27" t="s">
        <v>183</v>
      </c>
      <c r="P63" s="27">
        <v>252</v>
      </c>
      <c r="Q63" s="27" t="s">
        <v>127</v>
      </c>
      <c r="R63" s="27" t="s">
        <v>380</v>
      </c>
      <c r="S63" s="27" t="s">
        <v>195</v>
      </c>
      <c r="T63" s="27" t="s">
        <v>64</v>
      </c>
      <c r="U63" s="27">
        <v>10</v>
      </c>
      <c r="V63" s="27">
        <v>16</v>
      </c>
      <c r="W63" s="37">
        <v>-4.1899999999999999E-4</v>
      </c>
      <c r="X63" s="27">
        <v>1</v>
      </c>
      <c r="Y63" s="38">
        <v>-3.5500000000000001E-4</v>
      </c>
      <c r="Z63" s="27" t="s">
        <v>65</v>
      </c>
    </row>
    <row r="64" spans="2:26" x14ac:dyDescent="0.2">
      <c r="B64" s="27" t="s">
        <v>183</v>
      </c>
      <c r="C64" s="27">
        <v>268</v>
      </c>
      <c r="D64" s="27" t="s">
        <v>128</v>
      </c>
      <c r="E64" s="27" t="s">
        <v>107</v>
      </c>
      <c r="F64" s="27" t="s">
        <v>196</v>
      </c>
      <c r="G64" s="27" t="s">
        <v>63</v>
      </c>
      <c r="H64" s="27">
        <v>60</v>
      </c>
      <c r="I64" s="27">
        <v>20</v>
      </c>
      <c r="J64" s="37">
        <v>-1.2999999999999999E-4</v>
      </c>
      <c r="K64" s="27">
        <v>4</v>
      </c>
      <c r="L64" s="38">
        <v>-1.16E-4</v>
      </c>
      <c r="M64" s="27" t="s">
        <v>65</v>
      </c>
      <c r="O64" s="27" t="s">
        <v>183</v>
      </c>
      <c r="P64" s="27">
        <v>268</v>
      </c>
      <c r="Q64" s="27" t="s">
        <v>128</v>
      </c>
      <c r="R64" s="27" t="s">
        <v>380</v>
      </c>
      <c r="S64" s="27" t="s">
        <v>196</v>
      </c>
      <c r="T64" s="27" t="s">
        <v>63</v>
      </c>
      <c r="U64" s="27">
        <v>10</v>
      </c>
      <c r="V64" s="27">
        <v>20</v>
      </c>
      <c r="W64" s="37">
        <v>-1.2999999999999999E-4</v>
      </c>
      <c r="X64" s="27">
        <v>4</v>
      </c>
      <c r="Y64" s="38">
        <v>-1.16E-4</v>
      </c>
      <c r="Z64" s="27" t="s">
        <v>65</v>
      </c>
    </row>
    <row r="65" spans="2:26" x14ac:dyDescent="0.2">
      <c r="B65" s="27" t="s">
        <v>183</v>
      </c>
      <c r="C65" s="27">
        <v>268</v>
      </c>
      <c r="D65" s="27" t="s">
        <v>128</v>
      </c>
      <c r="E65" s="27" t="s">
        <v>107</v>
      </c>
      <c r="F65" s="27" t="s">
        <v>197</v>
      </c>
      <c r="G65" s="27" t="s">
        <v>64</v>
      </c>
      <c r="H65" s="27">
        <v>60</v>
      </c>
      <c r="I65" s="27">
        <v>17</v>
      </c>
      <c r="J65" s="37">
        <v>-1.95E-4</v>
      </c>
      <c r="K65" s="27">
        <v>3</v>
      </c>
      <c r="L65" s="38">
        <v>-1.8699999999999999E-4</v>
      </c>
      <c r="M65" s="27" t="s">
        <v>65</v>
      </c>
      <c r="O65" s="27" t="s">
        <v>183</v>
      </c>
      <c r="P65" s="27">
        <v>268</v>
      </c>
      <c r="Q65" s="27" t="s">
        <v>128</v>
      </c>
      <c r="R65" s="27" t="s">
        <v>380</v>
      </c>
      <c r="S65" s="27" t="s">
        <v>197</v>
      </c>
      <c r="T65" s="27" t="s">
        <v>64</v>
      </c>
      <c r="U65" s="27">
        <v>10</v>
      </c>
      <c r="V65" s="27">
        <v>17</v>
      </c>
      <c r="W65" s="37">
        <v>-1.95E-4</v>
      </c>
      <c r="X65" s="27">
        <v>3</v>
      </c>
      <c r="Y65" s="38">
        <v>-1.8799999999999999E-4</v>
      </c>
      <c r="Z65" s="27" t="s">
        <v>65</v>
      </c>
    </row>
    <row r="66" spans="2:26" x14ac:dyDescent="0.2">
      <c r="B66" s="27" t="s">
        <v>183</v>
      </c>
      <c r="C66" s="27">
        <v>253</v>
      </c>
      <c r="D66" s="27" t="s">
        <v>129</v>
      </c>
      <c r="E66" s="27" t="s">
        <v>107</v>
      </c>
      <c r="F66" s="27" t="s">
        <v>198</v>
      </c>
      <c r="G66" s="27" t="s">
        <v>63</v>
      </c>
      <c r="H66" s="27">
        <v>60</v>
      </c>
      <c r="I66" s="27">
        <v>15</v>
      </c>
      <c r="J66" s="37">
        <v>-1.9799999999999999E-4</v>
      </c>
      <c r="K66" s="27">
        <v>9</v>
      </c>
      <c r="L66" s="38">
        <v>-1.76E-4</v>
      </c>
      <c r="M66" s="27" t="s">
        <v>65</v>
      </c>
      <c r="O66" s="27" t="s">
        <v>183</v>
      </c>
      <c r="P66" s="27">
        <v>253</v>
      </c>
      <c r="Q66" s="27" t="s">
        <v>129</v>
      </c>
      <c r="R66" s="27" t="s">
        <v>380</v>
      </c>
      <c r="S66" s="27" t="s">
        <v>198</v>
      </c>
      <c r="T66" s="27" t="s">
        <v>63</v>
      </c>
      <c r="U66" s="27">
        <v>10</v>
      </c>
      <c r="V66" s="27">
        <v>15</v>
      </c>
      <c r="W66" s="37">
        <v>-1.9799999999999999E-4</v>
      </c>
      <c r="X66" s="27">
        <v>9</v>
      </c>
      <c r="Y66" s="38">
        <v>-1.76E-4</v>
      </c>
      <c r="Z66" s="27" t="s">
        <v>65</v>
      </c>
    </row>
    <row r="67" spans="2:26" x14ac:dyDescent="0.2">
      <c r="B67" s="27" t="s">
        <v>183</v>
      </c>
      <c r="C67" s="27">
        <v>253</v>
      </c>
      <c r="D67" s="27" t="s">
        <v>129</v>
      </c>
      <c r="E67" s="27" t="s">
        <v>107</v>
      </c>
      <c r="F67" s="27" t="s">
        <v>199</v>
      </c>
      <c r="G67" s="27" t="s">
        <v>64</v>
      </c>
      <c r="H67" s="27">
        <v>60</v>
      </c>
      <c r="I67" s="27">
        <v>17</v>
      </c>
      <c r="J67" s="37">
        <v>-1.9000000000000001E-4</v>
      </c>
      <c r="K67" s="27">
        <v>1</v>
      </c>
      <c r="L67" s="38">
        <v>-1.6899999999999999E-4</v>
      </c>
      <c r="M67" s="27" t="s">
        <v>65</v>
      </c>
      <c r="O67" s="27" t="s">
        <v>183</v>
      </c>
      <c r="P67" s="27">
        <v>253</v>
      </c>
      <c r="Q67" s="27" t="s">
        <v>129</v>
      </c>
      <c r="R67" s="27" t="s">
        <v>380</v>
      </c>
      <c r="S67" s="27" t="s">
        <v>199</v>
      </c>
      <c r="T67" s="27" t="s">
        <v>64</v>
      </c>
      <c r="U67" s="27">
        <v>10</v>
      </c>
      <c r="V67" s="27">
        <v>17</v>
      </c>
      <c r="W67" s="37">
        <v>-1.9100000000000001E-4</v>
      </c>
      <c r="X67" s="27">
        <v>6</v>
      </c>
      <c r="Y67" s="38">
        <v>-1.7000000000000001E-4</v>
      </c>
      <c r="Z67" s="27" t="s">
        <v>65</v>
      </c>
    </row>
    <row r="68" spans="2:26" x14ac:dyDescent="0.2">
      <c r="B68" s="27" t="s">
        <v>183</v>
      </c>
      <c r="C68" s="27">
        <v>271</v>
      </c>
      <c r="D68" s="27" t="s">
        <v>128</v>
      </c>
      <c r="E68" s="27" t="s">
        <v>107</v>
      </c>
      <c r="F68" s="27" t="s">
        <v>200</v>
      </c>
      <c r="G68" s="27" t="s">
        <v>63</v>
      </c>
      <c r="H68" s="27">
        <v>60</v>
      </c>
      <c r="I68" s="27">
        <v>20</v>
      </c>
      <c r="J68" s="37">
        <v>-1.07E-4</v>
      </c>
      <c r="K68" s="27">
        <v>4</v>
      </c>
      <c r="L68" s="38">
        <v>-1.07E-4</v>
      </c>
      <c r="M68" s="27" t="s">
        <v>65</v>
      </c>
      <c r="O68" s="27" t="s">
        <v>183</v>
      </c>
      <c r="P68" s="27">
        <v>271</v>
      </c>
      <c r="Q68" s="27" t="s">
        <v>128</v>
      </c>
      <c r="R68" s="27" t="s">
        <v>380</v>
      </c>
      <c r="S68" s="27" t="s">
        <v>200</v>
      </c>
      <c r="T68" s="27" t="s">
        <v>63</v>
      </c>
      <c r="U68" s="27">
        <v>10</v>
      </c>
      <c r="V68" s="27">
        <v>20</v>
      </c>
      <c r="W68" s="37">
        <v>-1.08E-4</v>
      </c>
      <c r="X68" s="27">
        <v>4</v>
      </c>
      <c r="Y68" s="38">
        <v>-1.07E-4</v>
      </c>
      <c r="Z68" s="27" t="s">
        <v>65</v>
      </c>
    </row>
    <row r="69" spans="2:26" x14ac:dyDescent="0.2">
      <c r="B69" s="27" t="s">
        <v>183</v>
      </c>
      <c r="C69" s="27">
        <v>271</v>
      </c>
      <c r="D69" s="27" t="s">
        <v>128</v>
      </c>
      <c r="E69" s="27" t="s">
        <v>107</v>
      </c>
      <c r="F69" s="27" t="s">
        <v>201</v>
      </c>
      <c r="G69" s="27" t="s">
        <v>64</v>
      </c>
      <c r="H69" s="27">
        <v>60</v>
      </c>
      <c r="I69" s="27">
        <v>17</v>
      </c>
      <c r="J69" s="37">
        <v>-1.95E-4</v>
      </c>
      <c r="K69" s="27">
        <v>3</v>
      </c>
      <c r="L69" s="38">
        <v>-1.95E-4</v>
      </c>
      <c r="M69" s="27" t="s">
        <v>65</v>
      </c>
      <c r="O69" s="27" t="s">
        <v>183</v>
      </c>
      <c r="P69" s="27">
        <v>271</v>
      </c>
      <c r="Q69" s="27" t="s">
        <v>128</v>
      </c>
      <c r="R69" s="27" t="s">
        <v>380</v>
      </c>
      <c r="S69" s="27" t="s">
        <v>201</v>
      </c>
      <c r="T69" s="27" t="s">
        <v>64</v>
      </c>
      <c r="U69" s="27">
        <v>10</v>
      </c>
      <c r="V69" s="27">
        <v>17</v>
      </c>
      <c r="W69" s="37">
        <v>-1.9599999999999999E-4</v>
      </c>
      <c r="X69" s="27">
        <v>3</v>
      </c>
      <c r="Y69" s="38">
        <v>-1.9599999999999999E-4</v>
      </c>
      <c r="Z69" s="27" t="s">
        <v>65</v>
      </c>
    </row>
    <row r="70" spans="2:26" x14ac:dyDescent="0.2">
      <c r="B70" s="27" t="s">
        <v>183</v>
      </c>
      <c r="C70" s="27">
        <v>272</v>
      </c>
      <c r="D70" s="27" t="s">
        <v>128</v>
      </c>
      <c r="E70" s="27" t="s">
        <v>107</v>
      </c>
      <c r="F70" s="27" t="s">
        <v>202</v>
      </c>
      <c r="G70" s="27" t="s">
        <v>63</v>
      </c>
      <c r="H70" s="27">
        <v>60</v>
      </c>
      <c r="I70" s="27">
        <v>15</v>
      </c>
      <c r="J70" s="37">
        <v>-1.08E-4</v>
      </c>
      <c r="K70" s="27">
        <v>6</v>
      </c>
      <c r="L70" s="38">
        <v>-1.07E-4</v>
      </c>
      <c r="M70" s="27" t="s">
        <v>65</v>
      </c>
      <c r="O70" s="27" t="s">
        <v>183</v>
      </c>
      <c r="P70" s="27">
        <v>272</v>
      </c>
      <c r="Q70" s="27" t="s">
        <v>128</v>
      </c>
      <c r="R70" s="27" t="s">
        <v>380</v>
      </c>
      <c r="S70" s="27" t="s">
        <v>202</v>
      </c>
      <c r="T70" s="27" t="s">
        <v>63</v>
      </c>
      <c r="U70" s="27">
        <v>10</v>
      </c>
      <c r="V70" s="27">
        <v>15</v>
      </c>
      <c r="W70" s="37">
        <v>-1.07E-4</v>
      </c>
      <c r="X70" s="27">
        <v>6</v>
      </c>
      <c r="Y70" s="38">
        <v>-1.06E-4</v>
      </c>
      <c r="Z70" s="27" t="s">
        <v>65</v>
      </c>
    </row>
    <row r="71" spans="2:26" x14ac:dyDescent="0.2">
      <c r="B71" s="27" t="s">
        <v>183</v>
      </c>
      <c r="C71" s="27">
        <v>272</v>
      </c>
      <c r="D71" s="27" t="s">
        <v>128</v>
      </c>
      <c r="E71" s="27" t="s">
        <v>107</v>
      </c>
      <c r="F71" s="27" t="s">
        <v>203</v>
      </c>
      <c r="G71" s="27" t="s">
        <v>64</v>
      </c>
      <c r="H71" s="27">
        <v>60</v>
      </c>
      <c r="I71" s="27">
        <v>22</v>
      </c>
      <c r="J71" s="37">
        <v>-1.95E-4</v>
      </c>
      <c r="K71" s="27">
        <v>1</v>
      </c>
      <c r="L71" s="38">
        <v>-1.95E-4</v>
      </c>
      <c r="M71" s="27" t="s">
        <v>65</v>
      </c>
      <c r="O71" s="27" t="s">
        <v>183</v>
      </c>
      <c r="P71" s="27">
        <v>272</v>
      </c>
      <c r="Q71" s="27" t="s">
        <v>128</v>
      </c>
      <c r="R71" s="27" t="s">
        <v>380</v>
      </c>
      <c r="S71" s="27" t="s">
        <v>203</v>
      </c>
      <c r="T71" s="27" t="s">
        <v>64</v>
      </c>
      <c r="U71" s="27">
        <v>10</v>
      </c>
      <c r="V71" s="27">
        <v>22</v>
      </c>
      <c r="W71" s="37">
        <v>-1.95E-4</v>
      </c>
      <c r="X71" s="27">
        <v>1</v>
      </c>
      <c r="Y71" s="38">
        <v>-1.95E-4</v>
      </c>
      <c r="Z71" s="27" t="s">
        <v>65</v>
      </c>
    </row>
    <row r="72" spans="2:26" x14ac:dyDescent="0.2">
      <c r="B72" s="27" t="s">
        <v>183</v>
      </c>
      <c r="C72" s="27">
        <v>255</v>
      </c>
      <c r="D72" s="27" t="s">
        <v>129</v>
      </c>
      <c r="E72" s="27" t="s">
        <v>107</v>
      </c>
      <c r="F72" s="27" t="s">
        <v>204</v>
      </c>
      <c r="G72" s="27" t="s">
        <v>63</v>
      </c>
      <c r="H72" s="27">
        <v>60</v>
      </c>
      <c r="I72" s="27">
        <v>20</v>
      </c>
      <c r="J72" s="37">
        <v>-1.9699999999999999E-4</v>
      </c>
      <c r="K72" s="27">
        <v>7</v>
      </c>
      <c r="L72" s="38">
        <v>-1.75E-4</v>
      </c>
      <c r="M72" s="27" t="s">
        <v>65</v>
      </c>
      <c r="O72" s="27" t="s">
        <v>183</v>
      </c>
      <c r="P72" s="27">
        <v>255</v>
      </c>
      <c r="Q72" s="27" t="s">
        <v>129</v>
      </c>
      <c r="R72" s="27" t="s">
        <v>380</v>
      </c>
      <c r="S72" s="27" t="s">
        <v>204</v>
      </c>
      <c r="T72" s="27" t="s">
        <v>63</v>
      </c>
      <c r="U72" s="27">
        <v>10</v>
      </c>
      <c r="V72" s="27">
        <v>20</v>
      </c>
      <c r="W72" s="37">
        <v>-1.9699999999999999E-4</v>
      </c>
      <c r="X72" s="27">
        <v>7</v>
      </c>
      <c r="Y72" s="38">
        <v>-1.75E-4</v>
      </c>
      <c r="Z72" s="27" t="s">
        <v>65</v>
      </c>
    </row>
    <row r="73" spans="2:26" x14ac:dyDescent="0.2">
      <c r="B73" s="27" t="s">
        <v>183</v>
      </c>
      <c r="C73" s="27">
        <v>255</v>
      </c>
      <c r="D73" s="27" t="s">
        <v>129</v>
      </c>
      <c r="E73" s="27" t="s">
        <v>107</v>
      </c>
      <c r="F73" s="27" t="s">
        <v>205</v>
      </c>
      <c r="G73" s="27" t="s">
        <v>64</v>
      </c>
      <c r="H73" s="27">
        <v>60</v>
      </c>
      <c r="I73" s="27">
        <v>17</v>
      </c>
      <c r="J73" s="37">
        <v>-1.8699999999999999E-4</v>
      </c>
      <c r="K73" s="27">
        <v>6</v>
      </c>
      <c r="L73" s="38">
        <v>-1.6699999999999999E-4</v>
      </c>
      <c r="M73" s="27" t="s">
        <v>65</v>
      </c>
      <c r="O73" s="27" t="s">
        <v>183</v>
      </c>
      <c r="P73" s="27">
        <v>255</v>
      </c>
      <c r="Q73" s="27" t="s">
        <v>129</v>
      </c>
      <c r="R73" s="27" t="s">
        <v>380</v>
      </c>
      <c r="S73" s="27" t="s">
        <v>205</v>
      </c>
      <c r="T73" s="27" t="s">
        <v>64</v>
      </c>
      <c r="U73" s="27">
        <v>10</v>
      </c>
      <c r="V73" s="27">
        <v>17</v>
      </c>
      <c r="W73" s="37">
        <v>-1.8699999999999999E-4</v>
      </c>
      <c r="X73" s="27">
        <v>5</v>
      </c>
      <c r="Y73" s="38">
        <v>-1.6699999999999999E-4</v>
      </c>
      <c r="Z73" s="27" t="s">
        <v>65</v>
      </c>
    </row>
    <row r="74" spans="2:26" x14ac:dyDescent="0.2">
      <c r="B74" s="27" t="s">
        <v>183</v>
      </c>
      <c r="C74" s="27">
        <v>266</v>
      </c>
      <c r="D74" s="27" t="s">
        <v>128</v>
      </c>
      <c r="E74" s="27" t="s">
        <v>107</v>
      </c>
      <c r="F74" s="27" t="s">
        <v>206</v>
      </c>
      <c r="G74" s="27" t="s">
        <v>63</v>
      </c>
      <c r="H74" s="27">
        <v>60</v>
      </c>
      <c r="I74" s="27">
        <v>15</v>
      </c>
      <c r="J74" s="37">
        <v>-1.2999999999999999E-4</v>
      </c>
      <c r="K74" s="27">
        <v>6</v>
      </c>
      <c r="L74" s="38">
        <v>-1.16E-4</v>
      </c>
      <c r="M74" s="27" t="s">
        <v>65</v>
      </c>
      <c r="O74" s="27" t="s">
        <v>183</v>
      </c>
      <c r="P74" s="27">
        <v>266</v>
      </c>
      <c r="Q74" s="27" t="s">
        <v>128</v>
      </c>
      <c r="R74" s="27" t="s">
        <v>380</v>
      </c>
      <c r="S74" s="27" t="s">
        <v>206</v>
      </c>
      <c r="T74" s="27" t="s">
        <v>63</v>
      </c>
      <c r="U74" s="27">
        <v>10</v>
      </c>
      <c r="V74" s="27">
        <v>15</v>
      </c>
      <c r="W74" s="37">
        <v>-1.2999999999999999E-4</v>
      </c>
      <c r="X74" s="27">
        <v>3</v>
      </c>
      <c r="Y74" s="38">
        <v>-1.15E-4</v>
      </c>
      <c r="Z74" s="27" t="s">
        <v>65</v>
      </c>
    </row>
    <row r="75" spans="2:26" x14ac:dyDescent="0.2">
      <c r="B75" s="27" t="s">
        <v>183</v>
      </c>
      <c r="C75" s="27">
        <v>266</v>
      </c>
      <c r="D75" s="27" t="s">
        <v>128</v>
      </c>
      <c r="E75" s="27" t="s">
        <v>107</v>
      </c>
      <c r="F75" s="27" t="s">
        <v>207</v>
      </c>
      <c r="G75" s="27" t="s">
        <v>64</v>
      </c>
      <c r="H75" s="27">
        <v>60</v>
      </c>
      <c r="I75" s="27">
        <v>22</v>
      </c>
      <c r="J75" s="37">
        <v>-1.95E-4</v>
      </c>
      <c r="K75" s="27">
        <v>1</v>
      </c>
      <c r="L75" s="38">
        <v>-1.8699999999999999E-4</v>
      </c>
      <c r="M75" s="27" t="s">
        <v>65</v>
      </c>
      <c r="O75" s="27" t="s">
        <v>183</v>
      </c>
      <c r="P75" s="27">
        <v>266</v>
      </c>
      <c r="Q75" s="27" t="s">
        <v>128</v>
      </c>
      <c r="R75" s="27" t="s">
        <v>380</v>
      </c>
      <c r="S75" s="27" t="s">
        <v>207</v>
      </c>
      <c r="T75" s="27" t="s">
        <v>64</v>
      </c>
      <c r="U75" s="27">
        <v>10</v>
      </c>
      <c r="V75" s="27">
        <v>22</v>
      </c>
      <c r="W75" s="37">
        <v>-1.95E-4</v>
      </c>
      <c r="X75" s="27">
        <v>1</v>
      </c>
      <c r="Y75" s="38">
        <v>-1.8599999999999999E-4</v>
      </c>
      <c r="Z75" s="27" t="s">
        <v>65</v>
      </c>
    </row>
    <row r="76" spans="2:26" x14ac:dyDescent="0.2">
      <c r="B76" s="27" t="s">
        <v>183</v>
      </c>
      <c r="C76" s="27">
        <v>267</v>
      </c>
      <c r="D76" s="27" t="s">
        <v>128</v>
      </c>
      <c r="E76" s="27" t="s">
        <v>107</v>
      </c>
      <c r="F76" s="27" t="s">
        <v>208</v>
      </c>
      <c r="G76" s="27" t="s">
        <v>63</v>
      </c>
      <c r="H76" s="27">
        <v>60</v>
      </c>
      <c r="I76" s="27">
        <v>20</v>
      </c>
      <c r="J76" s="37">
        <v>-1.34E-4</v>
      </c>
      <c r="K76" s="27">
        <v>4</v>
      </c>
      <c r="L76" s="38">
        <v>-1.2E-4</v>
      </c>
      <c r="M76" s="27" t="s">
        <v>65</v>
      </c>
      <c r="O76" s="27" t="s">
        <v>183</v>
      </c>
      <c r="P76" s="27">
        <v>267</v>
      </c>
      <c r="Q76" s="27" t="s">
        <v>128</v>
      </c>
      <c r="R76" s="27" t="s">
        <v>380</v>
      </c>
      <c r="S76" s="27" t="s">
        <v>208</v>
      </c>
      <c r="T76" s="27" t="s">
        <v>63</v>
      </c>
      <c r="U76" s="27">
        <v>10</v>
      </c>
      <c r="V76" s="27">
        <v>20</v>
      </c>
      <c r="W76" s="37">
        <v>-1.34E-4</v>
      </c>
      <c r="X76" s="27">
        <v>4</v>
      </c>
      <c r="Y76" s="38">
        <v>-1.2E-4</v>
      </c>
      <c r="Z76" s="27" t="s">
        <v>65</v>
      </c>
    </row>
    <row r="77" spans="2:26" x14ac:dyDescent="0.2">
      <c r="B77" s="27" t="s">
        <v>183</v>
      </c>
      <c r="C77" s="27">
        <v>267</v>
      </c>
      <c r="D77" s="27" t="s">
        <v>128</v>
      </c>
      <c r="E77" s="27" t="s">
        <v>107</v>
      </c>
      <c r="F77" s="27" t="s">
        <v>209</v>
      </c>
      <c r="G77" s="27" t="s">
        <v>64</v>
      </c>
      <c r="H77" s="27">
        <v>60</v>
      </c>
      <c r="I77" s="27">
        <v>17</v>
      </c>
      <c r="J77" s="37">
        <v>-1.9599999999999999E-4</v>
      </c>
      <c r="K77" s="27">
        <v>3</v>
      </c>
      <c r="L77" s="38">
        <v>-1.8799999999999999E-4</v>
      </c>
      <c r="M77" s="27" t="s">
        <v>65</v>
      </c>
      <c r="O77" s="27" t="s">
        <v>183</v>
      </c>
      <c r="P77" s="27">
        <v>267</v>
      </c>
      <c r="Q77" s="27" t="s">
        <v>128</v>
      </c>
      <c r="R77" s="27" t="s">
        <v>380</v>
      </c>
      <c r="S77" s="27" t="s">
        <v>209</v>
      </c>
      <c r="T77" s="27" t="s">
        <v>64</v>
      </c>
      <c r="U77" s="27">
        <v>10</v>
      </c>
      <c r="V77" s="27">
        <v>17</v>
      </c>
      <c r="W77" s="37">
        <v>-1.9699999999999999E-4</v>
      </c>
      <c r="X77" s="27">
        <v>3</v>
      </c>
      <c r="Y77" s="38">
        <v>-1.8900000000000001E-4</v>
      </c>
      <c r="Z77" s="27" t="s">
        <v>65</v>
      </c>
    </row>
    <row r="78" spans="2:26" x14ac:dyDescent="0.2">
      <c r="B78" s="27" t="s">
        <v>183</v>
      </c>
      <c r="C78" s="27">
        <v>254</v>
      </c>
      <c r="D78" s="27" t="s">
        <v>129</v>
      </c>
      <c r="E78" s="27" t="s">
        <v>107</v>
      </c>
      <c r="F78" s="27" t="s">
        <v>210</v>
      </c>
      <c r="G78" s="27" t="s">
        <v>63</v>
      </c>
      <c r="H78" s="27">
        <v>60</v>
      </c>
      <c r="I78" s="27">
        <v>15</v>
      </c>
      <c r="J78" s="37">
        <v>-1.9799999999999999E-4</v>
      </c>
      <c r="K78" s="27">
        <v>9</v>
      </c>
      <c r="L78" s="38">
        <v>-1.76E-4</v>
      </c>
      <c r="M78" s="27" t="s">
        <v>65</v>
      </c>
      <c r="O78" s="27" t="s">
        <v>183</v>
      </c>
      <c r="P78" s="27">
        <v>254</v>
      </c>
      <c r="Q78" s="27" t="s">
        <v>129</v>
      </c>
      <c r="R78" s="27" t="s">
        <v>380</v>
      </c>
      <c r="S78" s="27" t="s">
        <v>210</v>
      </c>
      <c r="T78" s="27" t="s">
        <v>63</v>
      </c>
      <c r="U78" s="27">
        <v>10</v>
      </c>
      <c r="V78" s="27">
        <v>15</v>
      </c>
      <c r="W78" s="37">
        <v>-1.9799999999999999E-4</v>
      </c>
      <c r="X78" s="27">
        <v>9</v>
      </c>
      <c r="Y78" s="38">
        <v>-1.76E-4</v>
      </c>
      <c r="Z78" s="27" t="s">
        <v>65</v>
      </c>
    </row>
    <row r="79" spans="2:26" x14ac:dyDescent="0.2">
      <c r="B79" s="27" t="s">
        <v>183</v>
      </c>
      <c r="C79" s="27">
        <v>254</v>
      </c>
      <c r="D79" s="27" t="s">
        <v>129</v>
      </c>
      <c r="E79" s="27" t="s">
        <v>107</v>
      </c>
      <c r="F79" s="27" t="s">
        <v>211</v>
      </c>
      <c r="G79" s="27" t="s">
        <v>64</v>
      </c>
      <c r="H79" s="27">
        <v>60</v>
      </c>
      <c r="I79" s="27">
        <v>17</v>
      </c>
      <c r="J79" s="37">
        <v>-1.8900000000000001E-4</v>
      </c>
      <c r="K79" s="27">
        <v>1</v>
      </c>
      <c r="L79" s="38">
        <v>-1.6799999999999999E-4</v>
      </c>
      <c r="M79" s="27" t="s">
        <v>65</v>
      </c>
      <c r="O79" s="27" t="s">
        <v>183</v>
      </c>
      <c r="P79" s="27">
        <v>254</v>
      </c>
      <c r="Q79" s="27" t="s">
        <v>129</v>
      </c>
      <c r="R79" s="27" t="s">
        <v>380</v>
      </c>
      <c r="S79" s="27" t="s">
        <v>211</v>
      </c>
      <c r="T79" s="27" t="s">
        <v>64</v>
      </c>
      <c r="U79" s="27">
        <v>10</v>
      </c>
      <c r="V79" s="27">
        <v>17</v>
      </c>
      <c r="W79" s="37">
        <v>-1.9000000000000001E-4</v>
      </c>
      <c r="X79" s="27">
        <v>5</v>
      </c>
      <c r="Y79" s="38">
        <v>-1.6899999999999999E-4</v>
      </c>
      <c r="Z79" s="27" t="s">
        <v>65</v>
      </c>
    </row>
    <row r="80" spans="2:26" x14ac:dyDescent="0.2">
      <c r="B80" s="27" t="s">
        <v>183</v>
      </c>
      <c r="C80" s="27">
        <v>269</v>
      </c>
      <c r="D80" s="27" t="s">
        <v>128</v>
      </c>
      <c r="E80" s="27" t="s">
        <v>107</v>
      </c>
      <c r="F80" s="27" t="s">
        <v>212</v>
      </c>
      <c r="G80" s="27" t="s">
        <v>63</v>
      </c>
      <c r="H80" s="27">
        <v>60</v>
      </c>
      <c r="I80" s="27">
        <v>20</v>
      </c>
      <c r="J80" s="37">
        <v>-1.05E-4</v>
      </c>
      <c r="K80" s="27">
        <v>4</v>
      </c>
      <c r="L80" s="38">
        <v>-1.05E-4</v>
      </c>
      <c r="M80" s="27" t="s">
        <v>65</v>
      </c>
      <c r="O80" s="27" t="s">
        <v>183</v>
      </c>
      <c r="P80" s="27">
        <v>269</v>
      </c>
      <c r="Q80" s="27" t="s">
        <v>128</v>
      </c>
      <c r="R80" s="27" t="s">
        <v>380</v>
      </c>
      <c r="S80" s="27" t="s">
        <v>212</v>
      </c>
      <c r="T80" s="27" t="s">
        <v>63</v>
      </c>
      <c r="U80" s="27">
        <v>10</v>
      </c>
      <c r="V80" s="27">
        <v>20</v>
      </c>
      <c r="W80" s="37">
        <v>-1.05E-4</v>
      </c>
      <c r="X80" s="27">
        <v>4</v>
      </c>
      <c r="Y80" s="38">
        <v>-1.05E-4</v>
      </c>
      <c r="Z80" s="27" t="s">
        <v>65</v>
      </c>
    </row>
    <row r="81" spans="2:26" x14ac:dyDescent="0.2">
      <c r="B81" s="27" t="s">
        <v>183</v>
      </c>
      <c r="C81" s="27">
        <v>269</v>
      </c>
      <c r="D81" s="27" t="s">
        <v>128</v>
      </c>
      <c r="E81" s="27" t="s">
        <v>107</v>
      </c>
      <c r="F81" s="27" t="s">
        <v>213</v>
      </c>
      <c r="G81" s="27" t="s">
        <v>64</v>
      </c>
      <c r="H81" s="27">
        <v>60</v>
      </c>
      <c r="I81" s="27">
        <v>17</v>
      </c>
      <c r="J81" s="37">
        <v>-1.92E-4</v>
      </c>
      <c r="K81" s="27">
        <v>3</v>
      </c>
      <c r="L81" s="38">
        <v>-1.92E-4</v>
      </c>
      <c r="M81" s="27" t="s">
        <v>65</v>
      </c>
      <c r="O81" s="27" t="s">
        <v>183</v>
      </c>
      <c r="P81" s="27">
        <v>269</v>
      </c>
      <c r="Q81" s="27" t="s">
        <v>128</v>
      </c>
      <c r="R81" s="27" t="s">
        <v>380</v>
      </c>
      <c r="S81" s="27" t="s">
        <v>213</v>
      </c>
      <c r="T81" s="27" t="s">
        <v>64</v>
      </c>
      <c r="U81" s="27">
        <v>10</v>
      </c>
      <c r="V81" s="27">
        <v>17</v>
      </c>
      <c r="W81" s="37">
        <v>-1.92E-4</v>
      </c>
      <c r="X81" s="27">
        <v>3</v>
      </c>
      <c r="Y81" s="38">
        <v>-1.92E-4</v>
      </c>
      <c r="Z81" s="27" t="s">
        <v>65</v>
      </c>
    </row>
    <row r="82" spans="2:26" x14ac:dyDescent="0.2">
      <c r="B82" s="27" t="s">
        <v>183</v>
      </c>
      <c r="C82" s="27">
        <v>270</v>
      </c>
      <c r="D82" s="27" t="s">
        <v>128</v>
      </c>
      <c r="E82" s="27" t="s">
        <v>107</v>
      </c>
      <c r="F82" s="27" t="s">
        <v>214</v>
      </c>
      <c r="G82" s="27" t="s">
        <v>63</v>
      </c>
      <c r="H82" s="27">
        <v>60</v>
      </c>
      <c r="I82" s="27">
        <v>15</v>
      </c>
      <c r="J82" s="37">
        <v>-1.05E-4</v>
      </c>
      <c r="K82" s="27">
        <v>6</v>
      </c>
      <c r="L82" s="38">
        <v>-1.05E-4</v>
      </c>
      <c r="M82" s="27" t="s">
        <v>65</v>
      </c>
      <c r="O82" s="27" t="s">
        <v>183</v>
      </c>
      <c r="P82" s="27">
        <v>270</v>
      </c>
      <c r="Q82" s="27" t="s">
        <v>128</v>
      </c>
      <c r="R82" s="27" t="s">
        <v>380</v>
      </c>
      <c r="S82" s="27" t="s">
        <v>214</v>
      </c>
      <c r="T82" s="27" t="s">
        <v>63</v>
      </c>
      <c r="U82" s="27">
        <v>10</v>
      </c>
      <c r="V82" s="27">
        <v>15</v>
      </c>
      <c r="W82" s="37">
        <v>-1.0399999999999999E-4</v>
      </c>
      <c r="X82" s="27">
        <v>6</v>
      </c>
      <c r="Y82" s="38">
        <v>-1.0399999999999999E-4</v>
      </c>
      <c r="Z82" s="27" t="s">
        <v>65</v>
      </c>
    </row>
    <row r="83" spans="2:26" x14ac:dyDescent="0.2">
      <c r="B83" s="27" t="s">
        <v>183</v>
      </c>
      <c r="C83" s="27">
        <v>270</v>
      </c>
      <c r="D83" s="27" t="s">
        <v>128</v>
      </c>
      <c r="E83" s="27" t="s">
        <v>107</v>
      </c>
      <c r="F83" s="27" t="s">
        <v>215</v>
      </c>
      <c r="G83" s="27" t="s">
        <v>64</v>
      </c>
      <c r="H83" s="27">
        <v>60</v>
      </c>
      <c r="I83" s="27">
        <v>22</v>
      </c>
      <c r="J83" s="37">
        <v>-1.9100000000000001E-4</v>
      </c>
      <c r="K83" s="27">
        <v>1</v>
      </c>
      <c r="L83" s="38">
        <v>-1.92E-4</v>
      </c>
      <c r="M83" s="27" t="s">
        <v>65</v>
      </c>
      <c r="O83" s="27" t="s">
        <v>183</v>
      </c>
      <c r="P83" s="27">
        <v>270</v>
      </c>
      <c r="Q83" s="27" t="s">
        <v>128</v>
      </c>
      <c r="R83" s="27" t="s">
        <v>380</v>
      </c>
      <c r="S83" s="27" t="s">
        <v>215</v>
      </c>
      <c r="T83" s="27" t="s">
        <v>64</v>
      </c>
      <c r="U83" s="27">
        <v>10</v>
      </c>
      <c r="V83" s="27">
        <v>22</v>
      </c>
      <c r="W83" s="37">
        <v>-1.9100000000000001E-4</v>
      </c>
      <c r="X83" s="27">
        <v>1</v>
      </c>
      <c r="Y83" s="38">
        <v>-1.9100000000000001E-4</v>
      </c>
      <c r="Z83" s="27" t="s">
        <v>65</v>
      </c>
    </row>
    <row r="84" spans="2:26" x14ac:dyDescent="0.2">
      <c r="B84" s="27" t="s">
        <v>183</v>
      </c>
      <c r="C84" s="27">
        <v>256</v>
      </c>
      <c r="D84" s="27" t="s">
        <v>129</v>
      </c>
      <c r="E84" s="27" t="s">
        <v>107</v>
      </c>
      <c r="F84" s="27" t="s">
        <v>216</v>
      </c>
      <c r="G84" s="27" t="s">
        <v>63</v>
      </c>
      <c r="H84" s="27">
        <v>60</v>
      </c>
      <c r="I84" s="27">
        <v>20</v>
      </c>
      <c r="J84" s="37">
        <v>-1.9799999999999999E-4</v>
      </c>
      <c r="K84" s="27">
        <v>7</v>
      </c>
      <c r="L84" s="38">
        <v>-1.76E-4</v>
      </c>
      <c r="M84" s="27" t="s">
        <v>65</v>
      </c>
      <c r="O84" s="27" t="s">
        <v>183</v>
      </c>
      <c r="P84" s="27">
        <v>256</v>
      </c>
      <c r="Q84" s="27" t="s">
        <v>129</v>
      </c>
      <c r="R84" s="27" t="s">
        <v>380</v>
      </c>
      <c r="S84" s="27" t="s">
        <v>216</v>
      </c>
      <c r="T84" s="27" t="s">
        <v>63</v>
      </c>
      <c r="U84" s="27">
        <v>10</v>
      </c>
      <c r="V84" s="27">
        <v>18</v>
      </c>
      <c r="W84" s="37">
        <v>-1.9699999999999999E-4</v>
      </c>
      <c r="X84" s="27">
        <v>7</v>
      </c>
      <c r="Y84" s="38">
        <v>-1.76E-4</v>
      </c>
      <c r="Z84" s="27" t="s">
        <v>65</v>
      </c>
    </row>
    <row r="85" spans="2:26" x14ac:dyDescent="0.2">
      <c r="B85" s="27" t="s">
        <v>183</v>
      </c>
      <c r="C85" s="27">
        <v>256</v>
      </c>
      <c r="D85" s="27" t="s">
        <v>129</v>
      </c>
      <c r="E85" s="27" t="s">
        <v>107</v>
      </c>
      <c r="F85" s="27" t="s">
        <v>217</v>
      </c>
      <c r="G85" s="27" t="s">
        <v>64</v>
      </c>
      <c r="H85" s="27">
        <v>60</v>
      </c>
      <c r="I85" s="27">
        <v>19</v>
      </c>
      <c r="J85" s="37">
        <v>-1.8900000000000001E-4</v>
      </c>
      <c r="K85" s="27">
        <v>1</v>
      </c>
      <c r="L85" s="38">
        <v>-1.6799999999999999E-4</v>
      </c>
      <c r="M85" s="27" t="s">
        <v>65</v>
      </c>
      <c r="O85" s="27" t="s">
        <v>183</v>
      </c>
      <c r="P85" s="27">
        <v>256</v>
      </c>
      <c r="Q85" s="27" t="s">
        <v>129</v>
      </c>
      <c r="R85" s="27" t="s">
        <v>380</v>
      </c>
      <c r="S85" s="27" t="s">
        <v>217</v>
      </c>
      <c r="T85" s="27" t="s">
        <v>64</v>
      </c>
      <c r="U85" s="27">
        <v>10</v>
      </c>
      <c r="V85" s="27">
        <v>17</v>
      </c>
      <c r="W85" s="37">
        <v>-1.8900000000000001E-4</v>
      </c>
      <c r="X85" s="27">
        <v>2</v>
      </c>
      <c r="Y85" s="38">
        <v>-1.6799999999999999E-4</v>
      </c>
      <c r="Z85" s="27" t="s">
        <v>65</v>
      </c>
    </row>
    <row r="86" spans="2:26" x14ac:dyDescent="0.2">
      <c r="B86" s="27" t="s">
        <v>183</v>
      </c>
      <c r="C86" s="27">
        <v>265</v>
      </c>
      <c r="D86" s="27" t="s">
        <v>128</v>
      </c>
      <c r="E86" s="27" t="s">
        <v>107</v>
      </c>
      <c r="F86" s="27" t="s">
        <v>218</v>
      </c>
      <c r="G86" s="27" t="s">
        <v>63</v>
      </c>
      <c r="H86" s="27">
        <v>60</v>
      </c>
      <c r="I86" s="27">
        <v>15</v>
      </c>
      <c r="J86" s="37">
        <v>-1.34E-4</v>
      </c>
      <c r="K86" s="27">
        <v>6</v>
      </c>
      <c r="L86" s="38">
        <v>-1.1900000000000001E-4</v>
      </c>
      <c r="M86" s="27" t="s">
        <v>65</v>
      </c>
      <c r="O86" s="27" t="s">
        <v>183</v>
      </c>
      <c r="P86" s="27">
        <v>265</v>
      </c>
      <c r="Q86" s="27" t="s">
        <v>128</v>
      </c>
      <c r="R86" s="27" t="s">
        <v>380</v>
      </c>
      <c r="S86" s="27" t="s">
        <v>218</v>
      </c>
      <c r="T86" s="27" t="s">
        <v>63</v>
      </c>
      <c r="U86" s="27">
        <v>10</v>
      </c>
      <c r="V86" s="27">
        <v>15</v>
      </c>
      <c r="W86" s="37">
        <v>-1.3300000000000001E-4</v>
      </c>
      <c r="X86" s="27">
        <v>6</v>
      </c>
      <c r="Y86" s="38">
        <v>-1.1900000000000001E-4</v>
      </c>
      <c r="Z86" s="27" t="s">
        <v>65</v>
      </c>
    </row>
    <row r="87" spans="2:26" x14ac:dyDescent="0.2">
      <c r="B87" s="27" t="s">
        <v>183</v>
      </c>
      <c r="C87" s="27">
        <v>265</v>
      </c>
      <c r="D87" s="27" t="s">
        <v>128</v>
      </c>
      <c r="E87" s="27" t="s">
        <v>107</v>
      </c>
      <c r="F87" s="27" t="s">
        <v>219</v>
      </c>
      <c r="G87" s="27" t="s">
        <v>64</v>
      </c>
      <c r="H87" s="27">
        <v>60</v>
      </c>
      <c r="I87" s="27">
        <v>22</v>
      </c>
      <c r="J87" s="37">
        <v>-1.9599999999999999E-4</v>
      </c>
      <c r="K87" s="27">
        <v>1</v>
      </c>
      <c r="L87" s="38">
        <v>-1.8799999999999999E-4</v>
      </c>
      <c r="M87" s="27" t="s">
        <v>65</v>
      </c>
      <c r="O87" s="27" t="s">
        <v>183</v>
      </c>
      <c r="P87" s="27">
        <v>265</v>
      </c>
      <c r="Q87" s="27" t="s">
        <v>128</v>
      </c>
      <c r="R87" s="27" t="s">
        <v>380</v>
      </c>
      <c r="S87" s="27" t="s">
        <v>219</v>
      </c>
      <c r="T87" s="27" t="s">
        <v>64</v>
      </c>
      <c r="U87" s="27">
        <v>10</v>
      </c>
      <c r="V87" s="27">
        <v>22</v>
      </c>
      <c r="W87" s="37">
        <v>-1.95E-4</v>
      </c>
      <c r="X87" s="27">
        <v>1</v>
      </c>
      <c r="Y87" s="38">
        <v>-1.8799999999999999E-4</v>
      </c>
      <c r="Z87" s="27" t="s">
        <v>65</v>
      </c>
    </row>
    <row r="88" spans="2:26" x14ac:dyDescent="0.2">
      <c r="B88" s="27" t="s">
        <v>183</v>
      </c>
      <c r="C88" s="27">
        <v>249</v>
      </c>
      <c r="D88" s="27" t="s">
        <v>127</v>
      </c>
      <c r="E88" s="27" t="s">
        <v>107</v>
      </c>
      <c r="F88" s="27" t="s">
        <v>220</v>
      </c>
      <c r="G88" s="27" t="s">
        <v>63</v>
      </c>
      <c r="H88" s="27">
        <v>60</v>
      </c>
      <c r="I88" s="27">
        <v>16</v>
      </c>
      <c r="J88" s="37">
        <v>-2.7599999999999999E-4</v>
      </c>
      <c r="K88" s="27">
        <v>1</v>
      </c>
      <c r="L88" s="38">
        <v>-2.3699999999999999E-4</v>
      </c>
      <c r="M88" s="27" t="s">
        <v>65</v>
      </c>
      <c r="O88" s="27" t="s">
        <v>183</v>
      </c>
      <c r="P88" s="27">
        <v>249</v>
      </c>
      <c r="Q88" s="27" t="s">
        <v>127</v>
      </c>
      <c r="R88" s="27" t="s">
        <v>380</v>
      </c>
      <c r="S88" s="27" t="s">
        <v>220</v>
      </c>
      <c r="T88" s="27" t="s">
        <v>63</v>
      </c>
      <c r="U88" s="27">
        <v>10</v>
      </c>
      <c r="V88" s="27">
        <v>16</v>
      </c>
      <c r="W88" s="37">
        <v>-2.7700000000000001E-4</v>
      </c>
      <c r="X88" s="27">
        <v>1</v>
      </c>
      <c r="Y88" s="38">
        <v>-2.3800000000000001E-4</v>
      </c>
      <c r="Z88" s="27" t="s">
        <v>65</v>
      </c>
    </row>
    <row r="89" spans="2:26" x14ac:dyDescent="0.2">
      <c r="B89" s="27" t="s">
        <v>183</v>
      </c>
      <c r="C89" s="27">
        <v>249</v>
      </c>
      <c r="D89" s="27" t="s">
        <v>127</v>
      </c>
      <c r="E89" s="27" t="s">
        <v>107</v>
      </c>
      <c r="F89" s="27" t="s">
        <v>221</v>
      </c>
      <c r="G89" s="27" t="s">
        <v>64</v>
      </c>
      <c r="H89" s="27">
        <v>60</v>
      </c>
      <c r="I89" s="27">
        <v>9</v>
      </c>
      <c r="J89" s="37">
        <v>-1.44E-4</v>
      </c>
      <c r="K89" s="27">
        <v>6</v>
      </c>
      <c r="L89" s="38">
        <v>-1.2799999999999999E-4</v>
      </c>
      <c r="M89" s="27" t="s">
        <v>65</v>
      </c>
      <c r="O89" s="27" t="s">
        <v>183</v>
      </c>
      <c r="P89" s="27">
        <v>249</v>
      </c>
      <c r="Q89" s="27" t="s">
        <v>127</v>
      </c>
      <c r="R89" s="27" t="s">
        <v>380</v>
      </c>
      <c r="S89" s="27" t="s">
        <v>221</v>
      </c>
      <c r="T89" s="27" t="s">
        <v>64</v>
      </c>
      <c r="U89" s="27">
        <v>10</v>
      </c>
      <c r="V89" s="27">
        <v>9</v>
      </c>
      <c r="W89" s="37">
        <v>-1.45E-4</v>
      </c>
      <c r="X89" s="27">
        <v>6</v>
      </c>
      <c r="Y89" s="38">
        <v>-1.2899999999999999E-4</v>
      </c>
      <c r="Z89" s="27" t="s">
        <v>65</v>
      </c>
    </row>
    <row r="90" spans="2:26" x14ac:dyDescent="0.2">
      <c r="B90" s="27" t="s">
        <v>183</v>
      </c>
      <c r="C90" s="27">
        <v>261</v>
      </c>
      <c r="D90" s="27" t="s">
        <v>128</v>
      </c>
      <c r="E90" s="27" t="s">
        <v>107</v>
      </c>
      <c r="F90" s="27" t="s">
        <v>222</v>
      </c>
      <c r="G90" s="27" t="s">
        <v>63</v>
      </c>
      <c r="H90" s="27">
        <v>60</v>
      </c>
      <c r="I90" s="27">
        <v>17</v>
      </c>
      <c r="J90" s="37">
        <v>-1.25E-4</v>
      </c>
      <c r="K90" s="27">
        <v>3</v>
      </c>
      <c r="L90" s="38">
        <v>-1.25E-4</v>
      </c>
      <c r="M90" s="27" t="s">
        <v>65</v>
      </c>
      <c r="O90" s="27" t="s">
        <v>183</v>
      </c>
      <c r="P90" s="27">
        <v>261</v>
      </c>
      <c r="Q90" s="27" t="s">
        <v>128</v>
      </c>
      <c r="R90" s="27" t="s">
        <v>380</v>
      </c>
      <c r="S90" s="27" t="s">
        <v>222</v>
      </c>
      <c r="T90" s="27" t="s">
        <v>63</v>
      </c>
      <c r="U90" s="27">
        <v>10</v>
      </c>
      <c r="V90" s="27">
        <v>17</v>
      </c>
      <c r="W90" s="37">
        <v>-1.25E-4</v>
      </c>
      <c r="X90" s="27">
        <v>3</v>
      </c>
      <c r="Y90" s="38">
        <v>-1.25E-4</v>
      </c>
      <c r="Z90" s="27" t="s">
        <v>65</v>
      </c>
    </row>
    <row r="91" spans="2:26" x14ac:dyDescent="0.2">
      <c r="B91" s="27" t="s">
        <v>183</v>
      </c>
      <c r="C91" s="27">
        <v>261</v>
      </c>
      <c r="D91" s="27" t="s">
        <v>128</v>
      </c>
      <c r="E91" s="27" t="s">
        <v>107</v>
      </c>
      <c r="F91" s="27" t="s">
        <v>223</v>
      </c>
      <c r="G91" s="27" t="s">
        <v>64</v>
      </c>
      <c r="H91" s="27">
        <v>60</v>
      </c>
      <c r="I91" s="27">
        <v>22</v>
      </c>
      <c r="J91" s="37">
        <v>-1.0399999999999999E-4</v>
      </c>
      <c r="K91" s="27">
        <v>1</v>
      </c>
      <c r="L91" s="38">
        <v>-1.0399999999999999E-4</v>
      </c>
      <c r="M91" s="27" t="s">
        <v>65</v>
      </c>
      <c r="O91" s="27" t="s">
        <v>183</v>
      </c>
      <c r="P91" s="27">
        <v>261</v>
      </c>
      <c r="Q91" s="27" t="s">
        <v>128</v>
      </c>
      <c r="R91" s="27" t="s">
        <v>380</v>
      </c>
      <c r="S91" s="27" t="s">
        <v>223</v>
      </c>
      <c r="T91" s="27" t="s">
        <v>64</v>
      </c>
      <c r="U91" s="27">
        <v>10</v>
      </c>
      <c r="V91" s="27">
        <v>22</v>
      </c>
      <c r="W91" s="37">
        <v>-1.0399999999999999E-4</v>
      </c>
      <c r="X91" s="27">
        <v>1</v>
      </c>
      <c r="Y91" s="38">
        <v>-1.0399999999999999E-4</v>
      </c>
      <c r="Z91" s="27" t="s">
        <v>65</v>
      </c>
    </row>
    <row r="92" spans="2:26" x14ac:dyDescent="0.2">
      <c r="B92" s="27" t="s">
        <v>183</v>
      </c>
      <c r="C92" s="27">
        <v>257</v>
      </c>
      <c r="D92" s="27" t="s">
        <v>129</v>
      </c>
      <c r="E92" s="27" t="s">
        <v>107</v>
      </c>
      <c r="F92" s="27" t="s">
        <v>224</v>
      </c>
      <c r="G92" s="27" t="s">
        <v>63</v>
      </c>
      <c r="H92" s="27">
        <v>60</v>
      </c>
      <c r="I92" s="27">
        <v>17</v>
      </c>
      <c r="J92" s="37">
        <v>-1.18E-4</v>
      </c>
      <c r="K92" s="27">
        <v>1</v>
      </c>
      <c r="L92" s="38">
        <v>-1.0399999999999999E-4</v>
      </c>
      <c r="M92" s="27" t="s">
        <v>65</v>
      </c>
      <c r="O92" s="27" t="s">
        <v>183</v>
      </c>
      <c r="P92" s="27">
        <v>257</v>
      </c>
      <c r="Q92" s="27" t="s">
        <v>129</v>
      </c>
      <c r="R92" s="27" t="s">
        <v>380</v>
      </c>
      <c r="S92" s="27" t="s">
        <v>224</v>
      </c>
      <c r="T92" s="27" t="s">
        <v>63</v>
      </c>
      <c r="U92" s="27">
        <v>10</v>
      </c>
      <c r="V92" s="27">
        <v>17</v>
      </c>
      <c r="W92" s="37">
        <v>-1.18E-4</v>
      </c>
      <c r="X92" s="27">
        <v>1</v>
      </c>
      <c r="Y92" s="38">
        <v>-1.0399999999999999E-4</v>
      </c>
      <c r="Z92" s="27" t="s">
        <v>65</v>
      </c>
    </row>
    <row r="93" spans="2:26" x14ac:dyDescent="0.2">
      <c r="B93" s="27" t="s">
        <v>183</v>
      </c>
      <c r="C93" s="27">
        <v>257</v>
      </c>
      <c r="D93" s="27" t="s">
        <v>129</v>
      </c>
      <c r="E93" s="27" t="s">
        <v>107</v>
      </c>
      <c r="F93" s="27" t="s">
        <v>225</v>
      </c>
      <c r="G93" s="27" t="s">
        <v>64</v>
      </c>
      <c r="H93" s="27">
        <v>60</v>
      </c>
      <c r="I93" s="27">
        <v>15</v>
      </c>
      <c r="J93" s="37">
        <v>-4.3000000000000002E-5</v>
      </c>
      <c r="K93" s="27">
        <v>7</v>
      </c>
      <c r="L93" s="38">
        <v>-4.3000000000000002E-5</v>
      </c>
      <c r="M93" s="27" t="s">
        <v>65</v>
      </c>
      <c r="O93" s="27" t="s">
        <v>183</v>
      </c>
      <c r="P93" s="27">
        <v>257</v>
      </c>
      <c r="Q93" s="27" t="s">
        <v>129</v>
      </c>
      <c r="R93" s="27" t="s">
        <v>380</v>
      </c>
      <c r="S93" s="27" t="s">
        <v>225</v>
      </c>
      <c r="T93" s="27" t="s">
        <v>64</v>
      </c>
      <c r="U93" s="27">
        <v>10</v>
      </c>
      <c r="V93" s="27">
        <v>15</v>
      </c>
      <c r="W93" s="37">
        <v>-4.3999999999999999E-5</v>
      </c>
      <c r="X93" s="27">
        <v>12</v>
      </c>
      <c r="Y93" s="38">
        <v>-4.3999999999999999E-5</v>
      </c>
      <c r="Z93" s="27" t="s">
        <v>65</v>
      </c>
    </row>
    <row r="94" spans="2:26" x14ac:dyDescent="0.2">
      <c r="B94" s="27" t="s">
        <v>183</v>
      </c>
      <c r="C94" s="27">
        <v>258</v>
      </c>
      <c r="D94" s="27" t="s">
        <v>129</v>
      </c>
      <c r="E94" s="27" t="s">
        <v>107</v>
      </c>
      <c r="F94" s="27" t="s">
        <v>226</v>
      </c>
      <c r="G94" s="27" t="s">
        <v>63</v>
      </c>
      <c r="H94" s="27">
        <v>60</v>
      </c>
      <c r="I94" s="27">
        <v>17</v>
      </c>
      <c r="J94" s="37">
        <v>-1.18E-4</v>
      </c>
      <c r="K94" s="27">
        <v>1</v>
      </c>
      <c r="L94" s="38">
        <v>-1.0399999999999999E-4</v>
      </c>
      <c r="M94" s="27" t="s">
        <v>65</v>
      </c>
      <c r="O94" s="27" t="s">
        <v>183</v>
      </c>
      <c r="P94" s="27">
        <v>258</v>
      </c>
      <c r="Q94" s="27" t="s">
        <v>129</v>
      </c>
      <c r="R94" s="27" t="s">
        <v>380</v>
      </c>
      <c r="S94" s="27" t="s">
        <v>226</v>
      </c>
      <c r="T94" s="27" t="s">
        <v>63</v>
      </c>
      <c r="U94" s="27">
        <v>10</v>
      </c>
      <c r="V94" s="27">
        <v>17</v>
      </c>
      <c r="W94" s="37">
        <v>-1.18E-4</v>
      </c>
      <c r="X94" s="27">
        <v>1</v>
      </c>
      <c r="Y94" s="38">
        <v>-1.0399999999999999E-4</v>
      </c>
      <c r="Z94" s="27" t="s">
        <v>65</v>
      </c>
    </row>
    <row r="95" spans="2:26" x14ac:dyDescent="0.2">
      <c r="B95" s="27" t="s">
        <v>183</v>
      </c>
      <c r="C95" s="27">
        <v>258</v>
      </c>
      <c r="D95" s="27" t="s">
        <v>129</v>
      </c>
      <c r="E95" s="27" t="s">
        <v>107</v>
      </c>
      <c r="F95" s="27" t="s">
        <v>227</v>
      </c>
      <c r="G95" s="27" t="s">
        <v>64</v>
      </c>
      <c r="H95" s="27">
        <v>60</v>
      </c>
      <c r="I95" s="27">
        <v>15</v>
      </c>
      <c r="J95" s="37">
        <v>-4.3000000000000002E-5</v>
      </c>
      <c r="K95" s="27">
        <v>7</v>
      </c>
      <c r="L95" s="38">
        <v>-4.3000000000000002E-5</v>
      </c>
      <c r="M95" s="27" t="s">
        <v>65</v>
      </c>
      <c r="O95" s="27" t="s">
        <v>183</v>
      </c>
      <c r="P95" s="27">
        <v>258</v>
      </c>
      <c r="Q95" s="27" t="s">
        <v>129</v>
      </c>
      <c r="R95" s="27" t="s">
        <v>380</v>
      </c>
      <c r="S95" s="27" t="s">
        <v>227</v>
      </c>
      <c r="T95" s="27" t="s">
        <v>64</v>
      </c>
      <c r="U95" s="27">
        <v>10</v>
      </c>
      <c r="V95" s="27">
        <v>15</v>
      </c>
      <c r="W95" s="37">
        <v>-4.3999999999999999E-5</v>
      </c>
      <c r="X95" s="27">
        <v>12</v>
      </c>
      <c r="Y95" s="38">
        <v>-4.3999999999999999E-5</v>
      </c>
      <c r="Z95" s="27" t="s">
        <v>65</v>
      </c>
    </row>
    <row r="96" spans="2:26" x14ac:dyDescent="0.2">
      <c r="B96" s="27" t="s">
        <v>183</v>
      </c>
      <c r="C96" s="27">
        <v>262</v>
      </c>
      <c r="D96" s="27" t="s">
        <v>128</v>
      </c>
      <c r="E96" s="27" t="s">
        <v>107</v>
      </c>
      <c r="F96" s="27" t="s">
        <v>228</v>
      </c>
      <c r="G96" s="27" t="s">
        <v>63</v>
      </c>
      <c r="H96" s="27">
        <v>60</v>
      </c>
      <c r="I96" s="27">
        <v>22</v>
      </c>
      <c r="J96" s="37">
        <v>-1.26E-4</v>
      </c>
      <c r="K96" s="27">
        <v>1</v>
      </c>
      <c r="L96" s="38">
        <v>-1.25E-4</v>
      </c>
      <c r="M96" s="27" t="s">
        <v>65</v>
      </c>
      <c r="O96" s="27" t="s">
        <v>183</v>
      </c>
      <c r="P96" s="27">
        <v>262</v>
      </c>
      <c r="Q96" s="27" t="s">
        <v>128</v>
      </c>
      <c r="R96" s="27" t="s">
        <v>380</v>
      </c>
      <c r="S96" s="27" t="s">
        <v>228</v>
      </c>
      <c r="T96" s="27" t="s">
        <v>63</v>
      </c>
      <c r="U96" s="27">
        <v>10</v>
      </c>
      <c r="V96" s="27">
        <v>22</v>
      </c>
      <c r="W96" s="37">
        <v>-1.27E-4</v>
      </c>
      <c r="X96" s="27">
        <v>1</v>
      </c>
      <c r="Y96" s="38">
        <v>-1.26E-4</v>
      </c>
      <c r="Z96" s="27" t="s">
        <v>65</v>
      </c>
    </row>
    <row r="97" spans="2:26" x14ac:dyDescent="0.2">
      <c r="B97" s="27" t="s">
        <v>183</v>
      </c>
      <c r="C97" s="27">
        <v>262</v>
      </c>
      <c r="D97" s="27" t="s">
        <v>128</v>
      </c>
      <c r="E97" s="27" t="s">
        <v>107</v>
      </c>
      <c r="F97" s="27" t="s">
        <v>229</v>
      </c>
      <c r="G97" s="27" t="s">
        <v>64</v>
      </c>
      <c r="H97" s="27">
        <v>60</v>
      </c>
      <c r="I97" s="27">
        <v>17</v>
      </c>
      <c r="J97" s="37">
        <v>-1.0399999999999999E-4</v>
      </c>
      <c r="K97" s="27">
        <v>3</v>
      </c>
      <c r="L97" s="38">
        <v>-1.0399999999999999E-4</v>
      </c>
      <c r="M97" s="27" t="s">
        <v>65</v>
      </c>
      <c r="O97" s="27" t="s">
        <v>183</v>
      </c>
      <c r="P97" s="27">
        <v>262</v>
      </c>
      <c r="Q97" s="27" t="s">
        <v>128</v>
      </c>
      <c r="R97" s="27" t="s">
        <v>380</v>
      </c>
      <c r="S97" s="27" t="s">
        <v>229</v>
      </c>
      <c r="T97" s="27" t="s">
        <v>64</v>
      </c>
      <c r="U97" s="27">
        <v>10</v>
      </c>
      <c r="V97" s="27">
        <v>17</v>
      </c>
      <c r="W97" s="37">
        <v>-1.05E-4</v>
      </c>
      <c r="X97" s="27">
        <v>3</v>
      </c>
      <c r="Y97" s="38">
        <v>-1.05E-4</v>
      </c>
      <c r="Z97" s="27" t="s">
        <v>65</v>
      </c>
    </row>
    <row r="98" spans="2:26" x14ac:dyDescent="0.2">
      <c r="B98" s="27" t="s">
        <v>183</v>
      </c>
      <c r="C98" s="27">
        <v>250</v>
      </c>
      <c r="D98" s="27" t="s">
        <v>127</v>
      </c>
      <c r="E98" s="27" t="s">
        <v>107</v>
      </c>
      <c r="F98" s="27" t="s">
        <v>230</v>
      </c>
      <c r="G98" s="27" t="s">
        <v>63</v>
      </c>
      <c r="H98" s="27">
        <v>60</v>
      </c>
      <c r="I98" s="27">
        <v>11</v>
      </c>
      <c r="J98" s="37">
        <v>-2.7599999999999999E-4</v>
      </c>
      <c r="K98" s="27">
        <v>3</v>
      </c>
      <c r="L98" s="38">
        <v>-2.3699999999999999E-4</v>
      </c>
      <c r="M98" s="27" t="s">
        <v>65</v>
      </c>
      <c r="O98" s="27" t="s">
        <v>183</v>
      </c>
      <c r="P98" s="27">
        <v>250</v>
      </c>
      <c r="Q98" s="27" t="s">
        <v>127</v>
      </c>
      <c r="R98" s="27" t="s">
        <v>380</v>
      </c>
      <c r="S98" s="27" t="s">
        <v>230</v>
      </c>
      <c r="T98" s="27" t="s">
        <v>63</v>
      </c>
      <c r="U98" s="27">
        <v>10</v>
      </c>
      <c r="V98" s="27">
        <v>11</v>
      </c>
      <c r="W98" s="37">
        <v>-2.7599999999999999E-4</v>
      </c>
      <c r="X98" s="27">
        <v>3</v>
      </c>
      <c r="Y98" s="38">
        <v>-2.3699999999999999E-4</v>
      </c>
      <c r="Z98" s="27" t="s">
        <v>65</v>
      </c>
    </row>
    <row r="99" spans="2:26" x14ac:dyDescent="0.2">
      <c r="B99" s="27" t="s">
        <v>183</v>
      </c>
      <c r="C99" s="27">
        <v>250</v>
      </c>
      <c r="D99" s="27" t="s">
        <v>127</v>
      </c>
      <c r="E99" s="27" t="s">
        <v>107</v>
      </c>
      <c r="F99" s="27" t="s">
        <v>231</v>
      </c>
      <c r="G99" s="27" t="s">
        <v>64</v>
      </c>
      <c r="H99" s="27">
        <v>60</v>
      </c>
      <c r="I99" s="27">
        <v>14</v>
      </c>
      <c r="J99" s="37">
        <v>-1.44E-4</v>
      </c>
      <c r="K99" s="27">
        <v>4</v>
      </c>
      <c r="L99" s="38">
        <v>-1.2799999999999999E-4</v>
      </c>
      <c r="M99" s="27" t="s">
        <v>65</v>
      </c>
      <c r="O99" s="27" t="s">
        <v>183</v>
      </c>
      <c r="P99" s="27">
        <v>250</v>
      </c>
      <c r="Q99" s="27" t="s">
        <v>127</v>
      </c>
      <c r="R99" s="27" t="s">
        <v>380</v>
      </c>
      <c r="S99" s="27" t="s">
        <v>231</v>
      </c>
      <c r="T99" s="27" t="s">
        <v>64</v>
      </c>
      <c r="U99" s="27">
        <v>10</v>
      </c>
      <c r="V99" s="27">
        <v>14</v>
      </c>
      <c r="W99" s="37">
        <v>-1.44E-4</v>
      </c>
      <c r="X99" s="27">
        <v>4</v>
      </c>
      <c r="Y99" s="38">
        <v>-1.2799999999999999E-4</v>
      </c>
      <c r="Z99" s="27" t="s">
        <v>65</v>
      </c>
    </row>
    <row r="100" spans="2:26" x14ac:dyDescent="0.2">
      <c r="B100" s="27" t="s">
        <v>232</v>
      </c>
      <c r="C100" s="27">
        <v>65</v>
      </c>
      <c r="D100" s="27" t="s">
        <v>127</v>
      </c>
      <c r="E100" s="27" t="s">
        <v>107</v>
      </c>
      <c r="F100" s="27" t="s">
        <v>233</v>
      </c>
      <c r="G100" s="27" t="s">
        <v>63</v>
      </c>
      <c r="H100" s="27">
        <v>60</v>
      </c>
      <c r="I100" s="27">
        <v>14</v>
      </c>
      <c r="J100" s="37">
        <v>-6.3599999999999996E-4</v>
      </c>
      <c r="K100" s="27">
        <v>4</v>
      </c>
      <c r="L100" s="38">
        <v>-5.3799999999999996E-4</v>
      </c>
      <c r="M100" s="27" t="s">
        <v>65</v>
      </c>
      <c r="O100" s="27" t="s">
        <v>232</v>
      </c>
      <c r="P100" s="27">
        <v>65</v>
      </c>
      <c r="Q100" s="27" t="s">
        <v>127</v>
      </c>
      <c r="R100" s="27" t="s">
        <v>380</v>
      </c>
      <c r="S100" s="27" t="s">
        <v>233</v>
      </c>
      <c r="T100" s="27" t="s">
        <v>63</v>
      </c>
      <c r="U100" s="27">
        <v>10</v>
      </c>
      <c r="V100" s="27">
        <v>14</v>
      </c>
      <c r="W100" s="37">
        <v>-6.3699999999999998E-4</v>
      </c>
      <c r="X100" s="27">
        <v>4</v>
      </c>
      <c r="Y100" s="38">
        <v>-5.3799999999999996E-4</v>
      </c>
      <c r="Z100" s="27" t="s">
        <v>65</v>
      </c>
    </row>
    <row r="101" spans="2:26" x14ac:dyDescent="0.2">
      <c r="B101" s="27" t="s">
        <v>232</v>
      </c>
      <c r="C101" s="27">
        <v>65</v>
      </c>
      <c r="D101" s="27" t="s">
        <v>127</v>
      </c>
      <c r="E101" s="27" t="s">
        <v>107</v>
      </c>
      <c r="F101" s="27" t="s">
        <v>234</v>
      </c>
      <c r="G101" s="27" t="s">
        <v>64</v>
      </c>
      <c r="H101" s="27">
        <v>60</v>
      </c>
      <c r="I101" s="27">
        <v>11</v>
      </c>
      <c r="J101" s="37">
        <v>-4.26E-4</v>
      </c>
      <c r="K101" s="27">
        <v>3</v>
      </c>
      <c r="L101" s="38">
        <v>-3.7100000000000002E-4</v>
      </c>
      <c r="M101" s="27" t="s">
        <v>65</v>
      </c>
      <c r="O101" s="27" t="s">
        <v>232</v>
      </c>
      <c r="P101" s="27">
        <v>65</v>
      </c>
      <c r="Q101" s="27" t="s">
        <v>127</v>
      </c>
      <c r="R101" s="27" t="s">
        <v>380</v>
      </c>
      <c r="S101" s="27" t="s">
        <v>234</v>
      </c>
      <c r="T101" s="27" t="s">
        <v>64</v>
      </c>
      <c r="U101" s="27">
        <v>10</v>
      </c>
      <c r="V101" s="27">
        <v>11</v>
      </c>
      <c r="W101" s="37">
        <v>-4.2700000000000002E-4</v>
      </c>
      <c r="X101" s="27">
        <v>3</v>
      </c>
      <c r="Y101" s="38">
        <v>-3.7100000000000002E-4</v>
      </c>
      <c r="Z101" s="27" t="s">
        <v>65</v>
      </c>
    </row>
    <row r="102" spans="2:26" x14ac:dyDescent="0.2">
      <c r="B102" s="27" t="s">
        <v>232</v>
      </c>
      <c r="C102" s="27">
        <v>77</v>
      </c>
      <c r="D102" s="27" t="s">
        <v>128</v>
      </c>
      <c r="E102" s="27" t="s">
        <v>107</v>
      </c>
      <c r="F102" s="27" t="s">
        <v>235</v>
      </c>
      <c r="G102" s="27" t="s">
        <v>63</v>
      </c>
      <c r="H102" s="27">
        <v>60</v>
      </c>
      <c r="I102" s="27">
        <v>15</v>
      </c>
      <c r="J102" s="37">
        <v>-2.2100000000000001E-4</v>
      </c>
      <c r="K102" s="27">
        <v>6</v>
      </c>
      <c r="L102" s="38">
        <v>-2.2100000000000001E-4</v>
      </c>
      <c r="M102" s="27" t="s">
        <v>65</v>
      </c>
      <c r="O102" s="27" t="s">
        <v>232</v>
      </c>
      <c r="P102" s="27">
        <v>77</v>
      </c>
      <c r="Q102" s="27" t="s">
        <v>128</v>
      </c>
      <c r="R102" s="27" t="s">
        <v>380</v>
      </c>
      <c r="S102" s="27" t="s">
        <v>235</v>
      </c>
      <c r="T102" s="27" t="s">
        <v>63</v>
      </c>
      <c r="U102" s="27">
        <v>10</v>
      </c>
      <c r="V102" s="27">
        <v>15</v>
      </c>
      <c r="W102" s="37">
        <v>-2.2100000000000001E-4</v>
      </c>
      <c r="X102" s="27">
        <v>6</v>
      </c>
      <c r="Y102" s="38">
        <v>-2.2000000000000001E-4</v>
      </c>
      <c r="Z102" s="27" t="s">
        <v>65</v>
      </c>
    </row>
    <row r="103" spans="2:26" x14ac:dyDescent="0.2">
      <c r="B103" s="27" t="s">
        <v>232</v>
      </c>
      <c r="C103" s="27">
        <v>77</v>
      </c>
      <c r="D103" s="27" t="s">
        <v>128</v>
      </c>
      <c r="E103" s="27" t="s">
        <v>107</v>
      </c>
      <c r="F103" s="27" t="s">
        <v>236</v>
      </c>
      <c r="G103" s="27" t="s">
        <v>64</v>
      </c>
      <c r="H103" s="27">
        <v>60</v>
      </c>
      <c r="I103" s="27">
        <v>22</v>
      </c>
      <c r="J103" s="37">
        <v>-2.02E-4</v>
      </c>
      <c r="K103" s="27">
        <v>1</v>
      </c>
      <c r="L103" s="38">
        <v>-2.02E-4</v>
      </c>
      <c r="M103" s="27" t="s">
        <v>65</v>
      </c>
      <c r="O103" s="27" t="s">
        <v>232</v>
      </c>
      <c r="P103" s="27">
        <v>77</v>
      </c>
      <c r="Q103" s="27" t="s">
        <v>128</v>
      </c>
      <c r="R103" s="27" t="s">
        <v>380</v>
      </c>
      <c r="S103" s="27" t="s">
        <v>236</v>
      </c>
      <c r="T103" s="27" t="s">
        <v>64</v>
      </c>
      <c r="U103" s="27">
        <v>10</v>
      </c>
      <c r="V103" s="27">
        <v>22</v>
      </c>
      <c r="W103" s="37">
        <v>-2.02E-4</v>
      </c>
      <c r="X103" s="27">
        <v>1</v>
      </c>
      <c r="Y103" s="38">
        <v>-2.02E-4</v>
      </c>
      <c r="Z103" s="27" t="s">
        <v>65</v>
      </c>
    </row>
    <row r="104" spans="2:26" x14ac:dyDescent="0.2">
      <c r="B104" s="27" t="s">
        <v>232</v>
      </c>
      <c r="C104" s="27">
        <v>73</v>
      </c>
      <c r="D104" s="27" t="s">
        <v>129</v>
      </c>
      <c r="E104" s="27" t="s">
        <v>107</v>
      </c>
      <c r="F104" s="27" t="s">
        <v>237</v>
      </c>
      <c r="G104" s="27" t="s">
        <v>63</v>
      </c>
      <c r="H104" s="27">
        <v>60</v>
      </c>
      <c r="I104" s="27">
        <v>18</v>
      </c>
      <c r="J104" s="37">
        <v>-3.1300000000000002E-4</v>
      </c>
      <c r="K104" s="27">
        <v>7</v>
      </c>
      <c r="L104" s="38">
        <v>-2.7E-4</v>
      </c>
      <c r="M104" s="27" t="s">
        <v>65</v>
      </c>
      <c r="O104" s="27" t="s">
        <v>232</v>
      </c>
      <c r="P104" s="27">
        <v>73</v>
      </c>
      <c r="Q104" s="27" t="s">
        <v>129</v>
      </c>
      <c r="R104" s="27" t="s">
        <v>380</v>
      </c>
      <c r="S104" s="27" t="s">
        <v>237</v>
      </c>
      <c r="T104" s="27" t="s">
        <v>63</v>
      </c>
      <c r="U104" s="27">
        <v>10</v>
      </c>
      <c r="V104" s="27">
        <v>20</v>
      </c>
      <c r="W104" s="37">
        <v>-3.1300000000000002E-4</v>
      </c>
      <c r="X104" s="27">
        <v>7</v>
      </c>
      <c r="Y104" s="38">
        <v>-2.7E-4</v>
      </c>
      <c r="Z104" s="27" t="s">
        <v>65</v>
      </c>
    </row>
    <row r="105" spans="2:26" x14ac:dyDescent="0.2">
      <c r="B105" s="27" t="s">
        <v>232</v>
      </c>
      <c r="C105" s="27">
        <v>73</v>
      </c>
      <c r="D105" s="27" t="s">
        <v>129</v>
      </c>
      <c r="E105" s="27" t="s">
        <v>107</v>
      </c>
      <c r="F105" s="27" t="s">
        <v>238</v>
      </c>
      <c r="G105" s="27" t="s">
        <v>64</v>
      </c>
      <c r="H105" s="27">
        <v>60</v>
      </c>
      <c r="I105" s="27">
        <v>17</v>
      </c>
      <c r="J105" s="37">
        <v>-2.43E-4</v>
      </c>
      <c r="K105" s="27">
        <v>5</v>
      </c>
      <c r="L105" s="38">
        <v>-2.13E-4</v>
      </c>
      <c r="M105" s="27" t="s">
        <v>65</v>
      </c>
      <c r="O105" s="27" t="s">
        <v>232</v>
      </c>
      <c r="P105" s="27">
        <v>73</v>
      </c>
      <c r="Q105" s="27" t="s">
        <v>129</v>
      </c>
      <c r="R105" s="27" t="s">
        <v>380</v>
      </c>
      <c r="S105" s="27" t="s">
        <v>238</v>
      </c>
      <c r="T105" s="27" t="s">
        <v>64</v>
      </c>
      <c r="U105" s="27">
        <v>10</v>
      </c>
      <c r="V105" s="27">
        <v>17</v>
      </c>
      <c r="W105" s="37">
        <v>-2.43E-4</v>
      </c>
      <c r="X105" s="27">
        <v>4</v>
      </c>
      <c r="Y105" s="38">
        <v>-2.13E-4</v>
      </c>
      <c r="Z105" s="27" t="s">
        <v>65</v>
      </c>
    </row>
    <row r="106" spans="2:26" x14ac:dyDescent="0.2">
      <c r="B106" s="27" t="s">
        <v>232</v>
      </c>
      <c r="C106" s="27">
        <v>74</v>
      </c>
      <c r="D106" s="27" t="s">
        <v>129</v>
      </c>
      <c r="E106" s="27" t="s">
        <v>107</v>
      </c>
      <c r="F106" s="27" t="s">
        <v>239</v>
      </c>
      <c r="G106" s="27" t="s">
        <v>63</v>
      </c>
      <c r="H106" s="27">
        <v>60</v>
      </c>
      <c r="I106" s="27">
        <v>15</v>
      </c>
      <c r="J106" s="37">
        <v>-3.1300000000000002E-4</v>
      </c>
      <c r="K106" s="27">
        <v>11</v>
      </c>
      <c r="L106" s="38">
        <v>-2.7E-4</v>
      </c>
      <c r="M106" s="27" t="s">
        <v>65</v>
      </c>
      <c r="O106" s="27" t="s">
        <v>232</v>
      </c>
      <c r="P106" s="27">
        <v>74</v>
      </c>
      <c r="Q106" s="27" t="s">
        <v>129</v>
      </c>
      <c r="R106" s="27" t="s">
        <v>380</v>
      </c>
      <c r="S106" s="27" t="s">
        <v>239</v>
      </c>
      <c r="T106" s="27" t="s">
        <v>63</v>
      </c>
      <c r="U106" s="27">
        <v>10</v>
      </c>
      <c r="V106" s="27">
        <v>15</v>
      </c>
      <c r="W106" s="37">
        <v>-3.1300000000000002E-4</v>
      </c>
      <c r="X106" s="27">
        <v>12</v>
      </c>
      <c r="Y106" s="38">
        <v>-2.7E-4</v>
      </c>
      <c r="Z106" s="27" t="s">
        <v>65</v>
      </c>
    </row>
    <row r="107" spans="2:26" x14ac:dyDescent="0.2">
      <c r="B107" s="27" t="s">
        <v>232</v>
      </c>
      <c r="C107" s="27">
        <v>74</v>
      </c>
      <c r="D107" s="27" t="s">
        <v>129</v>
      </c>
      <c r="E107" s="27" t="s">
        <v>107</v>
      </c>
      <c r="F107" s="27" t="s">
        <v>240</v>
      </c>
      <c r="G107" s="27" t="s">
        <v>64</v>
      </c>
      <c r="H107" s="27">
        <v>60</v>
      </c>
      <c r="I107" s="27">
        <v>22</v>
      </c>
      <c r="J107" s="37">
        <v>-2.43E-4</v>
      </c>
      <c r="K107" s="27">
        <v>1</v>
      </c>
      <c r="L107" s="38">
        <v>-2.13E-4</v>
      </c>
      <c r="M107" s="27" t="s">
        <v>65</v>
      </c>
      <c r="O107" s="27" t="s">
        <v>232</v>
      </c>
      <c r="P107" s="27">
        <v>74</v>
      </c>
      <c r="Q107" s="27" t="s">
        <v>129</v>
      </c>
      <c r="R107" s="27" t="s">
        <v>380</v>
      </c>
      <c r="S107" s="27" t="s">
        <v>240</v>
      </c>
      <c r="T107" s="27" t="s">
        <v>64</v>
      </c>
      <c r="U107" s="27">
        <v>10</v>
      </c>
      <c r="V107" s="27">
        <v>22</v>
      </c>
      <c r="W107" s="37">
        <v>-2.43E-4</v>
      </c>
      <c r="X107" s="27">
        <v>1</v>
      </c>
      <c r="Y107" s="38">
        <v>-2.13E-4</v>
      </c>
      <c r="Z107" s="27" t="s">
        <v>65</v>
      </c>
    </row>
    <row r="108" spans="2:26" x14ac:dyDescent="0.2">
      <c r="B108" s="27" t="s">
        <v>232</v>
      </c>
      <c r="C108" s="27">
        <v>78</v>
      </c>
      <c r="D108" s="27" t="s">
        <v>128</v>
      </c>
      <c r="E108" s="27" t="s">
        <v>107</v>
      </c>
      <c r="F108" s="27" t="s">
        <v>241</v>
      </c>
      <c r="G108" s="27" t="s">
        <v>63</v>
      </c>
      <c r="H108" s="27">
        <v>60</v>
      </c>
      <c r="I108" s="27">
        <v>20</v>
      </c>
      <c r="J108" s="37">
        <v>-2.2000000000000001E-4</v>
      </c>
      <c r="K108" s="27">
        <v>4</v>
      </c>
      <c r="L108" s="38">
        <v>-2.2000000000000001E-4</v>
      </c>
      <c r="M108" s="27" t="s">
        <v>65</v>
      </c>
      <c r="O108" s="27" t="s">
        <v>232</v>
      </c>
      <c r="P108" s="27">
        <v>78</v>
      </c>
      <c r="Q108" s="27" t="s">
        <v>128</v>
      </c>
      <c r="R108" s="27" t="s">
        <v>380</v>
      </c>
      <c r="S108" s="27" t="s">
        <v>241</v>
      </c>
      <c r="T108" s="27" t="s">
        <v>63</v>
      </c>
      <c r="U108" s="27">
        <v>10</v>
      </c>
      <c r="V108" s="27">
        <v>20</v>
      </c>
      <c r="W108" s="37">
        <v>-2.2000000000000001E-4</v>
      </c>
      <c r="X108" s="27">
        <v>4</v>
      </c>
      <c r="Y108" s="38">
        <v>-2.2000000000000001E-4</v>
      </c>
      <c r="Z108" s="27" t="s">
        <v>65</v>
      </c>
    </row>
    <row r="109" spans="2:26" x14ac:dyDescent="0.2">
      <c r="B109" s="27" t="s">
        <v>232</v>
      </c>
      <c r="C109" s="27">
        <v>78</v>
      </c>
      <c r="D109" s="27" t="s">
        <v>128</v>
      </c>
      <c r="E109" s="27" t="s">
        <v>107</v>
      </c>
      <c r="F109" s="27" t="s">
        <v>242</v>
      </c>
      <c r="G109" s="27" t="s">
        <v>64</v>
      </c>
      <c r="H109" s="27">
        <v>60</v>
      </c>
      <c r="I109" s="27">
        <v>17</v>
      </c>
      <c r="J109" s="37">
        <v>-2.0000000000000001E-4</v>
      </c>
      <c r="K109" s="27">
        <v>3</v>
      </c>
      <c r="L109" s="38">
        <v>-2.0000000000000001E-4</v>
      </c>
      <c r="M109" s="27" t="s">
        <v>65</v>
      </c>
      <c r="O109" s="27" t="s">
        <v>232</v>
      </c>
      <c r="P109" s="27">
        <v>78</v>
      </c>
      <c r="Q109" s="27" t="s">
        <v>128</v>
      </c>
      <c r="R109" s="27" t="s">
        <v>380</v>
      </c>
      <c r="S109" s="27" t="s">
        <v>242</v>
      </c>
      <c r="T109" s="27" t="s">
        <v>64</v>
      </c>
      <c r="U109" s="27">
        <v>10</v>
      </c>
      <c r="V109" s="27">
        <v>17</v>
      </c>
      <c r="W109" s="37">
        <v>-2.0000000000000001E-4</v>
      </c>
      <c r="X109" s="27">
        <v>3</v>
      </c>
      <c r="Y109" s="38">
        <v>-2.0000000000000001E-4</v>
      </c>
      <c r="Z109" s="27" t="s">
        <v>65</v>
      </c>
    </row>
    <row r="110" spans="2:26" x14ac:dyDescent="0.2">
      <c r="B110" s="27" t="s">
        <v>232</v>
      </c>
      <c r="C110" s="27">
        <v>66</v>
      </c>
      <c r="D110" s="27" t="s">
        <v>127</v>
      </c>
      <c r="E110" s="27" t="s">
        <v>107</v>
      </c>
      <c r="F110" s="27" t="s">
        <v>243</v>
      </c>
      <c r="G110" s="27" t="s">
        <v>63</v>
      </c>
      <c r="H110" s="27">
        <v>60</v>
      </c>
      <c r="I110" s="27">
        <v>9</v>
      </c>
      <c r="J110" s="37">
        <v>-6.3400000000000001E-4</v>
      </c>
      <c r="K110" s="27">
        <v>6</v>
      </c>
      <c r="L110" s="38">
        <v>-5.3600000000000002E-4</v>
      </c>
      <c r="M110" s="27" t="s">
        <v>65</v>
      </c>
      <c r="O110" s="27" t="s">
        <v>232</v>
      </c>
      <c r="P110" s="27">
        <v>66</v>
      </c>
      <c r="Q110" s="27" t="s">
        <v>127</v>
      </c>
      <c r="R110" s="27" t="s">
        <v>380</v>
      </c>
      <c r="S110" s="27" t="s">
        <v>243</v>
      </c>
      <c r="T110" s="27" t="s">
        <v>63</v>
      </c>
      <c r="U110" s="27">
        <v>10</v>
      </c>
      <c r="V110" s="27">
        <v>9</v>
      </c>
      <c r="W110" s="37">
        <v>-6.3199999999999997E-4</v>
      </c>
      <c r="X110" s="27">
        <v>6</v>
      </c>
      <c r="Y110" s="38">
        <v>-5.3499999999999999E-4</v>
      </c>
      <c r="Z110" s="27" t="s">
        <v>65</v>
      </c>
    </row>
    <row r="111" spans="2:26" x14ac:dyDescent="0.2">
      <c r="B111" s="27" t="s">
        <v>232</v>
      </c>
      <c r="C111" s="27">
        <v>66</v>
      </c>
      <c r="D111" s="27" t="s">
        <v>127</v>
      </c>
      <c r="E111" s="27" t="s">
        <v>107</v>
      </c>
      <c r="F111" s="27" t="s">
        <v>244</v>
      </c>
      <c r="G111" s="27" t="s">
        <v>64</v>
      </c>
      <c r="H111" s="27">
        <v>60</v>
      </c>
      <c r="I111" s="27">
        <v>16</v>
      </c>
      <c r="J111" s="37">
        <v>-4.2200000000000001E-4</v>
      </c>
      <c r="K111" s="27">
        <v>1</v>
      </c>
      <c r="L111" s="38">
        <v>-3.68E-4</v>
      </c>
      <c r="M111" s="27" t="s">
        <v>65</v>
      </c>
      <c r="O111" s="27" t="s">
        <v>232</v>
      </c>
      <c r="P111" s="27">
        <v>66</v>
      </c>
      <c r="Q111" s="27" t="s">
        <v>127</v>
      </c>
      <c r="R111" s="27" t="s">
        <v>380</v>
      </c>
      <c r="S111" s="27" t="s">
        <v>244</v>
      </c>
      <c r="T111" s="27" t="s">
        <v>64</v>
      </c>
      <c r="U111" s="27">
        <v>10</v>
      </c>
      <c r="V111" s="27">
        <v>16</v>
      </c>
      <c r="W111" s="37">
        <v>-4.2200000000000001E-4</v>
      </c>
      <c r="X111" s="27">
        <v>1</v>
      </c>
      <c r="Y111" s="38">
        <v>-3.6699999999999998E-4</v>
      </c>
      <c r="Z111" s="27" t="s">
        <v>65</v>
      </c>
    </row>
    <row r="112" spans="2:26" x14ac:dyDescent="0.2">
      <c r="B112" s="27" t="s">
        <v>232</v>
      </c>
      <c r="C112" s="27">
        <v>82</v>
      </c>
      <c r="D112" s="27" t="s">
        <v>128</v>
      </c>
      <c r="E112" s="27" t="s">
        <v>107</v>
      </c>
      <c r="F112" s="27" t="s">
        <v>245</v>
      </c>
      <c r="G112" s="27" t="s">
        <v>63</v>
      </c>
      <c r="H112" s="27">
        <v>60</v>
      </c>
      <c r="I112" s="27">
        <v>20</v>
      </c>
      <c r="J112" s="37">
        <v>-2.3800000000000001E-4</v>
      </c>
      <c r="K112" s="27">
        <v>4</v>
      </c>
      <c r="L112" s="38">
        <v>-2.24E-4</v>
      </c>
      <c r="M112" s="27" t="s">
        <v>65</v>
      </c>
      <c r="O112" s="27" t="s">
        <v>232</v>
      </c>
      <c r="P112" s="27">
        <v>82</v>
      </c>
      <c r="Q112" s="27" t="s">
        <v>128</v>
      </c>
      <c r="R112" s="27" t="s">
        <v>380</v>
      </c>
      <c r="S112" s="27" t="s">
        <v>245</v>
      </c>
      <c r="T112" s="27" t="s">
        <v>63</v>
      </c>
      <c r="U112" s="27">
        <v>10</v>
      </c>
      <c r="V112" s="27">
        <v>20</v>
      </c>
      <c r="W112" s="37">
        <v>-2.3800000000000001E-4</v>
      </c>
      <c r="X112" s="27">
        <v>4</v>
      </c>
      <c r="Y112" s="38">
        <v>-2.24E-4</v>
      </c>
      <c r="Z112" s="27" t="s">
        <v>65</v>
      </c>
    </row>
    <row r="113" spans="2:26" x14ac:dyDescent="0.2">
      <c r="B113" s="27" t="s">
        <v>232</v>
      </c>
      <c r="C113" s="27">
        <v>82</v>
      </c>
      <c r="D113" s="27" t="s">
        <v>128</v>
      </c>
      <c r="E113" s="27" t="s">
        <v>107</v>
      </c>
      <c r="F113" s="27" t="s">
        <v>246</v>
      </c>
      <c r="G113" s="27" t="s">
        <v>64</v>
      </c>
      <c r="H113" s="27">
        <v>60</v>
      </c>
      <c r="I113" s="27">
        <v>17</v>
      </c>
      <c r="J113" s="37">
        <v>-2.1000000000000001E-4</v>
      </c>
      <c r="K113" s="27">
        <v>3</v>
      </c>
      <c r="L113" s="38">
        <v>-2.0000000000000001E-4</v>
      </c>
      <c r="M113" s="27" t="s">
        <v>65</v>
      </c>
      <c r="O113" s="27" t="s">
        <v>232</v>
      </c>
      <c r="P113" s="27">
        <v>82</v>
      </c>
      <c r="Q113" s="27" t="s">
        <v>128</v>
      </c>
      <c r="R113" s="27" t="s">
        <v>380</v>
      </c>
      <c r="S113" s="27" t="s">
        <v>246</v>
      </c>
      <c r="T113" s="27" t="s">
        <v>64</v>
      </c>
      <c r="U113" s="27">
        <v>10</v>
      </c>
      <c r="V113" s="27">
        <v>17</v>
      </c>
      <c r="W113" s="37">
        <v>-2.1000000000000001E-4</v>
      </c>
      <c r="X113" s="27">
        <v>3</v>
      </c>
      <c r="Y113" s="38">
        <v>-2.0000000000000001E-4</v>
      </c>
      <c r="Z113" s="27" t="s">
        <v>65</v>
      </c>
    </row>
    <row r="114" spans="2:26" x14ac:dyDescent="0.2">
      <c r="B114" s="27" t="s">
        <v>232</v>
      </c>
      <c r="C114" s="27">
        <v>67</v>
      </c>
      <c r="D114" s="27" t="s">
        <v>129</v>
      </c>
      <c r="E114" s="27" t="s">
        <v>107</v>
      </c>
      <c r="F114" s="27" t="s">
        <v>247</v>
      </c>
      <c r="G114" s="27" t="s">
        <v>63</v>
      </c>
      <c r="H114" s="27">
        <v>60</v>
      </c>
      <c r="I114" s="27">
        <v>15</v>
      </c>
      <c r="J114" s="37">
        <v>-2.9300000000000002E-4</v>
      </c>
      <c r="K114" s="27">
        <v>11</v>
      </c>
      <c r="L114" s="38">
        <v>-2.6200000000000003E-4</v>
      </c>
      <c r="M114" s="27" t="s">
        <v>65</v>
      </c>
      <c r="O114" s="27" t="s">
        <v>232</v>
      </c>
      <c r="P114" s="27">
        <v>67</v>
      </c>
      <c r="Q114" s="27" t="s">
        <v>129</v>
      </c>
      <c r="R114" s="27" t="s">
        <v>380</v>
      </c>
      <c r="S114" s="27" t="s">
        <v>247</v>
      </c>
      <c r="T114" s="27" t="s">
        <v>63</v>
      </c>
      <c r="U114" s="27">
        <v>10</v>
      </c>
      <c r="V114" s="27">
        <v>15</v>
      </c>
      <c r="W114" s="37">
        <v>-2.9300000000000002E-4</v>
      </c>
      <c r="X114" s="27">
        <v>12</v>
      </c>
      <c r="Y114" s="38">
        <v>-2.6200000000000003E-4</v>
      </c>
      <c r="Z114" s="27" t="s">
        <v>65</v>
      </c>
    </row>
    <row r="115" spans="2:26" x14ac:dyDescent="0.2">
      <c r="B115" s="27" t="s">
        <v>232</v>
      </c>
      <c r="C115" s="27">
        <v>67</v>
      </c>
      <c r="D115" s="27" t="s">
        <v>129</v>
      </c>
      <c r="E115" s="27" t="s">
        <v>107</v>
      </c>
      <c r="F115" s="27" t="s">
        <v>248</v>
      </c>
      <c r="G115" s="27" t="s">
        <v>64</v>
      </c>
      <c r="H115" s="27">
        <v>60</v>
      </c>
      <c r="I115" s="27">
        <v>19</v>
      </c>
      <c r="J115" s="37">
        <v>-2.41E-4</v>
      </c>
      <c r="K115" s="27">
        <v>1</v>
      </c>
      <c r="L115" s="38">
        <v>-2.1900000000000001E-4</v>
      </c>
      <c r="M115" s="27" t="s">
        <v>65</v>
      </c>
      <c r="O115" s="27" t="s">
        <v>232</v>
      </c>
      <c r="P115" s="27">
        <v>67</v>
      </c>
      <c r="Q115" s="27" t="s">
        <v>129</v>
      </c>
      <c r="R115" s="27" t="s">
        <v>380</v>
      </c>
      <c r="S115" s="27" t="s">
        <v>248</v>
      </c>
      <c r="T115" s="27" t="s">
        <v>64</v>
      </c>
      <c r="U115" s="27">
        <v>10</v>
      </c>
      <c r="V115" s="27">
        <v>17</v>
      </c>
      <c r="W115" s="37">
        <v>-2.41E-4</v>
      </c>
      <c r="X115" s="27">
        <v>1</v>
      </c>
      <c r="Y115" s="38">
        <v>-2.1900000000000001E-4</v>
      </c>
      <c r="Z115" s="27" t="s">
        <v>65</v>
      </c>
    </row>
    <row r="116" spans="2:26" x14ac:dyDescent="0.2">
      <c r="B116" s="27" t="s">
        <v>232</v>
      </c>
      <c r="C116" s="27">
        <v>85</v>
      </c>
      <c r="D116" s="27" t="s">
        <v>128</v>
      </c>
      <c r="E116" s="27" t="s">
        <v>107</v>
      </c>
      <c r="F116" s="27" t="s">
        <v>249</v>
      </c>
      <c r="G116" s="27" t="s">
        <v>63</v>
      </c>
      <c r="H116" s="27">
        <v>60</v>
      </c>
      <c r="I116" s="27">
        <v>20</v>
      </c>
      <c r="J116" s="37">
        <v>-2.32E-4</v>
      </c>
      <c r="K116" s="27">
        <v>4</v>
      </c>
      <c r="L116" s="38">
        <v>-2.31E-4</v>
      </c>
      <c r="M116" s="27" t="s">
        <v>65</v>
      </c>
      <c r="O116" s="27" t="s">
        <v>232</v>
      </c>
      <c r="P116" s="27">
        <v>85</v>
      </c>
      <c r="Q116" s="27" t="s">
        <v>128</v>
      </c>
      <c r="R116" s="27" t="s">
        <v>380</v>
      </c>
      <c r="S116" s="27" t="s">
        <v>249</v>
      </c>
      <c r="T116" s="27" t="s">
        <v>63</v>
      </c>
      <c r="U116" s="27">
        <v>10</v>
      </c>
      <c r="V116" s="27">
        <v>20</v>
      </c>
      <c r="W116" s="37">
        <v>-2.32E-4</v>
      </c>
      <c r="X116" s="27">
        <v>4</v>
      </c>
      <c r="Y116" s="38">
        <v>-2.32E-4</v>
      </c>
      <c r="Z116" s="27" t="s">
        <v>65</v>
      </c>
    </row>
    <row r="117" spans="2:26" x14ac:dyDescent="0.2">
      <c r="B117" s="27" t="s">
        <v>232</v>
      </c>
      <c r="C117" s="27">
        <v>85</v>
      </c>
      <c r="D117" s="27" t="s">
        <v>128</v>
      </c>
      <c r="E117" s="27" t="s">
        <v>107</v>
      </c>
      <c r="F117" s="27" t="s">
        <v>250</v>
      </c>
      <c r="G117" s="27" t="s">
        <v>64</v>
      </c>
      <c r="H117" s="27">
        <v>60</v>
      </c>
      <c r="I117" s="27">
        <v>17</v>
      </c>
      <c r="J117" s="37">
        <v>-2.1599999999999999E-4</v>
      </c>
      <c r="K117" s="27">
        <v>3</v>
      </c>
      <c r="L117" s="38">
        <v>-2.1599999999999999E-4</v>
      </c>
      <c r="M117" s="27" t="s">
        <v>65</v>
      </c>
      <c r="O117" s="27" t="s">
        <v>232</v>
      </c>
      <c r="P117" s="27">
        <v>85</v>
      </c>
      <c r="Q117" s="27" t="s">
        <v>128</v>
      </c>
      <c r="R117" s="27" t="s">
        <v>380</v>
      </c>
      <c r="S117" s="27" t="s">
        <v>250</v>
      </c>
      <c r="T117" s="27" t="s">
        <v>64</v>
      </c>
      <c r="U117" s="27">
        <v>10</v>
      </c>
      <c r="V117" s="27">
        <v>17</v>
      </c>
      <c r="W117" s="37">
        <v>-2.1699999999999999E-4</v>
      </c>
      <c r="X117" s="27">
        <v>3</v>
      </c>
      <c r="Y117" s="38">
        <v>-2.1699999999999999E-4</v>
      </c>
      <c r="Z117" s="27" t="s">
        <v>65</v>
      </c>
    </row>
    <row r="118" spans="2:26" x14ac:dyDescent="0.2">
      <c r="B118" s="27" t="s">
        <v>232</v>
      </c>
      <c r="C118" s="27">
        <v>86</v>
      </c>
      <c r="D118" s="27" t="s">
        <v>128</v>
      </c>
      <c r="E118" s="27" t="s">
        <v>107</v>
      </c>
      <c r="F118" s="27" t="s">
        <v>251</v>
      </c>
      <c r="G118" s="27" t="s">
        <v>63</v>
      </c>
      <c r="H118" s="27">
        <v>60</v>
      </c>
      <c r="I118" s="27">
        <v>15</v>
      </c>
      <c r="J118" s="37">
        <v>-2.32E-4</v>
      </c>
      <c r="K118" s="27">
        <v>6</v>
      </c>
      <c r="L118" s="38">
        <v>-2.31E-4</v>
      </c>
      <c r="M118" s="27" t="s">
        <v>65</v>
      </c>
      <c r="O118" s="27" t="s">
        <v>232</v>
      </c>
      <c r="P118" s="27">
        <v>86</v>
      </c>
      <c r="Q118" s="27" t="s">
        <v>128</v>
      </c>
      <c r="R118" s="27" t="s">
        <v>380</v>
      </c>
      <c r="S118" s="27" t="s">
        <v>251</v>
      </c>
      <c r="T118" s="27" t="s">
        <v>63</v>
      </c>
      <c r="U118" s="27">
        <v>10</v>
      </c>
      <c r="V118" s="27">
        <v>15</v>
      </c>
      <c r="W118" s="37">
        <v>-2.31E-4</v>
      </c>
      <c r="X118" s="27">
        <v>6</v>
      </c>
      <c r="Y118" s="38">
        <v>-2.31E-4</v>
      </c>
      <c r="Z118" s="27" t="s">
        <v>65</v>
      </c>
    </row>
    <row r="119" spans="2:26" x14ac:dyDescent="0.2">
      <c r="B119" s="27" t="s">
        <v>232</v>
      </c>
      <c r="C119" s="27">
        <v>86</v>
      </c>
      <c r="D119" s="27" t="s">
        <v>128</v>
      </c>
      <c r="E119" s="27" t="s">
        <v>107</v>
      </c>
      <c r="F119" s="27" t="s">
        <v>252</v>
      </c>
      <c r="G119" s="27" t="s">
        <v>64</v>
      </c>
      <c r="H119" s="27">
        <v>60</v>
      </c>
      <c r="I119" s="27">
        <v>22</v>
      </c>
      <c r="J119" s="37">
        <v>-2.1599999999999999E-4</v>
      </c>
      <c r="K119" s="27">
        <v>1</v>
      </c>
      <c r="L119" s="38">
        <v>-2.1599999999999999E-4</v>
      </c>
      <c r="M119" s="27" t="s">
        <v>65</v>
      </c>
      <c r="O119" s="27" t="s">
        <v>232</v>
      </c>
      <c r="P119" s="27">
        <v>86</v>
      </c>
      <c r="Q119" s="27" t="s">
        <v>128</v>
      </c>
      <c r="R119" s="27" t="s">
        <v>380</v>
      </c>
      <c r="S119" s="27" t="s">
        <v>252</v>
      </c>
      <c r="T119" s="27" t="s">
        <v>64</v>
      </c>
      <c r="U119" s="27">
        <v>10</v>
      </c>
      <c r="V119" s="27">
        <v>22</v>
      </c>
      <c r="W119" s="37">
        <v>-2.1599999999999999E-4</v>
      </c>
      <c r="X119" s="27">
        <v>1</v>
      </c>
      <c r="Y119" s="38">
        <v>-2.1599999999999999E-4</v>
      </c>
      <c r="Z119" s="27" t="s">
        <v>65</v>
      </c>
    </row>
    <row r="120" spans="2:26" x14ac:dyDescent="0.2">
      <c r="B120" s="27" t="s">
        <v>232</v>
      </c>
      <c r="C120" s="27">
        <v>69</v>
      </c>
      <c r="D120" s="27" t="s">
        <v>129</v>
      </c>
      <c r="E120" s="27" t="s">
        <v>107</v>
      </c>
      <c r="F120" s="27" t="s">
        <v>253</v>
      </c>
      <c r="G120" s="27" t="s">
        <v>63</v>
      </c>
      <c r="H120" s="27">
        <v>60</v>
      </c>
      <c r="I120" s="27">
        <v>20</v>
      </c>
      <c r="J120" s="37">
        <v>-2.9300000000000002E-4</v>
      </c>
      <c r="K120" s="27">
        <v>7</v>
      </c>
      <c r="L120" s="38">
        <v>-2.6200000000000003E-4</v>
      </c>
      <c r="M120" s="27" t="s">
        <v>65</v>
      </c>
      <c r="O120" s="27" t="s">
        <v>232</v>
      </c>
      <c r="P120" s="27">
        <v>69</v>
      </c>
      <c r="Q120" s="27" t="s">
        <v>129</v>
      </c>
      <c r="R120" s="27" t="s">
        <v>380</v>
      </c>
      <c r="S120" s="27" t="s">
        <v>253</v>
      </c>
      <c r="T120" s="27" t="s">
        <v>63</v>
      </c>
      <c r="U120" s="27">
        <v>10</v>
      </c>
      <c r="V120" s="27">
        <v>20</v>
      </c>
      <c r="W120" s="37">
        <v>-2.9300000000000002E-4</v>
      </c>
      <c r="X120" s="27">
        <v>7</v>
      </c>
      <c r="Y120" s="38">
        <v>-2.61E-4</v>
      </c>
      <c r="Z120" s="27" t="s">
        <v>65</v>
      </c>
    </row>
    <row r="121" spans="2:26" x14ac:dyDescent="0.2">
      <c r="B121" s="27" t="s">
        <v>232</v>
      </c>
      <c r="C121" s="27">
        <v>69</v>
      </c>
      <c r="D121" s="27" t="s">
        <v>129</v>
      </c>
      <c r="E121" s="27" t="s">
        <v>107</v>
      </c>
      <c r="F121" s="27" t="s">
        <v>254</v>
      </c>
      <c r="G121" s="27" t="s">
        <v>64</v>
      </c>
      <c r="H121" s="27">
        <v>60</v>
      </c>
      <c r="I121" s="27">
        <v>17</v>
      </c>
      <c r="J121" s="37">
        <v>-2.41E-4</v>
      </c>
      <c r="K121" s="27">
        <v>1</v>
      </c>
      <c r="L121" s="38">
        <v>-2.1900000000000001E-4</v>
      </c>
      <c r="M121" s="27" t="s">
        <v>65</v>
      </c>
      <c r="O121" s="27" t="s">
        <v>232</v>
      </c>
      <c r="P121" s="27">
        <v>69</v>
      </c>
      <c r="Q121" s="27" t="s">
        <v>129</v>
      </c>
      <c r="R121" s="27" t="s">
        <v>380</v>
      </c>
      <c r="S121" s="27" t="s">
        <v>254</v>
      </c>
      <c r="T121" s="27" t="s">
        <v>64</v>
      </c>
      <c r="U121" s="27">
        <v>10</v>
      </c>
      <c r="V121" s="27">
        <v>17</v>
      </c>
      <c r="W121" s="37">
        <v>-2.42E-4</v>
      </c>
      <c r="X121" s="27">
        <v>2</v>
      </c>
      <c r="Y121" s="38">
        <v>-2.1900000000000001E-4</v>
      </c>
      <c r="Z121" s="27" t="s">
        <v>65</v>
      </c>
    </row>
    <row r="122" spans="2:26" x14ac:dyDescent="0.2">
      <c r="B122" s="27" t="s">
        <v>232</v>
      </c>
      <c r="C122" s="27">
        <v>80</v>
      </c>
      <c r="D122" s="27" t="s">
        <v>128</v>
      </c>
      <c r="E122" s="27" t="s">
        <v>107</v>
      </c>
      <c r="F122" s="27" t="s">
        <v>255</v>
      </c>
      <c r="G122" s="27" t="s">
        <v>63</v>
      </c>
      <c r="H122" s="27">
        <v>60</v>
      </c>
      <c r="I122" s="27">
        <v>15</v>
      </c>
      <c r="J122" s="37">
        <v>-2.3800000000000001E-4</v>
      </c>
      <c r="K122" s="27">
        <v>6</v>
      </c>
      <c r="L122" s="38">
        <v>-2.24E-4</v>
      </c>
      <c r="M122" s="27" t="s">
        <v>65</v>
      </c>
      <c r="O122" s="27" t="s">
        <v>232</v>
      </c>
      <c r="P122" s="27">
        <v>80</v>
      </c>
      <c r="Q122" s="27" t="s">
        <v>128</v>
      </c>
      <c r="R122" s="27" t="s">
        <v>380</v>
      </c>
      <c r="S122" s="27" t="s">
        <v>255</v>
      </c>
      <c r="T122" s="27" t="s">
        <v>63</v>
      </c>
      <c r="U122" s="27">
        <v>10</v>
      </c>
      <c r="V122" s="27">
        <v>15</v>
      </c>
      <c r="W122" s="37">
        <v>-2.3699999999999999E-4</v>
      </c>
      <c r="X122" s="27">
        <v>6</v>
      </c>
      <c r="Y122" s="38">
        <v>-2.23E-4</v>
      </c>
      <c r="Z122" s="27" t="s">
        <v>65</v>
      </c>
    </row>
    <row r="123" spans="2:26" x14ac:dyDescent="0.2">
      <c r="B123" s="27" t="s">
        <v>232</v>
      </c>
      <c r="C123" s="27">
        <v>80</v>
      </c>
      <c r="D123" s="27" t="s">
        <v>128</v>
      </c>
      <c r="E123" s="27" t="s">
        <v>107</v>
      </c>
      <c r="F123" s="27" t="s">
        <v>256</v>
      </c>
      <c r="G123" s="27" t="s">
        <v>64</v>
      </c>
      <c r="H123" s="27">
        <v>60</v>
      </c>
      <c r="I123" s="27">
        <v>22</v>
      </c>
      <c r="J123" s="37">
        <v>-2.0900000000000001E-4</v>
      </c>
      <c r="K123" s="27">
        <v>1</v>
      </c>
      <c r="L123" s="38">
        <v>-2.0000000000000001E-4</v>
      </c>
      <c r="M123" s="27" t="s">
        <v>65</v>
      </c>
      <c r="O123" s="27" t="s">
        <v>232</v>
      </c>
      <c r="P123" s="27">
        <v>80</v>
      </c>
      <c r="Q123" s="27" t="s">
        <v>128</v>
      </c>
      <c r="R123" s="27" t="s">
        <v>380</v>
      </c>
      <c r="S123" s="27" t="s">
        <v>256</v>
      </c>
      <c r="T123" s="27" t="s">
        <v>64</v>
      </c>
      <c r="U123" s="27">
        <v>10</v>
      </c>
      <c r="V123" s="27">
        <v>22</v>
      </c>
      <c r="W123" s="37">
        <v>-2.0900000000000001E-4</v>
      </c>
      <c r="X123" s="27">
        <v>1</v>
      </c>
      <c r="Y123" s="38">
        <v>-1.9900000000000001E-4</v>
      </c>
      <c r="Z123" s="27" t="s">
        <v>65</v>
      </c>
    </row>
    <row r="124" spans="2:26" x14ac:dyDescent="0.2">
      <c r="B124" s="27" t="s">
        <v>232</v>
      </c>
      <c r="C124" s="27">
        <v>81</v>
      </c>
      <c r="D124" s="27" t="s">
        <v>128</v>
      </c>
      <c r="E124" s="27" t="s">
        <v>107</v>
      </c>
      <c r="F124" s="27" t="s">
        <v>257</v>
      </c>
      <c r="G124" s="27" t="s">
        <v>63</v>
      </c>
      <c r="H124" s="27">
        <v>60</v>
      </c>
      <c r="I124" s="27">
        <v>20</v>
      </c>
      <c r="J124" s="37">
        <v>-2.42E-4</v>
      </c>
      <c r="K124" s="27">
        <v>4</v>
      </c>
      <c r="L124" s="38">
        <v>-2.2800000000000001E-4</v>
      </c>
      <c r="M124" s="27" t="s">
        <v>65</v>
      </c>
      <c r="O124" s="27" t="s">
        <v>232</v>
      </c>
      <c r="P124" s="27">
        <v>81</v>
      </c>
      <c r="Q124" s="27" t="s">
        <v>128</v>
      </c>
      <c r="R124" s="27" t="s">
        <v>380</v>
      </c>
      <c r="S124" s="27" t="s">
        <v>257</v>
      </c>
      <c r="T124" s="27" t="s">
        <v>63</v>
      </c>
      <c r="U124" s="27">
        <v>10</v>
      </c>
      <c r="V124" s="27">
        <v>20</v>
      </c>
      <c r="W124" s="37">
        <v>-2.43E-4</v>
      </c>
      <c r="X124" s="27">
        <v>4</v>
      </c>
      <c r="Y124" s="38">
        <v>-2.2800000000000001E-4</v>
      </c>
      <c r="Z124" s="27" t="s">
        <v>65</v>
      </c>
    </row>
    <row r="125" spans="2:26" x14ac:dyDescent="0.2">
      <c r="B125" s="27" t="s">
        <v>232</v>
      </c>
      <c r="C125" s="27">
        <v>81</v>
      </c>
      <c r="D125" s="27" t="s">
        <v>128</v>
      </c>
      <c r="E125" s="27" t="s">
        <v>107</v>
      </c>
      <c r="F125" s="27" t="s">
        <v>258</v>
      </c>
      <c r="G125" s="27" t="s">
        <v>64</v>
      </c>
      <c r="H125" s="27">
        <v>60</v>
      </c>
      <c r="I125" s="27">
        <v>17</v>
      </c>
      <c r="J125" s="37">
        <v>-2.12E-4</v>
      </c>
      <c r="K125" s="27">
        <v>3</v>
      </c>
      <c r="L125" s="38">
        <v>-2.02E-4</v>
      </c>
      <c r="M125" s="27" t="s">
        <v>65</v>
      </c>
      <c r="O125" s="27" t="s">
        <v>232</v>
      </c>
      <c r="P125" s="27">
        <v>81</v>
      </c>
      <c r="Q125" s="27" t="s">
        <v>128</v>
      </c>
      <c r="R125" s="27" t="s">
        <v>380</v>
      </c>
      <c r="S125" s="27" t="s">
        <v>258</v>
      </c>
      <c r="T125" s="27" t="s">
        <v>64</v>
      </c>
      <c r="U125" s="27">
        <v>10</v>
      </c>
      <c r="V125" s="27">
        <v>17</v>
      </c>
      <c r="W125" s="37">
        <v>-2.13E-4</v>
      </c>
      <c r="X125" s="27">
        <v>3</v>
      </c>
      <c r="Y125" s="38">
        <v>-2.03E-4</v>
      </c>
      <c r="Z125" s="27" t="s">
        <v>65</v>
      </c>
    </row>
    <row r="126" spans="2:26" x14ac:dyDescent="0.2">
      <c r="B126" s="27" t="s">
        <v>232</v>
      </c>
      <c r="C126" s="27">
        <v>68</v>
      </c>
      <c r="D126" s="27" t="s">
        <v>129</v>
      </c>
      <c r="E126" s="27" t="s">
        <v>107</v>
      </c>
      <c r="F126" s="27" t="s">
        <v>259</v>
      </c>
      <c r="G126" s="27" t="s">
        <v>63</v>
      </c>
      <c r="H126" s="27">
        <v>60</v>
      </c>
      <c r="I126" s="27">
        <v>15</v>
      </c>
      <c r="J126" s="37">
        <v>-2.9300000000000002E-4</v>
      </c>
      <c r="K126" s="27">
        <v>9</v>
      </c>
      <c r="L126" s="38">
        <v>-2.6200000000000003E-4</v>
      </c>
      <c r="M126" s="27" t="s">
        <v>65</v>
      </c>
      <c r="O126" s="27" t="s">
        <v>232</v>
      </c>
      <c r="P126" s="27">
        <v>68</v>
      </c>
      <c r="Q126" s="27" t="s">
        <v>129</v>
      </c>
      <c r="R126" s="27" t="s">
        <v>380</v>
      </c>
      <c r="S126" s="27" t="s">
        <v>259</v>
      </c>
      <c r="T126" s="27" t="s">
        <v>63</v>
      </c>
      <c r="U126" s="27">
        <v>10</v>
      </c>
      <c r="V126" s="27">
        <v>15</v>
      </c>
      <c r="W126" s="37">
        <v>-2.9300000000000002E-4</v>
      </c>
      <c r="X126" s="27">
        <v>7</v>
      </c>
      <c r="Y126" s="38">
        <v>-2.6200000000000003E-4</v>
      </c>
      <c r="Z126" s="27" t="s">
        <v>65</v>
      </c>
    </row>
    <row r="127" spans="2:26" x14ac:dyDescent="0.2">
      <c r="B127" s="27" t="s">
        <v>232</v>
      </c>
      <c r="C127" s="27">
        <v>68</v>
      </c>
      <c r="D127" s="27" t="s">
        <v>129</v>
      </c>
      <c r="E127" s="27" t="s">
        <v>107</v>
      </c>
      <c r="F127" s="27" t="s">
        <v>260</v>
      </c>
      <c r="G127" s="27" t="s">
        <v>64</v>
      </c>
      <c r="H127" s="27">
        <v>60</v>
      </c>
      <c r="I127" s="27">
        <v>19</v>
      </c>
      <c r="J127" s="37">
        <v>-2.42E-4</v>
      </c>
      <c r="K127" s="27">
        <v>1</v>
      </c>
      <c r="L127" s="38">
        <v>-2.2000000000000001E-4</v>
      </c>
      <c r="M127" s="27" t="s">
        <v>65</v>
      </c>
      <c r="O127" s="27" t="s">
        <v>232</v>
      </c>
      <c r="P127" s="27">
        <v>68</v>
      </c>
      <c r="Q127" s="27" t="s">
        <v>129</v>
      </c>
      <c r="R127" s="27" t="s">
        <v>380</v>
      </c>
      <c r="S127" s="27" t="s">
        <v>260</v>
      </c>
      <c r="T127" s="27" t="s">
        <v>64</v>
      </c>
      <c r="U127" s="27">
        <v>10</v>
      </c>
      <c r="V127" s="27">
        <v>17</v>
      </c>
      <c r="W127" s="37">
        <v>-2.42E-4</v>
      </c>
      <c r="X127" s="27">
        <v>1</v>
      </c>
      <c r="Y127" s="38">
        <v>-2.2000000000000001E-4</v>
      </c>
      <c r="Z127" s="27" t="s">
        <v>65</v>
      </c>
    </row>
    <row r="128" spans="2:26" x14ac:dyDescent="0.2">
      <c r="B128" s="27" t="s">
        <v>232</v>
      </c>
      <c r="C128" s="27">
        <v>83</v>
      </c>
      <c r="D128" s="27" t="s">
        <v>128</v>
      </c>
      <c r="E128" s="27" t="s">
        <v>107</v>
      </c>
      <c r="F128" s="27" t="s">
        <v>261</v>
      </c>
      <c r="G128" s="27" t="s">
        <v>63</v>
      </c>
      <c r="H128" s="27">
        <v>60</v>
      </c>
      <c r="I128" s="27">
        <v>20</v>
      </c>
      <c r="J128" s="37">
        <v>-2.3000000000000001E-4</v>
      </c>
      <c r="K128" s="27">
        <v>4</v>
      </c>
      <c r="L128" s="38">
        <v>-2.3000000000000001E-4</v>
      </c>
      <c r="M128" s="27" t="s">
        <v>65</v>
      </c>
      <c r="O128" s="27" t="s">
        <v>232</v>
      </c>
      <c r="P128" s="27">
        <v>83</v>
      </c>
      <c r="Q128" s="27" t="s">
        <v>128</v>
      </c>
      <c r="R128" s="27" t="s">
        <v>380</v>
      </c>
      <c r="S128" s="27" t="s">
        <v>261</v>
      </c>
      <c r="T128" s="27" t="s">
        <v>63</v>
      </c>
      <c r="U128" s="27">
        <v>10</v>
      </c>
      <c r="V128" s="27">
        <v>20</v>
      </c>
      <c r="W128" s="37">
        <v>-2.3000000000000001E-4</v>
      </c>
      <c r="X128" s="27">
        <v>4</v>
      </c>
      <c r="Y128" s="38">
        <v>-2.3000000000000001E-4</v>
      </c>
      <c r="Z128" s="27" t="s">
        <v>65</v>
      </c>
    </row>
    <row r="129" spans="2:26" x14ac:dyDescent="0.2">
      <c r="B129" s="27" t="s">
        <v>232</v>
      </c>
      <c r="C129" s="27">
        <v>83</v>
      </c>
      <c r="D129" s="27" t="s">
        <v>128</v>
      </c>
      <c r="E129" s="27" t="s">
        <v>107</v>
      </c>
      <c r="F129" s="27" t="s">
        <v>262</v>
      </c>
      <c r="G129" s="27" t="s">
        <v>64</v>
      </c>
      <c r="H129" s="27">
        <v>60</v>
      </c>
      <c r="I129" s="27">
        <v>17</v>
      </c>
      <c r="J129" s="37">
        <v>-2.1499999999999999E-4</v>
      </c>
      <c r="K129" s="27">
        <v>3</v>
      </c>
      <c r="L129" s="38">
        <v>-2.1499999999999999E-4</v>
      </c>
      <c r="M129" s="27" t="s">
        <v>65</v>
      </c>
      <c r="O129" s="27" t="s">
        <v>232</v>
      </c>
      <c r="P129" s="27">
        <v>83</v>
      </c>
      <c r="Q129" s="27" t="s">
        <v>128</v>
      </c>
      <c r="R129" s="27" t="s">
        <v>380</v>
      </c>
      <c r="S129" s="27" t="s">
        <v>262</v>
      </c>
      <c r="T129" s="27" t="s">
        <v>64</v>
      </c>
      <c r="U129" s="27">
        <v>10</v>
      </c>
      <c r="V129" s="27">
        <v>17</v>
      </c>
      <c r="W129" s="37">
        <v>-2.1599999999999999E-4</v>
      </c>
      <c r="X129" s="27">
        <v>3</v>
      </c>
      <c r="Y129" s="38">
        <v>-2.1599999999999999E-4</v>
      </c>
      <c r="Z129" s="27" t="s">
        <v>65</v>
      </c>
    </row>
    <row r="130" spans="2:26" x14ac:dyDescent="0.2">
      <c r="B130" s="27" t="s">
        <v>232</v>
      </c>
      <c r="C130" s="27">
        <v>84</v>
      </c>
      <c r="D130" s="27" t="s">
        <v>128</v>
      </c>
      <c r="E130" s="27" t="s">
        <v>107</v>
      </c>
      <c r="F130" s="27" t="s">
        <v>263</v>
      </c>
      <c r="G130" s="27" t="s">
        <v>63</v>
      </c>
      <c r="H130" s="27">
        <v>60</v>
      </c>
      <c r="I130" s="27">
        <v>15</v>
      </c>
      <c r="J130" s="37">
        <v>-2.2900000000000001E-4</v>
      </c>
      <c r="K130" s="27">
        <v>6</v>
      </c>
      <c r="L130" s="38">
        <v>-2.2900000000000001E-4</v>
      </c>
      <c r="M130" s="27" t="s">
        <v>65</v>
      </c>
      <c r="O130" s="27" t="s">
        <v>232</v>
      </c>
      <c r="P130" s="27">
        <v>84</v>
      </c>
      <c r="Q130" s="27" t="s">
        <v>128</v>
      </c>
      <c r="R130" s="27" t="s">
        <v>380</v>
      </c>
      <c r="S130" s="27" t="s">
        <v>263</v>
      </c>
      <c r="T130" s="27" t="s">
        <v>63</v>
      </c>
      <c r="U130" s="27">
        <v>10</v>
      </c>
      <c r="V130" s="27">
        <v>15</v>
      </c>
      <c r="W130" s="37">
        <v>-2.2800000000000001E-4</v>
      </c>
      <c r="X130" s="27">
        <v>6</v>
      </c>
      <c r="Y130" s="38">
        <v>-2.2800000000000001E-4</v>
      </c>
      <c r="Z130" s="27" t="s">
        <v>65</v>
      </c>
    </row>
    <row r="131" spans="2:26" x14ac:dyDescent="0.2">
      <c r="B131" s="27" t="s">
        <v>232</v>
      </c>
      <c r="C131" s="27">
        <v>84</v>
      </c>
      <c r="D131" s="27" t="s">
        <v>128</v>
      </c>
      <c r="E131" s="27" t="s">
        <v>107</v>
      </c>
      <c r="F131" s="27" t="s">
        <v>264</v>
      </c>
      <c r="G131" s="27" t="s">
        <v>64</v>
      </c>
      <c r="H131" s="27">
        <v>60</v>
      </c>
      <c r="I131" s="27">
        <v>22</v>
      </c>
      <c r="J131" s="37">
        <v>-2.1499999999999999E-4</v>
      </c>
      <c r="K131" s="27">
        <v>1</v>
      </c>
      <c r="L131" s="38">
        <v>-2.1499999999999999E-4</v>
      </c>
      <c r="M131" s="27" t="s">
        <v>65</v>
      </c>
      <c r="O131" s="27" t="s">
        <v>232</v>
      </c>
      <c r="P131" s="27">
        <v>84</v>
      </c>
      <c r="Q131" s="27" t="s">
        <v>128</v>
      </c>
      <c r="R131" s="27" t="s">
        <v>380</v>
      </c>
      <c r="S131" s="27" t="s">
        <v>264</v>
      </c>
      <c r="T131" s="27" t="s">
        <v>64</v>
      </c>
      <c r="U131" s="27">
        <v>10</v>
      </c>
      <c r="V131" s="27">
        <v>22</v>
      </c>
      <c r="W131" s="37">
        <v>-2.1499999999999999E-4</v>
      </c>
      <c r="X131" s="27">
        <v>1</v>
      </c>
      <c r="Y131" s="38">
        <v>-2.1499999999999999E-4</v>
      </c>
      <c r="Z131" s="27" t="s">
        <v>65</v>
      </c>
    </row>
    <row r="132" spans="2:26" x14ac:dyDescent="0.2">
      <c r="B132" s="27" t="s">
        <v>232</v>
      </c>
      <c r="C132" s="27">
        <v>70</v>
      </c>
      <c r="D132" s="27" t="s">
        <v>129</v>
      </c>
      <c r="E132" s="27" t="s">
        <v>107</v>
      </c>
      <c r="F132" s="27" t="s">
        <v>265</v>
      </c>
      <c r="G132" s="27" t="s">
        <v>63</v>
      </c>
      <c r="H132" s="27">
        <v>60</v>
      </c>
      <c r="I132" s="27">
        <v>20</v>
      </c>
      <c r="J132" s="37">
        <v>-2.9300000000000002E-4</v>
      </c>
      <c r="K132" s="27">
        <v>7</v>
      </c>
      <c r="L132" s="38">
        <v>-2.6200000000000003E-4</v>
      </c>
      <c r="M132" s="27" t="s">
        <v>65</v>
      </c>
      <c r="O132" s="27" t="s">
        <v>232</v>
      </c>
      <c r="P132" s="27">
        <v>70</v>
      </c>
      <c r="Q132" s="27" t="s">
        <v>129</v>
      </c>
      <c r="R132" s="27" t="s">
        <v>380</v>
      </c>
      <c r="S132" s="27" t="s">
        <v>265</v>
      </c>
      <c r="T132" s="27" t="s">
        <v>63</v>
      </c>
      <c r="U132" s="27">
        <v>10</v>
      </c>
      <c r="V132" s="27">
        <v>20</v>
      </c>
      <c r="W132" s="37">
        <v>-2.9300000000000002E-4</v>
      </c>
      <c r="X132" s="27">
        <v>7</v>
      </c>
      <c r="Y132" s="38">
        <v>-2.6200000000000003E-4</v>
      </c>
      <c r="Z132" s="27" t="s">
        <v>65</v>
      </c>
    </row>
    <row r="133" spans="2:26" x14ac:dyDescent="0.2">
      <c r="B133" s="27" t="s">
        <v>232</v>
      </c>
      <c r="C133" s="27">
        <v>70</v>
      </c>
      <c r="D133" s="27" t="s">
        <v>129</v>
      </c>
      <c r="E133" s="27" t="s">
        <v>107</v>
      </c>
      <c r="F133" s="27" t="s">
        <v>266</v>
      </c>
      <c r="G133" s="27" t="s">
        <v>64</v>
      </c>
      <c r="H133" s="27">
        <v>60</v>
      </c>
      <c r="I133" s="27">
        <v>17</v>
      </c>
      <c r="J133" s="37">
        <v>-2.42E-4</v>
      </c>
      <c r="K133" s="27">
        <v>5</v>
      </c>
      <c r="L133" s="38">
        <v>-2.2000000000000001E-4</v>
      </c>
      <c r="M133" s="27" t="s">
        <v>65</v>
      </c>
      <c r="O133" s="27" t="s">
        <v>232</v>
      </c>
      <c r="P133" s="27">
        <v>70</v>
      </c>
      <c r="Q133" s="27" t="s">
        <v>129</v>
      </c>
      <c r="R133" s="27" t="s">
        <v>380</v>
      </c>
      <c r="S133" s="27" t="s">
        <v>266</v>
      </c>
      <c r="T133" s="27" t="s">
        <v>64</v>
      </c>
      <c r="U133" s="27">
        <v>10</v>
      </c>
      <c r="V133" s="27">
        <v>17</v>
      </c>
      <c r="W133" s="37">
        <v>-2.42E-4</v>
      </c>
      <c r="X133" s="27">
        <v>5</v>
      </c>
      <c r="Y133" s="38">
        <v>-2.2000000000000001E-4</v>
      </c>
      <c r="Z133" s="27" t="s">
        <v>65</v>
      </c>
    </row>
    <row r="134" spans="2:26" x14ac:dyDescent="0.2">
      <c r="B134" s="27" t="s">
        <v>232</v>
      </c>
      <c r="C134" s="27">
        <v>79</v>
      </c>
      <c r="D134" s="27" t="s">
        <v>128</v>
      </c>
      <c r="E134" s="27" t="s">
        <v>107</v>
      </c>
      <c r="F134" s="27" t="s">
        <v>267</v>
      </c>
      <c r="G134" s="27" t="s">
        <v>63</v>
      </c>
      <c r="H134" s="27">
        <v>60</v>
      </c>
      <c r="I134" s="27">
        <v>15</v>
      </c>
      <c r="J134" s="37">
        <v>-2.42E-4</v>
      </c>
      <c r="K134" s="27">
        <v>6</v>
      </c>
      <c r="L134" s="38">
        <v>-2.2699999999999999E-4</v>
      </c>
      <c r="M134" s="27" t="s">
        <v>65</v>
      </c>
      <c r="O134" s="27" t="s">
        <v>232</v>
      </c>
      <c r="P134" s="27">
        <v>79</v>
      </c>
      <c r="Q134" s="27" t="s">
        <v>128</v>
      </c>
      <c r="R134" s="27" t="s">
        <v>380</v>
      </c>
      <c r="S134" s="27" t="s">
        <v>267</v>
      </c>
      <c r="T134" s="27" t="s">
        <v>63</v>
      </c>
      <c r="U134" s="27">
        <v>10</v>
      </c>
      <c r="V134" s="27">
        <v>15</v>
      </c>
      <c r="W134" s="37">
        <v>-2.41E-4</v>
      </c>
      <c r="X134" s="27">
        <v>6</v>
      </c>
      <c r="Y134" s="38">
        <v>-2.2599999999999999E-4</v>
      </c>
      <c r="Z134" s="27" t="s">
        <v>65</v>
      </c>
    </row>
    <row r="135" spans="2:26" x14ac:dyDescent="0.2">
      <c r="B135" s="27" t="s">
        <v>232</v>
      </c>
      <c r="C135" s="27">
        <v>79</v>
      </c>
      <c r="D135" s="27" t="s">
        <v>128</v>
      </c>
      <c r="E135" s="27" t="s">
        <v>107</v>
      </c>
      <c r="F135" s="27" t="s">
        <v>268</v>
      </c>
      <c r="G135" s="27" t="s">
        <v>64</v>
      </c>
      <c r="H135" s="27">
        <v>60</v>
      </c>
      <c r="I135" s="27">
        <v>22</v>
      </c>
      <c r="J135" s="37">
        <v>-2.12E-4</v>
      </c>
      <c r="K135" s="27">
        <v>1</v>
      </c>
      <c r="L135" s="38">
        <v>-2.02E-4</v>
      </c>
      <c r="M135" s="27" t="s">
        <v>65</v>
      </c>
      <c r="O135" s="27" t="s">
        <v>232</v>
      </c>
      <c r="P135" s="27">
        <v>79</v>
      </c>
      <c r="Q135" s="27" t="s">
        <v>128</v>
      </c>
      <c r="R135" s="27" t="s">
        <v>380</v>
      </c>
      <c r="S135" s="27" t="s">
        <v>268</v>
      </c>
      <c r="T135" s="27" t="s">
        <v>64</v>
      </c>
      <c r="U135" s="27">
        <v>10</v>
      </c>
      <c r="V135" s="27">
        <v>22</v>
      </c>
      <c r="W135" s="37">
        <v>-2.1100000000000001E-4</v>
      </c>
      <c r="X135" s="27">
        <v>1</v>
      </c>
      <c r="Y135" s="38">
        <v>-2.0100000000000001E-4</v>
      </c>
      <c r="Z135" s="27" t="s">
        <v>65</v>
      </c>
    </row>
    <row r="136" spans="2:26" x14ac:dyDescent="0.2">
      <c r="B136" s="27" t="s">
        <v>232</v>
      </c>
      <c r="C136" s="27">
        <v>63</v>
      </c>
      <c r="D136" s="27" t="s">
        <v>127</v>
      </c>
      <c r="E136" s="27" t="s">
        <v>107</v>
      </c>
      <c r="F136" s="27" t="s">
        <v>269</v>
      </c>
      <c r="G136" s="27" t="s">
        <v>63</v>
      </c>
      <c r="H136" s="27">
        <v>60</v>
      </c>
      <c r="I136" s="27">
        <v>16</v>
      </c>
      <c r="J136" s="37">
        <v>-2.43E-4</v>
      </c>
      <c r="K136" s="27">
        <v>1</v>
      </c>
      <c r="L136" s="38">
        <v>-2.1599999999999999E-4</v>
      </c>
      <c r="M136" s="27" t="s">
        <v>65</v>
      </c>
      <c r="O136" s="27" t="s">
        <v>232</v>
      </c>
      <c r="P136" s="27">
        <v>63</v>
      </c>
      <c r="Q136" s="27" t="s">
        <v>127</v>
      </c>
      <c r="R136" s="27" t="s">
        <v>380</v>
      </c>
      <c r="S136" s="27" t="s">
        <v>269</v>
      </c>
      <c r="T136" s="27" t="s">
        <v>63</v>
      </c>
      <c r="U136" s="27">
        <v>10</v>
      </c>
      <c r="V136" s="27">
        <v>16</v>
      </c>
      <c r="W136" s="37">
        <v>-2.4399999999999999E-4</v>
      </c>
      <c r="X136" s="27">
        <v>1</v>
      </c>
      <c r="Y136" s="38">
        <v>-2.1699999999999999E-4</v>
      </c>
      <c r="Z136" s="27" t="s">
        <v>65</v>
      </c>
    </row>
    <row r="137" spans="2:26" x14ac:dyDescent="0.2">
      <c r="B137" s="27" t="s">
        <v>232</v>
      </c>
      <c r="C137" s="27">
        <v>63</v>
      </c>
      <c r="D137" s="27" t="s">
        <v>127</v>
      </c>
      <c r="E137" s="27" t="s">
        <v>107</v>
      </c>
      <c r="F137" s="27" t="s">
        <v>270</v>
      </c>
      <c r="G137" s="27" t="s">
        <v>64</v>
      </c>
      <c r="H137" s="27">
        <v>60</v>
      </c>
      <c r="I137" s="27">
        <v>9</v>
      </c>
      <c r="J137" s="37">
        <v>-1.85E-4</v>
      </c>
      <c r="K137" s="27">
        <v>6</v>
      </c>
      <c r="L137" s="38">
        <v>-1.6799999999999999E-4</v>
      </c>
      <c r="M137" s="27" t="s">
        <v>65</v>
      </c>
      <c r="O137" s="27" t="s">
        <v>232</v>
      </c>
      <c r="P137" s="27">
        <v>63</v>
      </c>
      <c r="Q137" s="27" t="s">
        <v>127</v>
      </c>
      <c r="R137" s="27" t="s">
        <v>380</v>
      </c>
      <c r="S137" s="27" t="s">
        <v>270</v>
      </c>
      <c r="T137" s="27" t="s">
        <v>64</v>
      </c>
      <c r="U137" s="27">
        <v>10</v>
      </c>
      <c r="V137" s="27">
        <v>9</v>
      </c>
      <c r="W137" s="37">
        <v>-1.85E-4</v>
      </c>
      <c r="X137" s="27">
        <v>6</v>
      </c>
      <c r="Y137" s="38">
        <v>-1.6799999999999999E-4</v>
      </c>
      <c r="Z137" s="27" t="s">
        <v>65</v>
      </c>
    </row>
    <row r="138" spans="2:26" x14ac:dyDescent="0.2">
      <c r="B138" s="27" t="s">
        <v>232</v>
      </c>
      <c r="C138" s="27">
        <v>75</v>
      </c>
      <c r="D138" s="27" t="s">
        <v>128</v>
      </c>
      <c r="E138" s="27" t="s">
        <v>107</v>
      </c>
      <c r="F138" s="27" t="s">
        <v>271</v>
      </c>
      <c r="G138" s="27" t="s">
        <v>63</v>
      </c>
      <c r="H138" s="27">
        <v>60</v>
      </c>
      <c r="I138" s="27">
        <v>17</v>
      </c>
      <c r="J138" s="37">
        <v>-7.7000000000000001E-5</v>
      </c>
      <c r="K138" s="27">
        <v>3</v>
      </c>
      <c r="L138" s="38">
        <v>-7.6000000000000004E-5</v>
      </c>
      <c r="M138" s="27" t="s">
        <v>65</v>
      </c>
      <c r="O138" s="27" t="s">
        <v>232</v>
      </c>
      <c r="P138" s="27">
        <v>75</v>
      </c>
      <c r="Q138" s="27" t="s">
        <v>128</v>
      </c>
      <c r="R138" s="27" t="s">
        <v>380</v>
      </c>
      <c r="S138" s="27" t="s">
        <v>271</v>
      </c>
      <c r="T138" s="27" t="s">
        <v>63</v>
      </c>
      <c r="U138" s="27">
        <v>10</v>
      </c>
      <c r="V138" s="27">
        <v>17</v>
      </c>
      <c r="W138" s="37">
        <v>-7.6000000000000004E-5</v>
      </c>
      <c r="X138" s="27">
        <v>3</v>
      </c>
      <c r="Y138" s="38">
        <v>-7.6000000000000004E-5</v>
      </c>
      <c r="Z138" s="27" t="s">
        <v>65</v>
      </c>
    </row>
    <row r="139" spans="2:26" x14ac:dyDescent="0.2">
      <c r="B139" s="27" t="s">
        <v>232</v>
      </c>
      <c r="C139" s="27">
        <v>75</v>
      </c>
      <c r="D139" s="27" t="s">
        <v>128</v>
      </c>
      <c r="E139" s="27" t="s">
        <v>107</v>
      </c>
      <c r="F139" s="27" t="s">
        <v>272</v>
      </c>
      <c r="G139" s="27" t="s">
        <v>64</v>
      </c>
      <c r="H139" s="27">
        <v>60</v>
      </c>
      <c r="I139" s="27">
        <v>22</v>
      </c>
      <c r="J139" s="37">
        <v>-8.8999999999999995E-5</v>
      </c>
      <c r="K139" s="27">
        <v>1</v>
      </c>
      <c r="L139" s="38">
        <v>-8.7999999999999998E-5</v>
      </c>
      <c r="M139" s="27" t="s">
        <v>65</v>
      </c>
      <c r="O139" s="27" t="s">
        <v>232</v>
      </c>
      <c r="P139" s="27">
        <v>75</v>
      </c>
      <c r="Q139" s="27" t="s">
        <v>128</v>
      </c>
      <c r="R139" s="27" t="s">
        <v>380</v>
      </c>
      <c r="S139" s="27" t="s">
        <v>272</v>
      </c>
      <c r="T139" s="27" t="s">
        <v>64</v>
      </c>
      <c r="U139" s="27">
        <v>10</v>
      </c>
      <c r="V139" s="27">
        <v>22</v>
      </c>
      <c r="W139" s="37">
        <v>-8.7999999999999998E-5</v>
      </c>
      <c r="X139" s="27">
        <v>1</v>
      </c>
      <c r="Y139" s="38">
        <v>-8.7999999999999998E-5</v>
      </c>
      <c r="Z139" s="27" t="s">
        <v>65</v>
      </c>
    </row>
    <row r="140" spans="2:26" x14ac:dyDescent="0.2">
      <c r="B140" s="27" t="s">
        <v>232</v>
      </c>
      <c r="C140" s="27">
        <v>71</v>
      </c>
      <c r="D140" s="27" t="s">
        <v>129</v>
      </c>
      <c r="E140" s="27" t="s">
        <v>107</v>
      </c>
      <c r="F140" s="27" t="s">
        <v>273</v>
      </c>
      <c r="G140" s="27" t="s">
        <v>63</v>
      </c>
      <c r="H140" s="27">
        <v>60</v>
      </c>
      <c r="I140" s="27">
        <v>22</v>
      </c>
      <c r="J140" s="37">
        <v>-1.03E-4</v>
      </c>
      <c r="K140" s="27">
        <v>1</v>
      </c>
      <c r="L140" s="38">
        <v>-9.6000000000000002E-5</v>
      </c>
      <c r="M140" s="27" t="s">
        <v>65</v>
      </c>
      <c r="O140" s="27" t="s">
        <v>232</v>
      </c>
      <c r="P140" s="27">
        <v>71</v>
      </c>
      <c r="Q140" s="27" t="s">
        <v>129</v>
      </c>
      <c r="R140" s="27" t="s">
        <v>380</v>
      </c>
      <c r="S140" s="27" t="s">
        <v>273</v>
      </c>
      <c r="T140" s="27" t="s">
        <v>63</v>
      </c>
      <c r="U140" s="27">
        <v>10</v>
      </c>
      <c r="V140" s="27">
        <v>22</v>
      </c>
      <c r="W140" s="37">
        <v>-1.03E-4</v>
      </c>
      <c r="X140" s="27">
        <v>1</v>
      </c>
      <c r="Y140" s="38">
        <v>-9.6000000000000002E-5</v>
      </c>
      <c r="Z140" s="27" t="s">
        <v>65</v>
      </c>
    </row>
    <row r="141" spans="2:26" x14ac:dyDescent="0.2">
      <c r="B141" s="27" t="s">
        <v>232</v>
      </c>
      <c r="C141" s="27">
        <v>71</v>
      </c>
      <c r="D141" s="27" t="s">
        <v>129</v>
      </c>
      <c r="E141" s="27" t="s">
        <v>107</v>
      </c>
      <c r="F141" s="27" t="s">
        <v>274</v>
      </c>
      <c r="G141" s="27" t="s">
        <v>64</v>
      </c>
      <c r="H141" s="27">
        <v>60</v>
      </c>
      <c r="I141" s="27">
        <v>15</v>
      </c>
      <c r="J141" s="37">
        <v>-8.2999999999999998E-5</v>
      </c>
      <c r="K141" s="27">
        <v>7</v>
      </c>
      <c r="L141" s="38">
        <v>-8.0000000000000007E-5</v>
      </c>
      <c r="M141" s="27" t="s">
        <v>65</v>
      </c>
      <c r="O141" s="27" t="s">
        <v>232</v>
      </c>
      <c r="P141" s="27">
        <v>71</v>
      </c>
      <c r="Q141" s="27" t="s">
        <v>129</v>
      </c>
      <c r="R141" s="27" t="s">
        <v>380</v>
      </c>
      <c r="S141" s="27" t="s">
        <v>274</v>
      </c>
      <c r="T141" s="27" t="s">
        <v>64</v>
      </c>
      <c r="U141" s="27">
        <v>10</v>
      </c>
      <c r="V141" s="27">
        <v>15</v>
      </c>
      <c r="W141" s="37">
        <v>-8.3999999999999995E-5</v>
      </c>
      <c r="X141" s="27">
        <v>9</v>
      </c>
      <c r="Y141" s="38">
        <v>-8.0000000000000007E-5</v>
      </c>
      <c r="Z141" s="27" t="s">
        <v>65</v>
      </c>
    </row>
    <row r="142" spans="2:26" x14ac:dyDescent="0.2">
      <c r="B142" s="27" t="s">
        <v>232</v>
      </c>
      <c r="C142" s="27">
        <v>72</v>
      </c>
      <c r="D142" s="27" t="s">
        <v>129</v>
      </c>
      <c r="E142" s="27" t="s">
        <v>107</v>
      </c>
      <c r="F142" s="27" t="s">
        <v>275</v>
      </c>
      <c r="G142" s="27" t="s">
        <v>63</v>
      </c>
      <c r="H142" s="27">
        <v>60</v>
      </c>
      <c r="I142" s="27">
        <v>22</v>
      </c>
      <c r="J142" s="37">
        <v>-1.03E-4</v>
      </c>
      <c r="K142" s="27">
        <v>1</v>
      </c>
      <c r="L142" s="38">
        <v>-9.6000000000000002E-5</v>
      </c>
      <c r="M142" s="27" t="s">
        <v>65</v>
      </c>
      <c r="O142" s="27" t="s">
        <v>232</v>
      </c>
      <c r="P142" s="27">
        <v>72</v>
      </c>
      <c r="Q142" s="27" t="s">
        <v>129</v>
      </c>
      <c r="R142" s="27" t="s">
        <v>380</v>
      </c>
      <c r="S142" s="27" t="s">
        <v>275</v>
      </c>
      <c r="T142" s="27" t="s">
        <v>63</v>
      </c>
      <c r="U142" s="27">
        <v>10</v>
      </c>
      <c r="V142" s="27">
        <v>19</v>
      </c>
      <c r="W142" s="37">
        <v>-1.03E-4</v>
      </c>
      <c r="X142" s="27">
        <v>1</v>
      </c>
      <c r="Y142" s="38">
        <v>-9.7E-5</v>
      </c>
      <c r="Z142" s="27" t="s">
        <v>65</v>
      </c>
    </row>
    <row r="143" spans="2:26" x14ac:dyDescent="0.2">
      <c r="B143" s="27" t="s">
        <v>232</v>
      </c>
      <c r="C143" s="27">
        <v>72</v>
      </c>
      <c r="D143" s="27" t="s">
        <v>129</v>
      </c>
      <c r="E143" s="27" t="s">
        <v>107</v>
      </c>
      <c r="F143" s="27" t="s">
        <v>276</v>
      </c>
      <c r="G143" s="27" t="s">
        <v>64</v>
      </c>
      <c r="H143" s="27">
        <v>60</v>
      </c>
      <c r="I143" s="27">
        <v>15</v>
      </c>
      <c r="J143" s="37">
        <v>-8.2999999999999998E-5</v>
      </c>
      <c r="K143" s="27">
        <v>7</v>
      </c>
      <c r="L143" s="38">
        <v>-8.0000000000000007E-5</v>
      </c>
      <c r="M143" s="27" t="s">
        <v>65</v>
      </c>
      <c r="O143" s="27" t="s">
        <v>232</v>
      </c>
      <c r="P143" s="27">
        <v>72</v>
      </c>
      <c r="Q143" s="27" t="s">
        <v>129</v>
      </c>
      <c r="R143" s="27" t="s">
        <v>380</v>
      </c>
      <c r="S143" s="27" t="s">
        <v>276</v>
      </c>
      <c r="T143" s="27" t="s">
        <v>64</v>
      </c>
      <c r="U143" s="27">
        <v>10</v>
      </c>
      <c r="V143" s="27">
        <v>15</v>
      </c>
      <c r="W143" s="37">
        <v>-8.3999999999999995E-5</v>
      </c>
      <c r="X143" s="27">
        <v>9</v>
      </c>
      <c r="Y143" s="38">
        <v>-8.0000000000000007E-5</v>
      </c>
      <c r="Z143" s="27" t="s">
        <v>65</v>
      </c>
    </row>
    <row r="144" spans="2:26" x14ac:dyDescent="0.2">
      <c r="B144" s="27" t="s">
        <v>232</v>
      </c>
      <c r="C144" s="27">
        <v>76</v>
      </c>
      <c r="D144" s="27" t="s">
        <v>128</v>
      </c>
      <c r="E144" s="27" t="s">
        <v>107</v>
      </c>
      <c r="F144" s="27" t="s">
        <v>277</v>
      </c>
      <c r="G144" s="27" t="s">
        <v>63</v>
      </c>
      <c r="H144" s="27">
        <v>60</v>
      </c>
      <c r="I144" s="27">
        <v>22</v>
      </c>
      <c r="J144" s="37">
        <v>-7.7000000000000001E-5</v>
      </c>
      <c r="K144" s="27">
        <v>1</v>
      </c>
      <c r="L144" s="38">
        <v>-7.7000000000000001E-5</v>
      </c>
      <c r="M144" s="27" t="s">
        <v>65</v>
      </c>
      <c r="O144" s="27" t="s">
        <v>232</v>
      </c>
      <c r="P144" s="27">
        <v>76</v>
      </c>
      <c r="Q144" s="27" t="s">
        <v>128</v>
      </c>
      <c r="R144" s="27" t="s">
        <v>380</v>
      </c>
      <c r="S144" s="27" t="s">
        <v>277</v>
      </c>
      <c r="T144" s="27" t="s">
        <v>63</v>
      </c>
      <c r="U144" s="27">
        <v>10</v>
      </c>
      <c r="V144" s="27">
        <v>22</v>
      </c>
      <c r="W144" s="37">
        <v>-7.8999999999999996E-5</v>
      </c>
      <c r="X144" s="27">
        <v>1</v>
      </c>
      <c r="Y144" s="38">
        <v>-7.7999999999999999E-5</v>
      </c>
      <c r="Z144" s="27" t="s">
        <v>65</v>
      </c>
    </row>
    <row r="145" spans="2:26" x14ac:dyDescent="0.2">
      <c r="B145" s="27" t="s">
        <v>232</v>
      </c>
      <c r="C145" s="27">
        <v>76</v>
      </c>
      <c r="D145" s="27" t="s">
        <v>128</v>
      </c>
      <c r="E145" s="27" t="s">
        <v>107</v>
      </c>
      <c r="F145" s="27" t="s">
        <v>278</v>
      </c>
      <c r="G145" s="27" t="s">
        <v>64</v>
      </c>
      <c r="H145" s="27">
        <v>60</v>
      </c>
      <c r="I145" s="27">
        <v>17</v>
      </c>
      <c r="J145" s="37">
        <v>-8.8999999999999995E-5</v>
      </c>
      <c r="K145" s="27">
        <v>3</v>
      </c>
      <c r="L145" s="38">
        <v>-8.8999999999999995E-5</v>
      </c>
      <c r="M145" s="27" t="s">
        <v>65</v>
      </c>
      <c r="O145" s="27" t="s">
        <v>232</v>
      </c>
      <c r="P145" s="27">
        <v>76</v>
      </c>
      <c r="Q145" s="27" t="s">
        <v>128</v>
      </c>
      <c r="R145" s="27" t="s">
        <v>380</v>
      </c>
      <c r="S145" s="27" t="s">
        <v>278</v>
      </c>
      <c r="T145" s="27" t="s">
        <v>64</v>
      </c>
      <c r="U145" s="27">
        <v>10</v>
      </c>
      <c r="V145" s="27">
        <v>17</v>
      </c>
      <c r="W145" s="37">
        <v>-9.0000000000000006E-5</v>
      </c>
      <c r="X145" s="27">
        <v>3</v>
      </c>
      <c r="Y145" s="38">
        <v>-8.8999999999999995E-5</v>
      </c>
      <c r="Z145" s="27" t="s">
        <v>65</v>
      </c>
    </row>
    <row r="146" spans="2:26" x14ac:dyDescent="0.2">
      <c r="B146" s="27" t="s">
        <v>232</v>
      </c>
      <c r="C146" s="27">
        <v>64</v>
      </c>
      <c r="D146" s="27" t="s">
        <v>127</v>
      </c>
      <c r="E146" s="27" t="s">
        <v>107</v>
      </c>
      <c r="F146" s="27" t="s">
        <v>279</v>
      </c>
      <c r="G146" s="27" t="s">
        <v>63</v>
      </c>
      <c r="H146" s="27">
        <v>60</v>
      </c>
      <c r="I146" s="27">
        <v>11</v>
      </c>
      <c r="J146" s="37">
        <v>-2.43E-4</v>
      </c>
      <c r="K146" s="27">
        <v>3</v>
      </c>
      <c r="L146" s="38">
        <v>-2.1599999999999999E-4</v>
      </c>
      <c r="M146" s="27" t="s">
        <v>65</v>
      </c>
      <c r="O146" s="27" t="s">
        <v>232</v>
      </c>
      <c r="P146" s="27">
        <v>64</v>
      </c>
      <c r="Q146" s="27" t="s">
        <v>127</v>
      </c>
      <c r="R146" s="27" t="s">
        <v>380</v>
      </c>
      <c r="S146" s="27" t="s">
        <v>279</v>
      </c>
      <c r="T146" s="27" t="s">
        <v>63</v>
      </c>
      <c r="U146" s="27">
        <v>10</v>
      </c>
      <c r="V146" s="27">
        <v>11</v>
      </c>
      <c r="W146" s="37">
        <v>-2.43E-4</v>
      </c>
      <c r="X146" s="27">
        <v>3</v>
      </c>
      <c r="Y146" s="38">
        <v>-2.1599999999999999E-4</v>
      </c>
      <c r="Z146" s="27" t="s">
        <v>65</v>
      </c>
    </row>
    <row r="147" spans="2:26" x14ac:dyDescent="0.2">
      <c r="B147" s="27" t="s">
        <v>232</v>
      </c>
      <c r="C147" s="27">
        <v>64</v>
      </c>
      <c r="D147" s="27" t="s">
        <v>127</v>
      </c>
      <c r="E147" s="27" t="s">
        <v>107</v>
      </c>
      <c r="F147" s="27" t="s">
        <v>280</v>
      </c>
      <c r="G147" s="27" t="s">
        <v>64</v>
      </c>
      <c r="H147" s="27">
        <v>60</v>
      </c>
      <c r="I147" s="27">
        <v>14</v>
      </c>
      <c r="J147" s="37">
        <v>-1.85E-4</v>
      </c>
      <c r="K147" s="27">
        <v>4</v>
      </c>
      <c r="L147" s="38">
        <v>-1.6799999999999999E-4</v>
      </c>
      <c r="M147" s="27" t="s">
        <v>65</v>
      </c>
      <c r="O147" s="27" t="s">
        <v>232</v>
      </c>
      <c r="P147" s="27">
        <v>64</v>
      </c>
      <c r="Q147" s="27" t="s">
        <v>127</v>
      </c>
      <c r="R147" s="27" t="s">
        <v>380</v>
      </c>
      <c r="S147" s="27" t="s">
        <v>280</v>
      </c>
      <c r="T147" s="27" t="s">
        <v>64</v>
      </c>
      <c r="U147" s="27">
        <v>10</v>
      </c>
      <c r="V147" s="27">
        <v>14</v>
      </c>
      <c r="W147" s="37">
        <v>-1.84E-4</v>
      </c>
      <c r="X147" s="27">
        <v>4</v>
      </c>
      <c r="Y147" s="38">
        <v>-1.6699999999999999E-4</v>
      </c>
      <c r="Z147" s="27" t="s">
        <v>65</v>
      </c>
    </row>
    <row r="148" spans="2:26" x14ac:dyDescent="0.2">
      <c r="B148" s="27" t="s">
        <v>281</v>
      </c>
      <c r="C148" s="27">
        <v>127</v>
      </c>
      <c r="D148" s="27" t="s">
        <v>127</v>
      </c>
      <c r="E148" s="27" t="s">
        <v>107</v>
      </c>
      <c r="F148" s="27" t="s">
        <v>282</v>
      </c>
      <c r="G148" s="27" t="s">
        <v>63</v>
      </c>
      <c r="H148" s="27">
        <v>60</v>
      </c>
      <c r="I148" s="27">
        <v>14</v>
      </c>
      <c r="J148" s="37">
        <v>-7.6599999999999997E-4</v>
      </c>
      <c r="K148" s="27">
        <v>4</v>
      </c>
      <c r="L148" s="38">
        <v>-6.5200000000000002E-4</v>
      </c>
      <c r="M148" s="27" t="s">
        <v>65</v>
      </c>
      <c r="O148" s="27" t="s">
        <v>281</v>
      </c>
      <c r="P148" s="27">
        <v>127</v>
      </c>
      <c r="Q148" s="27" t="s">
        <v>127</v>
      </c>
      <c r="R148" s="27" t="s">
        <v>380</v>
      </c>
      <c r="S148" s="27" t="s">
        <v>282</v>
      </c>
      <c r="T148" s="27" t="s">
        <v>63</v>
      </c>
      <c r="U148" s="27">
        <v>10</v>
      </c>
      <c r="V148" s="27">
        <v>14</v>
      </c>
      <c r="W148" s="37">
        <v>-7.67E-4</v>
      </c>
      <c r="X148" s="27">
        <v>4</v>
      </c>
      <c r="Y148" s="38">
        <v>-6.5300000000000004E-4</v>
      </c>
      <c r="Z148" s="27" t="s">
        <v>65</v>
      </c>
    </row>
    <row r="149" spans="2:26" x14ac:dyDescent="0.2">
      <c r="B149" s="27" t="s">
        <v>281</v>
      </c>
      <c r="C149" s="27">
        <v>127</v>
      </c>
      <c r="D149" s="27" t="s">
        <v>127</v>
      </c>
      <c r="E149" s="27" t="s">
        <v>107</v>
      </c>
      <c r="F149" s="27" t="s">
        <v>283</v>
      </c>
      <c r="G149" s="27" t="s">
        <v>64</v>
      </c>
      <c r="H149" s="27">
        <v>60</v>
      </c>
      <c r="I149" s="27">
        <v>11</v>
      </c>
      <c r="J149" s="37">
        <v>-4.2999999999999999E-4</v>
      </c>
      <c r="K149" s="27">
        <v>3</v>
      </c>
      <c r="L149" s="38">
        <v>-3.8200000000000002E-4</v>
      </c>
      <c r="M149" s="27" t="s">
        <v>65</v>
      </c>
      <c r="O149" s="27" t="s">
        <v>281</v>
      </c>
      <c r="P149" s="27">
        <v>127</v>
      </c>
      <c r="Q149" s="27" t="s">
        <v>127</v>
      </c>
      <c r="R149" s="27" t="s">
        <v>380</v>
      </c>
      <c r="S149" s="27" t="s">
        <v>283</v>
      </c>
      <c r="T149" s="27" t="s">
        <v>64</v>
      </c>
      <c r="U149" s="27">
        <v>10</v>
      </c>
      <c r="V149" s="27">
        <v>11</v>
      </c>
      <c r="W149" s="37">
        <v>-4.3100000000000001E-4</v>
      </c>
      <c r="X149" s="27">
        <v>3</v>
      </c>
      <c r="Y149" s="38">
        <v>-3.8299999999999999E-4</v>
      </c>
      <c r="Z149" s="27" t="s">
        <v>65</v>
      </c>
    </row>
    <row r="150" spans="2:26" x14ac:dyDescent="0.2">
      <c r="B150" s="27" t="s">
        <v>281</v>
      </c>
      <c r="C150" s="27">
        <v>139</v>
      </c>
      <c r="D150" s="27" t="s">
        <v>128</v>
      </c>
      <c r="E150" s="27" t="s">
        <v>107</v>
      </c>
      <c r="F150" s="27" t="s">
        <v>284</v>
      </c>
      <c r="G150" s="27" t="s">
        <v>63</v>
      </c>
      <c r="H150" s="27">
        <v>60</v>
      </c>
      <c r="I150" s="27">
        <v>15</v>
      </c>
      <c r="J150" s="37">
        <v>-3.9899999999999999E-4</v>
      </c>
      <c r="K150" s="27">
        <v>6</v>
      </c>
      <c r="L150" s="38">
        <v>-3.9899999999999999E-4</v>
      </c>
      <c r="M150" s="27" t="s">
        <v>65</v>
      </c>
      <c r="O150" s="27" t="s">
        <v>281</v>
      </c>
      <c r="P150" s="27">
        <v>139</v>
      </c>
      <c r="Q150" s="27" t="s">
        <v>128</v>
      </c>
      <c r="R150" s="27" t="s">
        <v>380</v>
      </c>
      <c r="S150" s="27" t="s">
        <v>284</v>
      </c>
      <c r="T150" s="27" t="s">
        <v>63</v>
      </c>
      <c r="U150" s="27">
        <v>10</v>
      </c>
      <c r="V150" s="27">
        <v>15</v>
      </c>
      <c r="W150" s="37">
        <v>-3.9899999999999999E-4</v>
      </c>
      <c r="X150" s="27">
        <v>6</v>
      </c>
      <c r="Y150" s="38">
        <v>-3.9899999999999999E-4</v>
      </c>
      <c r="Z150" s="27" t="s">
        <v>65</v>
      </c>
    </row>
    <row r="151" spans="2:26" x14ac:dyDescent="0.2">
      <c r="B151" s="27" t="s">
        <v>281</v>
      </c>
      <c r="C151" s="27">
        <v>139</v>
      </c>
      <c r="D151" s="27" t="s">
        <v>128</v>
      </c>
      <c r="E151" s="27" t="s">
        <v>107</v>
      </c>
      <c r="F151" s="27" t="s">
        <v>285</v>
      </c>
      <c r="G151" s="27" t="s">
        <v>64</v>
      </c>
      <c r="H151" s="27">
        <v>60</v>
      </c>
      <c r="I151" s="27">
        <v>22</v>
      </c>
      <c r="J151" s="37">
        <v>-1.5200000000000001E-4</v>
      </c>
      <c r="K151" s="27">
        <v>1</v>
      </c>
      <c r="L151" s="38">
        <v>-1.5200000000000001E-4</v>
      </c>
      <c r="M151" s="27" t="s">
        <v>65</v>
      </c>
      <c r="O151" s="27" t="s">
        <v>281</v>
      </c>
      <c r="P151" s="27">
        <v>139</v>
      </c>
      <c r="Q151" s="27" t="s">
        <v>128</v>
      </c>
      <c r="R151" s="27" t="s">
        <v>380</v>
      </c>
      <c r="S151" s="27" t="s">
        <v>285</v>
      </c>
      <c r="T151" s="27" t="s">
        <v>64</v>
      </c>
      <c r="U151" s="27">
        <v>10</v>
      </c>
      <c r="V151" s="27">
        <v>22</v>
      </c>
      <c r="W151" s="37">
        <v>-1.5200000000000001E-4</v>
      </c>
      <c r="X151" s="27">
        <v>1</v>
      </c>
      <c r="Y151" s="38">
        <v>-1.5200000000000001E-4</v>
      </c>
      <c r="Z151" s="27" t="s">
        <v>65</v>
      </c>
    </row>
    <row r="152" spans="2:26" x14ac:dyDescent="0.2">
      <c r="B152" s="27" t="s">
        <v>281</v>
      </c>
      <c r="C152" s="27">
        <v>135</v>
      </c>
      <c r="D152" s="27" t="s">
        <v>129</v>
      </c>
      <c r="E152" s="27" t="s">
        <v>107</v>
      </c>
      <c r="F152" s="27" t="s">
        <v>286</v>
      </c>
      <c r="G152" s="27" t="s">
        <v>63</v>
      </c>
      <c r="H152" s="27">
        <v>60</v>
      </c>
      <c r="I152" s="27">
        <v>20</v>
      </c>
      <c r="J152" s="37">
        <v>-4.08E-4</v>
      </c>
      <c r="K152" s="27">
        <v>7</v>
      </c>
      <c r="L152" s="38">
        <v>-3.5199999999999999E-4</v>
      </c>
      <c r="M152" s="27" t="s">
        <v>65</v>
      </c>
      <c r="O152" s="27" t="s">
        <v>281</v>
      </c>
      <c r="P152" s="27">
        <v>135</v>
      </c>
      <c r="Q152" s="27" t="s">
        <v>129</v>
      </c>
      <c r="R152" s="27" t="s">
        <v>380</v>
      </c>
      <c r="S152" s="27" t="s">
        <v>286</v>
      </c>
      <c r="T152" s="27" t="s">
        <v>63</v>
      </c>
      <c r="U152" s="27">
        <v>10</v>
      </c>
      <c r="V152" s="27">
        <v>20</v>
      </c>
      <c r="W152" s="37">
        <v>-4.08E-4</v>
      </c>
      <c r="X152" s="27">
        <v>7</v>
      </c>
      <c r="Y152" s="38">
        <v>-3.5199999999999999E-4</v>
      </c>
      <c r="Z152" s="27" t="s">
        <v>65</v>
      </c>
    </row>
    <row r="153" spans="2:26" x14ac:dyDescent="0.2">
      <c r="B153" s="27" t="s">
        <v>281</v>
      </c>
      <c r="C153" s="27">
        <v>135</v>
      </c>
      <c r="D153" s="27" t="s">
        <v>129</v>
      </c>
      <c r="E153" s="27" t="s">
        <v>107</v>
      </c>
      <c r="F153" s="27" t="s">
        <v>287</v>
      </c>
      <c r="G153" s="27" t="s">
        <v>64</v>
      </c>
      <c r="H153" s="27">
        <v>60</v>
      </c>
      <c r="I153" s="27">
        <v>17</v>
      </c>
      <c r="J153" s="37">
        <v>-2.3800000000000001E-4</v>
      </c>
      <c r="K153" s="27">
        <v>5</v>
      </c>
      <c r="L153" s="38">
        <v>-2.1499999999999999E-4</v>
      </c>
      <c r="M153" s="27" t="s">
        <v>65</v>
      </c>
      <c r="O153" s="27" t="s">
        <v>281</v>
      </c>
      <c r="P153" s="27">
        <v>135</v>
      </c>
      <c r="Q153" s="27" t="s">
        <v>129</v>
      </c>
      <c r="R153" s="27" t="s">
        <v>380</v>
      </c>
      <c r="S153" s="27" t="s">
        <v>287</v>
      </c>
      <c r="T153" s="27" t="s">
        <v>64</v>
      </c>
      <c r="U153" s="27">
        <v>10</v>
      </c>
      <c r="V153" s="27">
        <v>17</v>
      </c>
      <c r="W153" s="37">
        <v>-2.3800000000000001E-4</v>
      </c>
      <c r="X153" s="27">
        <v>4</v>
      </c>
      <c r="Y153" s="38">
        <v>-2.1499999999999999E-4</v>
      </c>
      <c r="Z153" s="27" t="s">
        <v>65</v>
      </c>
    </row>
    <row r="154" spans="2:26" x14ac:dyDescent="0.2">
      <c r="B154" s="27" t="s">
        <v>281</v>
      </c>
      <c r="C154" s="27">
        <v>136</v>
      </c>
      <c r="D154" s="27" t="s">
        <v>129</v>
      </c>
      <c r="E154" s="27" t="s">
        <v>107</v>
      </c>
      <c r="F154" s="27" t="s">
        <v>288</v>
      </c>
      <c r="G154" s="27" t="s">
        <v>63</v>
      </c>
      <c r="H154" s="27">
        <v>60</v>
      </c>
      <c r="I154" s="27">
        <v>15</v>
      </c>
      <c r="J154" s="37">
        <v>-4.08E-4</v>
      </c>
      <c r="K154" s="27">
        <v>12</v>
      </c>
      <c r="L154" s="38">
        <v>-3.5300000000000002E-4</v>
      </c>
      <c r="M154" s="27" t="s">
        <v>65</v>
      </c>
      <c r="O154" s="27" t="s">
        <v>281</v>
      </c>
      <c r="P154" s="27">
        <v>136</v>
      </c>
      <c r="Q154" s="27" t="s">
        <v>129</v>
      </c>
      <c r="R154" s="27" t="s">
        <v>380</v>
      </c>
      <c r="S154" s="27" t="s">
        <v>288</v>
      </c>
      <c r="T154" s="27" t="s">
        <v>63</v>
      </c>
      <c r="U154" s="27">
        <v>10</v>
      </c>
      <c r="V154" s="27">
        <v>15</v>
      </c>
      <c r="W154" s="37">
        <v>-4.0700000000000003E-4</v>
      </c>
      <c r="X154" s="27">
        <v>11</v>
      </c>
      <c r="Y154" s="38">
        <v>-3.5199999999999999E-4</v>
      </c>
      <c r="Z154" s="27" t="s">
        <v>65</v>
      </c>
    </row>
    <row r="155" spans="2:26" x14ac:dyDescent="0.2">
      <c r="B155" s="27" t="s">
        <v>281</v>
      </c>
      <c r="C155" s="27">
        <v>136</v>
      </c>
      <c r="D155" s="27" t="s">
        <v>129</v>
      </c>
      <c r="E155" s="27" t="s">
        <v>107</v>
      </c>
      <c r="F155" s="27" t="s">
        <v>289</v>
      </c>
      <c r="G155" s="27" t="s">
        <v>64</v>
      </c>
      <c r="H155" s="27">
        <v>60</v>
      </c>
      <c r="I155" s="27">
        <v>17</v>
      </c>
      <c r="J155" s="37">
        <v>-2.3800000000000001E-4</v>
      </c>
      <c r="K155" s="27">
        <v>1</v>
      </c>
      <c r="L155" s="38">
        <v>-2.1499999999999999E-4</v>
      </c>
      <c r="M155" s="27" t="s">
        <v>65</v>
      </c>
      <c r="O155" s="27" t="s">
        <v>281</v>
      </c>
      <c r="P155" s="27">
        <v>136</v>
      </c>
      <c r="Q155" s="27" t="s">
        <v>129</v>
      </c>
      <c r="R155" s="27" t="s">
        <v>380</v>
      </c>
      <c r="S155" s="27" t="s">
        <v>289</v>
      </c>
      <c r="T155" s="27" t="s">
        <v>64</v>
      </c>
      <c r="U155" s="27">
        <v>10</v>
      </c>
      <c r="V155" s="27">
        <v>17</v>
      </c>
      <c r="W155" s="37">
        <v>-2.3800000000000001E-4</v>
      </c>
      <c r="X155" s="27">
        <v>1</v>
      </c>
      <c r="Y155" s="38">
        <v>-2.1499999999999999E-4</v>
      </c>
      <c r="Z155" s="27" t="s">
        <v>65</v>
      </c>
    </row>
    <row r="156" spans="2:26" x14ac:dyDescent="0.2">
      <c r="B156" s="27" t="s">
        <v>281</v>
      </c>
      <c r="C156" s="27">
        <v>140</v>
      </c>
      <c r="D156" s="27" t="s">
        <v>128</v>
      </c>
      <c r="E156" s="27" t="s">
        <v>107</v>
      </c>
      <c r="F156" s="27" t="s">
        <v>290</v>
      </c>
      <c r="G156" s="27" t="s">
        <v>63</v>
      </c>
      <c r="H156" s="27">
        <v>60</v>
      </c>
      <c r="I156" s="27">
        <v>20</v>
      </c>
      <c r="J156" s="37">
        <v>-3.9800000000000002E-4</v>
      </c>
      <c r="K156" s="27">
        <v>4</v>
      </c>
      <c r="L156" s="38">
        <v>-3.9800000000000002E-4</v>
      </c>
      <c r="M156" s="27" t="s">
        <v>65</v>
      </c>
      <c r="O156" s="27" t="s">
        <v>281</v>
      </c>
      <c r="P156" s="27">
        <v>140</v>
      </c>
      <c r="Q156" s="27" t="s">
        <v>128</v>
      </c>
      <c r="R156" s="27" t="s">
        <v>380</v>
      </c>
      <c r="S156" s="27" t="s">
        <v>290</v>
      </c>
      <c r="T156" s="27" t="s">
        <v>63</v>
      </c>
      <c r="U156" s="27">
        <v>10</v>
      </c>
      <c r="V156" s="27">
        <v>20</v>
      </c>
      <c r="W156" s="37">
        <v>-3.9800000000000002E-4</v>
      </c>
      <c r="X156" s="27">
        <v>4</v>
      </c>
      <c r="Y156" s="38">
        <v>-3.9800000000000002E-4</v>
      </c>
      <c r="Z156" s="27" t="s">
        <v>65</v>
      </c>
    </row>
    <row r="157" spans="2:26" x14ac:dyDescent="0.2">
      <c r="B157" s="27" t="s">
        <v>281</v>
      </c>
      <c r="C157" s="27">
        <v>140</v>
      </c>
      <c r="D157" s="27" t="s">
        <v>128</v>
      </c>
      <c r="E157" s="27" t="s">
        <v>107</v>
      </c>
      <c r="F157" s="27" t="s">
        <v>291</v>
      </c>
      <c r="G157" s="27" t="s">
        <v>64</v>
      </c>
      <c r="H157" s="27">
        <v>60</v>
      </c>
      <c r="I157" s="27">
        <v>17</v>
      </c>
      <c r="J157" s="37">
        <v>-1.5200000000000001E-4</v>
      </c>
      <c r="K157" s="27">
        <v>3</v>
      </c>
      <c r="L157" s="38">
        <v>-1.5200000000000001E-4</v>
      </c>
      <c r="M157" s="27" t="s">
        <v>65</v>
      </c>
      <c r="O157" s="27" t="s">
        <v>281</v>
      </c>
      <c r="P157" s="27">
        <v>140</v>
      </c>
      <c r="Q157" s="27" t="s">
        <v>128</v>
      </c>
      <c r="R157" s="27" t="s">
        <v>380</v>
      </c>
      <c r="S157" s="27" t="s">
        <v>291</v>
      </c>
      <c r="T157" s="27" t="s">
        <v>64</v>
      </c>
      <c r="U157" s="27">
        <v>10</v>
      </c>
      <c r="V157" s="27">
        <v>17</v>
      </c>
      <c r="W157" s="37">
        <v>-1.5300000000000001E-4</v>
      </c>
      <c r="X157" s="27">
        <v>3</v>
      </c>
      <c r="Y157" s="38">
        <v>-1.5200000000000001E-4</v>
      </c>
      <c r="Z157" s="27" t="s">
        <v>65</v>
      </c>
    </row>
    <row r="158" spans="2:26" x14ac:dyDescent="0.2">
      <c r="B158" s="27" t="s">
        <v>281</v>
      </c>
      <c r="C158" s="27">
        <v>128</v>
      </c>
      <c r="D158" s="27" t="s">
        <v>127</v>
      </c>
      <c r="E158" s="27" t="s">
        <v>107</v>
      </c>
      <c r="F158" s="27" t="s">
        <v>292</v>
      </c>
      <c r="G158" s="27" t="s">
        <v>63</v>
      </c>
      <c r="H158" s="27">
        <v>60</v>
      </c>
      <c r="I158" s="27">
        <v>9</v>
      </c>
      <c r="J158" s="37">
        <v>-7.6599999999999997E-4</v>
      </c>
      <c r="K158" s="27">
        <v>6</v>
      </c>
      <c r="L158" s="38">
        <v>-6.5200000000000002E-4</v>
      </c>
      <c r="M158" s="27" t="s">
        <v>65</v>
      </c>
      <c r="O158" s="27" t="s">
        <v>281</v>
      </c>
      <c r="P158" s="27">
        <v>128</v>
      </c>
      <c r="Q158" s="27" t="s">
        <v>127</v>
      </c>
      <c r="R158" s="27" t="s">
        <v>380</v>
      </c>
      <c r="S158" s="27" t="s">
        <v>292</v>
      </c>
      <c r="T158" s="27" t="s">
        <v>63</v>
      </c>
      <c r="U158" s="27">
        <v>10</v>
      </c>
      <c r="V158" s="27">
        <v>9</v>
      </c>
      <c r="W158" s="37">
        <v>-7.6400000000000003E-4</v>
      </c>
      <c r="X158" s="27">
        <v>6</v>
      </c>
      <c r="Y158" s="38">
        <v>-6.5099999999999999E-4</v>
      </c>
      <c r="Z158" s="27" t="s">
        <v>65</v>
      </c>
    </row>
    <row r="159" spans="2:26" x14ac:dyDescent="0.2">
      <c r="B159" s="27" t="s">
        <v>281</v>
      </c>
      <c r="C159" s="27">
        <v>128</v>
      </c>
      <c r="D159" s="27" t="s">
        <v>127</v>
      </c>
      <c r="E159" s="27" t="s">
        <v>107</v>
      </c>
      <c r="F159" s="27" t="s">
        <v>293</v>
      </c>
      <c r="G159" s="27" t="s">
        <v>64</v>
      </c>
      <c r="H159" s="27">
        <v>60</v>
      </c>
      <c r="I159" s="27">
        <v>16</v>
      </c>
      <c r="J159" s="37">
        <v>-4.3100000000000001E-4</v>
      </c>
      <c r="K159" s="27">
        <v>1</v>
      </c>
      <c r="L159" s="38">
        <v>-3.8299999999999999E-4</v>
      </c>
      <c r="M159" s="27" t="s">
        <v>65</v>
      </c>
      <c r="O159" s="27" t="s">
        <v>281</v>
      </c>
      <c r="P159" s="27">
        <v>128</v>
      </c>
      <c r="Q159" s="27" t="s">
        <v>127</v>
      </c>
      <c r="R159" s="27" t="s">
        <v>380</v>
      </c>
      <c r="S159" s="27" t="s">
        <v>293</v>
      </c>
      <c r="T159" s="27" t="s">
        <v>64</v>
      </c>
      <c r="U159" s="27">
        <v>10</v>
      </c>
      <c r="V159" s="27">
        <v>16</v>
      </c>
      <c r="W159" s="37">
        <v>-4.2999999999999999E-4</v>
      </c>
      <c r="X159" s="27">
        <v>1</v>
      </c>
      <c r="Y159" s="38">
        <v>-3.8299999999999999E-4</v>
      </c>
      <c r="Z159" s="27" t="s">
        <v>65</v>
      </c>
    </row>
    <row r="160" spans="2:26" x14ac:dyDescent="0.2">
      <c r="B160" s="27" t="s">
        <v>281</v>
      </c>
      <c r="C160" s="27">
        <v>144</v>
      </c>
      <c r="D160" s="27" t="s">
        <v>128</v>
      </c>
      <c r="E160" s="27" t="s">
        <v>107</v>
      </c>
      <c r="F160" s="27" t="s">
        <v>294</v>
      </c>
      <c r="G160" s="27" t="s">
        <v>63</v>
      </c>
      <c r="H160" s="27">
        <v>60</v>
      </c>
      <c r="I160" s="27">
        <v>20</v>
      </c>
      <c r="J160" s="37">
        <v>-4.0900000000000002E-4</v>
      </c>
      <c r="K160" s="27">
        <v>4</v>
      </c>
      <c r="L160" s="38">
        <v>-3.9199999999999999E-4</v>
      </c>
      <c r="M160" s="27" t="s">
        <v>65</v>
      </c>
      <c r="O160" s="27" t="s">
        <v>281</v>
      </c>
      <c r="P160" s="27">
        <v>144</v>
      </c>
      <c r="Q160" s="27" t="s">
        <v>128</v>
      </c>
      <c r="R160" s="27" t="s">
        <v>380</v>
      </c>
      <c r="S160" s="27" t="s">
        <v>294</v>
      </c>
      <c r="T160" s="27" t="s">
        <v>63</v>
      </c>
      <c r="U160" s="27">
        <v>10</v>
      </c>
      <c r="V160" s="27">
        <v>20</v>
      </c>
      <c r="W160" s="37">
        <v>-4.0999999999999999E-4</v>
      </c>
      <c r="X160" s="27">
        <v>4</v>
      </c>
      <c r="Y160" s="38">
        <v>-3.9300000000000001E-4</v>
      </c>
      <c r="Z160" s="27" t="s">
        <v>65</v>
      </c>
    </row>
    <row r="161" spans="2:26" x14ac:dyDescent="0.2">
      <c r="B161" s="27" t="s">
        <v>281</v>
      </c>
      <c r="C161" s="27">
        <v>144</v>
      </c>
      <c r="D161" s="27" t="s">
        <v>128</v>
      </c>
      <c r="E161" s="27" t="s">
        <v>107</v>
      </c>
      <c r="F161" s="27" t="s">
        <v>295</v>
      </c>
      <c r="G161" s="27" t="s">
        <v>64</v>
      </c>
      <c r="H161" s="27">
        <v>60</v>
      </c>
      <c r="I161" s="27">
        <v>15</v>
      </c>
      <c r="J161" s="37">
        <v>-1.66E-4</v>
      </c>
      <c r="K161" s="27">
        <v>6</v>
      </c>
      <c r="L161" s="38">
        <v>-1.56E-4</v>
      </c>
      <c r="M161" s="27" t="s">
        <v>65</v>
      </c>
      <c r="O161" s="27" t="s">
        <v>281</v>
      </c>
      <c r="P161" s="27">
        <v>144</v>
      </c>
      <c r="Q161" s="27" t="s">
        <v>128</v>
      </c>
      <c r="R161" s="27" t="s">
        <v>380</v>
      </c>
      <c r="S161" s="27" t="s">
        <v>295</v>
      </c>
      <c r="T161" s="27" t="s">
        <v>64</v>
      </c>
      <c r="U161" s="27">
        <v>10</v>
      </c>
      <c r="V161" s="27">
        <v>15</v>
      </c>
      <c r="W161" s="37">
        <v>-1.66E-4</v>
      </c>
      <c r="X161" s="27">
        <v>6</v>
      </c>
      <c r="Y161" s="38">
        <v>-1.56E-4</v>
      </c>
      <c r="Z161" s="27" t="s">
        <v>65</v>
      </c>
    </row>
    <row r="162" spans="2:26" x14ac:dyDescent="0.2">
      <c r="B162" s="27" t="s">
        <v>281</v>
      </c>
      <c r="C162" s="27">
        <v>129</v>
      </c>
      <c r="D162" s="27" t="s">
        <v>129</v>
      </c>
      <c r="E162" s="27" t="s">
        <v>107</v>
      </c>
      <c r="F162" s="27" t="s">
        <v>296</v>
      </c>
      <c r="G162" s="27" t="s">
        <v>63</v>
      </c>
      <c r="H162" s="27">
        <v>60</v>
      </c>
      <c r="I162" s="27">
        <v>15</v>
      </c>
      <c r="J162" s="37">
        <v>-3.7199999999999999E-4</v>
      </c>
      <c r="K162" s="27">
        <v>12</v>
      </c>
      <c r="L162" s="38">
        <v>-3.3500000000000001E-4</v>
      </c>
      <c r="M162" s="27" t="s">
        <v>65</v>
      </c>
      <c r="O162" s="27" t="s">
        <v>281</v>
      </c>
      <c r="P162" s="27">
        <v>129</v>
      </c>
      <c r="Q162" s="27" t="s">
        <v>129</v>
      </c>
      <c r="R162" s="27" t="s">
        <v>380</v>
      </c>
      <c r="S162" s="27" t="s">
        <v>296</v>
      </c>
      <c r="T162" s="27" t="s">
        <v>63</v>
      </c>
      <c r="U162" s="27">
        <v>10</v>
      </c>
      <c r="V162" s="27">
        <v>15</v>
      </c>
      <c r="W162" s="37">
        <v>-3.7199999999999999E-4</v>
      </c>
      <c r="X162" s="27">
        <v>11</v>
      </c>
      <c r="Y162" s="38">
        <v>-3.3399999999999999E-4</v>
      </c>
      <c r="Z162" s="27" t="s">
        <v>65</v>
      </c>
    </row>
    <row r="163" spans="2:26" x14ac:dyDescent="0.2">
      <c r="B163" s="27" t="s">
        <v>281</v>
      </c>
      <c r="C163" s="27">
        <v>129</v>
      </c>
      <c r="D163" s="27" t="s">
        <v>129</v>
      </c>
      <c r="E163" s="27" t="s">
        <v>107</v>
      </c>
      <c r="F163" s="27" t="s">
        <v>297</v>
      </c>
      <c r="G163" s="27" t="s">
        <v>64</v>
      </c>
      <c r="H163" s="27">
        <v>60</v>
      </c>
      <c r="I163" s="27">
        <v>22</v>
      </c>
      <c r="J163" s="37">
        <v>-2.52E-4</v>
      </c>
      <c r="K163" s="27">
        <v>1</v>
      </c>
      <c r="L163" s="38">
        <v>-2.3599999999999999E-4</v>
      </c>
      <c r="M163" s="27" t="s">
        <v>65</v>
      </c>
      <c r="O163" s="27" t="s">
        <v>281</v>
      </c>
      <c r="P163" s="27">
        <v>129</v>
      </c>
      <c r="Q163" s="27" t="s">
        <v>129</v>
      </c>
      <c r="R163" s="27" t="s">
        <v>380</v>
      </c>
      <c r="S163" s="27" t="s">
        <v>297</v>
      </c>
      <c r="T163" s="27" t="s">
        <v>64</v>
      </c>
      <c r="U163" s="27">
        <v>10</v>
      </c>
      <c r="V163" s="27">
        <v>19</v>
      </c>
      <c r="W163" s="37">
        <v>-2.52E-4</v>
      </c>
      <c r="X163" s="27">
        <v>1</v>
      </c>
      <c r="Y163" s="38">
        <v>-2.3599999999999999E-4</v>
      </c>
      <c r="Z163" s="27" t="s">
        <v>65</v>
      </c>
    </row>
    <row r="164" spans="2:26" x14ac:dyDescent="0.2">
      <c r="B164" s="27" t="s">
        <v>281</v>
      </c>
      <c r="C164" s="27">
        <v>147</v>
      </c>
      <c r="D164" s="27" t="s">
        <v>128</v>
      </c>
      <c r="E164" s="27" t="s">
        <v>107</v>
      </c>
      <c r="F164" s="27" t="s">
        <v>298</v>
      </c>
      <c r="G164" s="27" t="s">
        <v>63</v>
      </c>
      <c r="H164" s="27">
        <v>60</v>
      </c>
      <c r="I164" s="27">
        <v>20</v>
      </c>
      <c r="J164" s="37">
        <v>-3.8999999999999999E-4</v>
      </c>
      <c r="K164" s="27">
        <v>4</v>
      </c>
      <c r="L164" s="38">
        <v>-3.8999999999999999E-4</v>
      </c>
      <c r="M164" s="27" t="s">
        <v>65</v>
      </c>
      <c r="O164" s="27" t="s">
        <v>281</v>
      </c>
      <c r="P164" s="27">
        <v>147</v>
      </c>
      <c r="Q164" s="27" t="s">
        <v>128</v>
      </c>
      <c r="R164" s="27" t="s">
        <v>380</v>
      </c>
      <c r="S164" s="27" t="s">
        <v>298</v>
      </c>
      <c r="T164" s="27" t="s">
        <v>63</v>
      </c>
      <c r="U164" s="27">
        <v>10</v>
      </c>
      <c r="V164" s="27">
        <v>20</v>
      </c>
      <c r="W164" s="37">
        <v>-3.8999999999999999E-4</v>
      </c>
      <c r="X164" s="27">
        <v>4</v>
      </c>
      <c r="Y164" s="38">
        <v>-3.8999999999999999E-4</v>
      </c>
      <c r="Z164" s="27" t="s">
        <v>65</v>
      </c>
    </row>
    <row r="165" spans="2:26" x14ac:dyDescent="0.2">
      <c r="B165" s="27" t="s">
        <v>281</v>
      </c>
      <c r="C165" s="27">
        <v>147</v>
      </c>
      <c r="D165" s="27" t="s">
        <v>128</v>
      </c>
      <c r="E165" s="27" t="s">
        <v>107</v>
      </c>
      <c r="F165" s="27" t="s">
        <v>299</v>
      </c>
      <c r="G165" s="27" t="s">
        <v>64</v>
      </c>
      <c r="H165" s="27">
        <v>60</v>
      </c>
      <c r="I165" s="27">
        <v>17</v>
      </c>
      <c r="J165" s="37">
        <v>-1.8200000000000001E-4</v>
      </c>
      <c r="K165" s="27">
        <v>3</v>
      </c>
      <c r="L165" s="38">
        <v>-1.8200000000000001E-4</v>
      </c>
      <c r="M165" s="27" t="s">
        <v>65</v>
      </c>
      <c r="O165" s="27" t="s">
        <v>281</v>
      </c>
      <c r="P165" s="27">
        <v>147</v>
      </c>
      <c r="Q165" s="27" t="s">
        <v>128</v>
      </c>
      <c r="R165" s="27" t="s">
        <v>380</v>
      </c>
      <c r="S165" s="27" t="s">
        <v>299</v>
      </c>
      <c r="T165" s="27" t="s">
        <v>64</v>
      </c>
      <c r="U165" s="27">
        <v>10</v>
      </c>
      <c r="V165" s="27">
        <v>17</v>
      </c>
      <c r="W165" s="37">
        <v>-1.83E-4</v>
      </c>
      <c r="X165" s="27">
        <v>3</v>
      </c>
      <c r="Y165" s="38">
        <v>-1.83E-4</v>
      </c>
      <c r="Z165" s="27" t="s">
        <v>65</v>
      </c>
    </row>
    <row r="166" spans="2:26" x14ac:dyDescent="0.2">
      <c r="B166" s="27" t="s">
        <v>281</v>
      </c>
      <c r="C166" s="27">
        <v>148</v>
      </c>
      <c r="D166" s="27" t="s">
        <v>128</v>
      </c>
      <c r="E166" s="27" t="s">
        <v>107</v>
      </c>
      <c r="F166" s="27" t="s">
        <v>300</v>
      </c>
      <c r="G166" s="27" t="s">
        <v>63</v>
      </c>
      <c r="H166" s="27">
        <v>60</v>
      </c>
      <c r="I166" s="27">
        <v>15</v>
      </c>
      <c r="J166" s="37">
        <v>-3.8999999999999999E-4</v>
      </c>
      <c r="K166" s="27">
        <v>6</v>
      </c>
      <c r="L166" s="38">
        <v>-3.8999999999999999E-4</v>
      </c>
      <c r="M166" s="27" t="s">
        <v>65</v>
      </c>
      <c r="O166" s="27" t="s">
        <v>281</v>
      </c>
      <c r="P166" s="27">
        <v>148</v>
      </c>
      <c r="Q166" s="27" t="s">
        <v>128</v>
      </c>
      <c r="R166" s="27" t="s">
        <v>380</v>
      </c>
      <c r="S166" s="27" t="s">
        <v>300</v>
      </c>
      <c r="T166" s="27" t="s">
        <v>63</v>
      </c>
      <c r="U166" s="27">
        <v>10</v>
      </c>
      <c r="V166" s="27">
        <v>15</v>
      </c>
      <c r="W166" s="37">
        <v>-3.8900000000000002E-4</v>
      </c>
      <c r="X166" s="27">
        <v>6</v>
      </c>
      <c r="Y166" s="38">
        <v>-3.8900000000000002E-4</v>
      </c>
      <c r="Z166" s="27" t="s">
        <v>65</v>
      </c>
    </row>
    <row r="167" spans="2:26" x14ac:dyDescent="0.2">
      <c r="B167" s="27" t="s">
        <v>281</v>
      </c>
      <c r="C167" s="27">
        <v>148</v>
      </c>
      <c r="D167" s="27" t="s">
        <v>128</v>
      </c>
      <c r="E167" s="27" t="s">
        <v>107</v>
      </c>
      <c r="F167" s="27" t="s">
        <v>301</v>
      </c>
      <c r="G167" s="27" t="s">
        <v>64</v>
      </c>
      <c r="H167" s="27">
        <v>60</v>
      </c>
      <c r="I167" s="27">
        <v>22</v>
      </c>
      <c r="J167" s="37">
        <v>-1.8200000000000001E-4</v>
      </c>
      <c r="K167" s="27">
        <v>1</v>
      </c>
      <c r="L167" s="38">
        <v>-1.8200000000000001E-4</v>
      </c>
      <c r="M167" s="27" t="s">
        <v>65</v>
      </c>
      <c r="O167" s="27" t="s">
        <v>281</v>
      </c>
      <c r="P167" s="27">
        <v>148</v>
      </c>
      <c r="Q167" s="27" t="s">
        <v>128</v>
      </c>
      <c r="R167" s="27" t="s">
        <v>380</v>
      </c>
      <c r="S167" s="27" t="s">
        <v>301</v>
      </c>
      <c r="T167" s="27" t="s">
        <v>64</v>
      </c>
      <c r="U167" s="27">
        <v>10</v>
      </c>
      <c r="V167" s="27">
        <v>22</v>
      </c>
      <c r="W167" s="37">
        <v>-1.8200000000000001E-4</v>
      </c>
      <c r="X167" s="27">
        <v>1</v>
      </c>
      <c r="Y167" s="38">
        <v>-1.8200000000000001E-4</v>
      </c>
      <c r="Z167" s="27" t="s">
        <v>65</v>
      </c>
    </row>
    <row r="168" spans="2:26" x14ac:dyDescent="0.2">
      <c r="B168" s="27" t="s">
        <v>281</v>
      </c>
      <c r="C168" s="27">
        <v>131</v>
      </c>
      <c r="D168" s="27" t="s">
        <v>129</v>
      </c>
      <c r="E168" s="27" t="s">
        <v>107</v>
      </c>
      <c r="F168" s="27" t="s">
        <v>302</v>
      </c>
      <c r="G168" s="27" t="s">
        <v>63</v>
      </c>
      <c r="H168" s="27">
        <v>60</v>
      </c>
      <c r="I168" s="27">
        <v>20</v>
      </c>
      <c r="J168" s="37">
        <v>-3.7199999999999999E-4</v>
      </c>
      <c r="K168" s="27">
        <v>7</v>
      </c>
      <c r="L168" s="38">
        <v>-3.3399999999999999E-4</v>
      </c>
      <c r="M168" s="27" t="s">
        <v>65</v>
      </c>
      <c r="O168" s="27" t="s">
        <v>281</v>
      </c>
      <c r="P168" s="27">
        <v>131</v>
      </c>
      <c r="Q168" s="27" t="s">
        <v>129</v>
      </c>
      <c r="R168" s="27" t="s">
        <v>380</v>
      </c>
      <c r="S168" s="27" t="s">
        <v>302</v>
      </c>
      <c r="T168" s="27" t="s">
        <v>63</v>
      </c>
      <c r="U168" s="27">
        <v>10</v>
      </c>
      <c r="V168" s="27">
        <v>20</v>
      </c>
      <c r="W168" s="37">
        <v>-3.7199999999999999E-4</v>
      </c>
      <c r="X168" s="27">
        <v>7</v>
      </c>
      <c r="Y168" s="38">
        <v>-3.3500000000000001E-4</v>
      </c>
      <c r="Z168" s="27" t="s">
        <v>65</v>
      </c>
    </row>
    <row r="169" spans="2:26" x14ac:dyDescent="0.2">
      <c r="B169" s="27" t="s">
        <v>281</v>
      </c>
      <c r="C169" s="27">
        <v>131</v>
      </c>
      <c r="D169" s="27" t="s">
        <v>129</v>
      </c>
      <c r="E169" s="27" t="s">
        <v>107</v>
      </c>
      <c r="F169" s="27" t="s">
        <v>303</v>
      </c>
      <c r="G169" s="27" t="s">
        <v>64</v>
      </c>
      <c r="H169" s="27">
        <v>60</v>
      </c>
      <c r="I169" s="27">
        <v>17</v>
      </c>
      <c r="J169" s="37">
        <v>-2.52E-4</v>
      </c>
      <c r="K169" s="27">
        <v>5</v>
      </c>
      <c r="L169" s="38">
        <v>-2.3599999999999999E-4</v>
      </c>
      <c r="M169" s="27" t="s">
        <v>65</v>
      </c>
      <c r="O169" s="27" t="s">
        <v>281</v>
      </c>
      <c r="P169" s="27">
        <v>131</v>
      </c>
      <c r="Q169" s="27" t="s">
        <v>129</v>
      </c>
      <c r="R169" s="27" t="s">
        <v>380</v>
      </c>
      <c r="S169" s="27" t="s">
        <v>303</v>
      </c>
      <c r="T169" s="27" t="s">
        <v>64</v>
      </c>
      <c r="U169" s="27">
        <v>10</v>
      </c>
      <c r="V169" s="27">
        <v>17</v>
      </c>
      <c r="W169" s="37">
        <v>-2.52E-4</v>
      </c>
      <c r="X169" s="27">
        <v>5</v>
      </c>
      <c r="Y169" s="38">
        <v>-2.3599999999999999E-4</v>
      </c>
      <c r="Z169" s="27" t="s">
        <v>65</v>
      </c>
    </row>
    <row r="170" spans="2:26" x14ac:dyDescent="0.2">
      <c r="B170" s="27" t="s">
        <v>281</v>
      </c>
      <c r="C170" s="27">
        <v>142</v>
      </c>
      <c r="D170" s="27" t="s">
        <v>128</v>
      </c>
      <c r="E170" s="27" t="s">
        <v>107</v>
      </c>
      <c r="F170" s="27" t="s">
        <v>304</v>
      </c>
      <c r="G170" s="27" t="s">
        <v>63</v>
      </c>
      <c r="H170" s="27">
        <v>60</v>
      </c>
      <c r="I170" s="27">
        <v>15</v>
      </c>
      <c r="J170" s="37">
        <v>-4.08E-4</v>
      </c>
      <c r="K170" s="27">
        <v>6</v>
      </c>
      <c r="L170" s="38">
        <v>-3.9199999999999999E-4</v>
      </c>
      <c r="M170" s="27" t="s">
        <v>65</v>
      </c>
      <c r="O170" s="27" t="s">
        <v>281</v>
      </c>
      <c r="P170" s="27">
        <v>142</v>
      </c>
      <c r="Q170" s="27" t="s">
        <v>128</v>
      </c>
      <c r="R170" s="27" t="s">
        <v>380</v>
      </c>
      <c r="S170" s="27" t="s">
        <v>304</v>
      </c>
      <c r="T170" s="27" t="s">
        <v>63</v>
      </c>
      <c r="U170" s="27">
        <v>10</v>
      </c>
      <c r="V170" s="27">
        <v>15</v>
      </c>
      <c r="W170" s="37">
        <v>-4.0700000000000003E-4</v>
      </c>
      <c r="X170" s="27">
        <v>6</v>
      </c>
      <c r="Y170" s="38">
        <v>-3.8999999999999999E-4</v>
      </c>
      <c r="Z170" s="27" t="s">
        <v>65</v>
      </c>
    </row>
    <row r="171" spans="2:26" x14ac:dyDescent="0.2">
      <c r="B171" s="27" t="s">
        <v>281</v>
      </c>
      <c r="C171" s="27">
        <v>142</v>
      </c>
      <c r="D171" s="27" t="s">
        <v>128</v>
      </c>
      <c r="E171" s="27" t="s">
        <v>107</v>
      </c>
      <c r="F171" s="27" t="s">
        <v>305</v>
      </c>
      <c r="G171" s="27" t="s">
        <v>64</v>
      </c>
      <c r="H171" s="27">
        <v>60</v>
      </c>
      <c r="I171" s="27">
        <v>20</v>
      </c>
      <c r="J171" s="37">
        <v>-1.66E-4</v>
      </c>
      <c r="K171" s="27">
        <v>4</v>
      </c>
      <c r="L171" s="38">
        <v>-1.56E-4</v>
      </c>
      <c r="M171" s="27" t="s">
        <v>65</v>
      </c>
      <c r="O171" s="27" t="s">
        <v>281</v>
      </c>
      <c r="P171" s="27">
        <v>142</v>
      </c>
      <c r="Q171" s="27" t="s">
        <v>128</v>
      </c>
      <c r="R171" s="27" t="s">
        <v>380</v>
      </c>
      <c r="S171" s="27" t="s">
        <v>305</v>
      </c>
      <c r="T171" s="27" t="s">
        <v>64</v>
      </c>
      <c r="U171" s="27">
        <v>10</v>
      </c>
      <c r="V171" s="27">
        <v>20</v>
      </c>
      <c r="W171" s="37">
        <v>-1.66E-4</v>
      </c>
      <c r="X171" s="27">
        <v>4</v>
      </c>
      <c r="Y171" s="38">
        <v>-1.56E-4</v>
      </c>
      <c r="Z171" s="27" t="s">
        <v>65</v>
      </c>
    </row>
    <row r="172" spans="2:26" x14ac:dyDescent="0.2">
      <c r="B172" s="27" t="s">
        <v>281</v>
      </c>
      <c r="C172" s="27">
        <v>143</v>
      </c>
      <c r="D172" s="27" t="s">
        <v>128</v>
      </c>
      <c r="E172" s="27" t="s">
        <v>107</v>
      </c>
      <c r="F172" s="27" t="s">
        <v>306</v>
      </c>
      <c r="G172" s="27" t="s">
        <v>63</v>
      </c>
      <c r="H172" s="27">
        <v>60</v>
      </c>
      <c r="I172" s="27">
        <v>20</v>
      </c>
      <c r="J172" s="37">
        <v>-4.1599999999999997E-4</v>
      </c>
      <c r="K172" s="27">
        <v>4</v>
      </c>
      <c r="L172" s="38">
        <v>-3.9899999999999999E-4</v>
      </c>
      <c r="M172" s="27" t="s">
        <v>65</v>
      </c>
      <c r="O172" s="27" t="s">
        <v>281</v>
      </c>
      <c r="P172" s="27">
        <v>143</v>
      </c>
      <c r="Q172" s="27" t="s">
        <v>128</v>
      </c>
      <c r="R172" s="27" t="s">
        <v>380</v>
      </c>
      <c r="S172" s="27" t="s">
        <v>306</v>
      </c>
      <c r="T172" s="27" t="s">
        <v>63</v>
      </c>
      <c r="U172" s="27">
        <v>10</v>
      </c>
      <c r="V172" s="27">
        <v>20</v>
      </c>
      <c r="W172" s="37">
        <v>-4.17E-4</v>
      </c>
      <c r="X172" s="27">
        <v>4</v>
      </c>
      <c r="Y172" s="38">
        <v>-4.0000000000000002E-4</v>
      </c>
      <c r="Z172" s="27" t="s">
        <v>65</v>
      </c>
    </row>
    <row r="173" spans="2:26" x14ac:dyDescent="0.2">
      <c r="B173" s="27" t="s">
        <v>281</v>
      </c>
      <c r="C173" s="27">
        <v>143</v>
      </c>
      <c r="D173" s="27" t="s">
        <v>128</v>
      </c>
      <c r="E173" s="27" t="s">
        <v>107</v>
      </c>
      <c r="F173" s="27" t="s">
        <v>307</v>
      </c>
      <c r="G173" s="27" t="s">
        <v>64</v>
      </c>
      <c r="H173" s="27">
        <v>60</v>
      </c>
      <c r="I173" s="27">
        <v>17</v>
      </c>
      <c r="J173" s="37">
        <v>-1.63E-4</v>
      </c>
      <c r="K173" s="27">
        <v>3</v>
      </c>
      <c r="L173" s="38">
        <v>-1.5300000000000001E-4</v>
      </c>
      <c r="M173" s="27" t="s">
        <v>65</v>
      </c>
      <c r="O173" s="27" t="s">
        <v>281</v>
      </c>
      <c r="P173" s="27">
        <v>143</v>
      </c>
      <c r="Q173" s="27" t="s">
        <v>128</v>
      </c>
      <c r="R173" s="27" t="s">
        <v>380</v>
      </c>
      <c r="S173" s="27" t="s">
        <v>307</v>
      </c>
      <c r="T173" s="27" t="s">
        <v>64</v>
      </c>
      <c r="U173" s="27">
        <v>10</v>
      </c>
      <c r="V173" s="27">
        <v>16</v>
      </c>
      <c r="W173" s="37">
        <v>-1.63E-4</v>
      </c>
      <c r="X173" s="27">
        <v>3</v>
      </c>
      <c r="Y173" s="38">
        <v>-1.5300000000000001E-4</v>
      </c>
      <c r="Z173" s="27" t="s">
        <v>65</v>
      </c>
    </row>
    <row r="174" spans="2:26" x14ac:dyDescent="0.2">
      <c r="B174" s="27" t="s">
        <v>281</v>
      </c>
      <c r="C174" s="27">
        <v>130</v>
      </c>
      <c r="D174" s="27" t="s">
        <v>129</v>
      </c>
      <c r="E174" s="27" t="s">
        <v>107</v>
      </c>
      <c r="F174" s="27" t="s">
        <v>308</v>
      </c>
      <c r="G174" s="27" t="s">
        <v>63</v>
      </c>
      <c r="H174" s="27">
        <v>60</v>
      </c>
      <c r="I174" s="27">
        <v>15</v>
      </c>
      <c r="J174" s="37">
        <v>-3.7500000000000001E-4</v>
      </c>
      <c r="K174" s="27">
        <v>12</v>
      </c>
      <c r="L174" s="38">
        <v>-3.3799999999999998E-4</v>
      </c>
      <c r="M174" s="27" t="s">
        <v>65</v>
      </c>
      <c r="O174" s="27" t="s">
        <v>281</v>
      </c>
      <c r="P174" s="27">
        <v>130</v>
      </c>
      <c r="Q174" s="27" t="s">
        <v>129</v>
      </c>
      <c r="R174" s="27" t="s">
        <v>380</v>
      </c>
      <c r="S174" s="27" t="s">
        <v>308</v>
      </c>
      <c r="T174" s="27" t="s">
        <v>63</v>
      </c>
      <c r="U174" s="27">
        <v>10</v>
      </c>
      <c r="V174" s="27">
        <v>15</v>
      </c>
      <c r="W174" s="37">
        <v>-3.7500000000000001E-4</v>
      </c>
      <c r="X174" s="27">
        <v>11</v>
      </c>
      <c r="Y174" s="38">
        <v>-3.3700000000000001E-4</v>
      </c>
      <c r="Z174" s="27" t="s">
        <v>65</v>
      </c>
    </row>
    <row r="175" spans="2:26" x14ac:dyDescent="0.2">
      <c r="B175" s="27" t="s">
        <v>281</v>
      </c>
      <c r="C175" s="27">
        <v>130</v>
      </c>
      <c r="D175" s="27" t="s">
        <v>129</v>
      </c>
      <c r="E175" s="27" t="s">
        <v>107</v>
      </c>
      <c r="F175" s="27" t="s">
        <v>309</v>
      </c>
      <c r="G175" s="27" t="s">
        <v>64</v>
      </c>
      <c r="H175" s="27">
        <v>60</v>
      </c>
      <c r="I175" s="27">
        <v>19</v>
      </c>
      <c r="J175" s="37">
        <v>-2.5300000000000002E-4</v>
      </c>
      <c r="K175" s="27">
        <v>1</v>
      </c>
      <c r="L175" s="38">
        <v>-2.3699999999999999E-4</v>
      </c>
      <c r="M175" s="27" t="s">
        <v>65</v>
      </c>
      <c r="O175" s="27" t="s">
        <v>281</v>
      </c>
      <c r="P175" s="27">
        <v>130</v>
      </c>
      <c r="Q175" s="27" t="s">
        <v>129</v>
      </c>
      <c r="R175" s="27" t="s">
        <v>380</v>
      </c>
      <c r="S175" s="27" t="s">
        <v>309</v>
      </c>
      <c r="T175" s="27" t="s">
        <v>64</v>
      </c>
      <c r="U175" s="27">
        <v>10</v>
      </c>
      <c r="V175" s="27">
        <v>17</v>
      </c>
      <c r="W175" s="37">
        <v>-2.5300000000000002E-4</v>
      </c>
      <c r="X175" s="27">
        <v>1</v>
      </c>
      <c r="Y175" s="38">
        <v>-2.3699999999999999E-4</v>
      </c>
      <c r="Z175" s="27" t="s">
        <v>65</v>
      </c>
    </row>
    <row r="176" spans="2:26" x14ac:dyDescent="0.2">
      <c r="B176" s="27" t="s">
        <v>281</v>
      </c>
      <c r="C176" s="27">
        <v>145</v>
      </c>
      <c r="D176" s="27" t="s">
        <v>128</v>
      </c>
      <c r="E176" s="27" t="s">
        <v>107</v>
      </c>
      <c r="F176" s="27" t="s">
        <v>310</v>
      </c>
      <c r="G176" s="27" t="s">
        <v>63</v>
      </c>
      <c r="H176" s="27">
        <v>60</v>
      </c>
      <c r="I176" s="27">
        <v>20</v>
      </c>
      <c r="J176" s="37">
        <v>-3.8999999999999999E-4</v>
      </c>
      <c r="K176" s="27">
        <v>4</v>
      </c>
      <c r="L176" s="38">
        <v>-3.8999999999999999E-4</v>
      </c>
      <c r="M176" s="27" t="s">
        <v>65</v>
      </c>
      <c r="O176" s="27" t="s">
        <v>281</v>
      </c>
      <c r="P176" s="27">
        <v>145</v>
      </c>
      <c r="Q176" s="27" t="s">
        <v>128</v>
      </c>
      <c r="R176" s="27" t="s">
        <v>380</v>
      </c>
      <c r="S176" s="27" t="s">
        <v>310</v>
      </c>
      <c r="T176" s="27" t="s">
        <v>63</v>
      </c>
      <c r="U176" s="27">
        <v>10</v>
      </c>
      <c r="V176" s="27">
        <v>20</v>
      </c>
      <c r="W176" s="37">
        <v>-3.9100000000000002E-4</v>
      </c>
      <c r="X176" s="27">
        <v>4</v>
      </c>
      <c r="Y176" s="38">
        <v>-3.9100000000000002E-4</v>
      </c>
      <c r="Z176" s="27" t="s">
        <v>65</v>
      </c>
    </row>
    <row r="177" spans="2:26" x14ac:dyDescent="0.2">
      <c r="B177" s="27" t="s">
        <v>281</v>
      </c>
      <c r="C177" s="27">
        <v>145</v>
      </c>
      <c r="D177" s="27" t="s">
        <v>128</v>
      </c>
      <c r="E177" s="27" t="s">
        <v>107</v>
      </c>
      <c r="F177" s="27" t="s">
        <v>311</v>
      </c>
      <c r="G177" s="27" t="s">
        <v>64</v>
      </c>
      <c r="H177" s="27">
        <v>60</v>
      </c>
      <c r="I177" s="27">
        <v>17</v>
      </c>
      <c r="J177" s="37">
        <v>-1.8100000000000001E-4</v>
      </c>
      <c r="K177" s="27">
        <v>3</v>
      </c>
      <c r="L177" s="38">
        <v>-1.8100000000000001E-4</v>
      </c>
      <c r="M177" s="27" t="s">
        <v>65</v>
      </c>
      <c r="O177" s="27" t="s">
        <v>281</v>
      </c>
      <c r="P177" s="27">
        <v>145</v>
      </c>
      <c r="Q177" s="27" t="s">
        <v>128</v>
      </c>
      <c r="R177" s="27" t="s">
        <v>380</v>
      </c>
      <c r="S177" s="27" t="s">
        <v>311</v>
      </c>
      <c r="T177" s="27" t="s">
        <v>64</v>
      </c>
      <c r="U177" s="27">
        <v>10</v>
      </c>
      <c r="V177" s="27">
        <v>17</v>
      </c>
      <c r="W177" s="37">
        <v>-1.8200000000000001E-4</v>
      </c>
      <c r="X177" s="27">
        <v>3</v>
      </c>
      <c r="Y177" s="38">
        <v>-1.8100000000000001E-4</v>
      </c>
      <c r="Z177" s="27" t="s">
        <v>65</v>
      </c>
    </row>
    <row r="178" spans="2:26" x14ac:dyDescent="0.2">
      <c r="B178" s="27" t="s">
        <v>281</v>
      </c>
      <c r="C178" s="27">
        <v>146</v>
      </c>
      <c r="D178" s="27" t="s">
        <v>128</v>
      </c>
      <c r="E178" s="27" t="s">
        <v>107</v>
      </c>
      <c r="F178" s="27" t="s">
        <v>312</v>
      </c>
      <c r="G178" s="27" t="s">
        <v>63</v>
      </c>
      <c r="H178" s="27">
        <v>60</v>
      </c>
      <c r="I178" s="27">
        <v>15</v>
      </c>
      <c r="J178" s="37">
        <v>-3.8900000000000002E-4</v>
      </c>
      <c r="K178" s="27">
        <v>6</v>
      </c>
      <c r="L178" s="38">
        <v>-3.8999999999999999E-4</v>
      </c>
      <c r="M178" s="27" t="s">
        <v>65</v>
      </c>
      <c r="O178" s="27" t="s">
        <v>281</v>
      </c>
      <c r="P178" s="27">
        <v>146</v>
      </c>
      <c r="Q178" s="27" t="s">
        <v>128</v>
      </c>
      <c r="R178" s="27" t="s">
        <v>380</v>
      </c>
      <c r="S178" s="27" t="s">
        <v>312</v>
      </c>
      <c r="T178" s="27" t="s">
        <v>63</v>
      </c>
      <c r="U178" s="27">
        <v>10</v>
      </c>
      <c r="V178" s="27">
        <v>15</v>
      </c>
      <c r="W178" s="37">
        <v>-3.88E-4</v>
      </c>
      <c r="X178" s="27">
        <v>6</v>
      </c>
      <c r="Y178" s="38">
        <v>-3.8900000000000002E-4</v>
      </c>
      <c r="Z178" s="27" t="s">
        <v>65</v>
      </c>
    </row>
    <row r="179" spans="2:26" x14ac:dyDescent="0.2">
      <c r="B179" s="27" t="s">
        <v>281</v>
      </c>
      <c r="C179" s="27">
        <v>146</v>
      </c>
      <c r="D179" s="27" t="s">
        <v>128</v>
      </c>
      <c r="E179" s="27" t="s">
        <v>107</v>
      </c>
      <c r="F179" s="27" t="s">
        <v>313</v>
      </c>
      <c r="G179" s="27" t="s">
        <v>64</v>
      </c>
      <c r="H179" s="27">
        <v>60</v>
      </c>
      <c r="I179" s="27">
        <v>22</v>
      </c>
      <c r="J179" s="37">
        <v>-1.8100000000000001E-4</v>
      </c>
      <c r="K179" s="27">
        <v>1</v>
      </c>
      <c r="L179" s="38">
        <v>-1.8000000000000001E-4</v>
      </c>
      <c r="M179" s="27" t="s">
        <v>65</v>
      </c>
      <c r="O179" s="27" t="s">
        <v>281</v>
      </c>
      <c r="P179" s="27">
        <v>146</v>
      </c>
      <c r="Q179" s="27" t="s">
        <v>128</v>
      </c>
      <c r="R179" s="27" t="s">
        <v>380</v>
      </c>
      <c r="S179" s="27" t="s">
        <v>313</v>
      </c>
      <c r="T179" s="27" t="s">
        <v>64</v>
      </c>
      <c r="U179" s="27">
        <v>10</v>
      </c>
      <c r="V179" s="27">
        <v>19</v>
      </c>
      <c r="W179" s="37">
        <v>-1.8000000000000001E-4</v>
      </c>
      <c r="X179" s="27">
        <v>1</v>
      </c>
      <c r="Y179" s="38">
        <v>-1.8000000000000001E-4</v>
      </c>
      <c r="Z179" s="27" t="s">
        <v>65</v>
      </c>
    </row>
    <row r="180" spans="2:26" x14ac:dyDescent="0.2">
      <c r="B180" s="27" t="s">
        <v>281</v>
      </c>
      <c r="C180" s="27">
        <v>132</v>
      </c>
      <c r="D180" s="27" t="s">
        <v>129</v>
      </c>
      <c r="E180" s="27" t="s">
        <v>107</v>
      </c>
      <c r="F180" s="27" t="s">
        <v>314</v>
      </c>
      <c r="G180" s="27" t="s">
        <v>63</v>
      </c>
      <c r="H180" s="27">
        <v>60</v>
      </c>
      <c r="I180" s="27">
        <v>20</v>
      </c>
      <c r="J180" s="37">
        <v>-3.7500000000000001E-4</v>
      </c>
      <c r="K180" s="27">
        <v>7</v>
      </c>
      <c r="L180" s="38">
        <v>-3.3799999999999998E-4</v>
      </c>
      <c r="M180" s="27" t="s">
        <v>65</v>
      </c>
      <c r="O180" s="27" t="s">
        <v>281</v>
      </c>
      <c r="P180" s="27">
        <v>132</v>
      </c>
      <c r="Q180" s="27" t="s">
        <v>129</v>
      </c>
      <c r="R180" s="27" t="s">
        <v>380</v>
      </c>
      <c r="S180" s="27" t="s">
        <v>314</v>
      </c>
      <c r="T180" s="27" t="s">
        <v>63</v>
      </c>
      <c r="U180" s="27">
        <v>10</v>
      </c>
      <c r="V180" s="27">
        <v>20</v>
      </c>
      <c r="W180" s="37">
        <v>-3.7599999999999998E-4</v>
      </c>
      <c r="X180" s="27">
        <v>7</v>
      </c>
      <c r="Y180" s="38">
        <v>-3.3799999999999998E-4</v>
      </c>
      <c r="Z180" s="27" t="s">
        <v>65</v>
      </c>
    </row>
    <row r="181" spans="2:26" x14ac:dyDescent="0.2">
      <c r="B181" s="27" t="s">
        <v>281</v>
      </c>
      <c r="C181" s="27">
        <v>132</v>
      </c>
      <c r="D181" s="27" t="s">
        <v>129</v>
      </c>
      <c r="E181" s="27" t="s">
        <v>107</v>
      </c>
      <c r="F181" s="27" t="s">
        <v>315</v>
      </c>
      <c r="G181" s="27" t="s">
        <v>64</v>
      </c>
      <c r="H181" s="27">
        <v>60</v>
      </c>
      <c r="I181" s="27">
        <v>17</v>
      </c>
      <c r="J181" s="37">
        <v>-2.5300000000000002E-4</v>
      </c>
      <c r="K181" s="27">
        <v>4</v>
      </c>
      <c r="L181" s="38">
        <v>-2.3699999999999999E-4</v>
      </c>
      <c r="M181" s="27" t="s">
        <v>65</v>
      </c>
      <c r="O181" s="27" t="s">
        <v>281</v>
      </c>
      <c r="P181" s="27">
        <v>132</v>
      </c>
      <c r="Q181" s="27" t="s">
        <v>129</v>
      </c>
      <c r="R181" s="27" t="s">
        <v>380</v>
      </c>
      <c r="S181" s="27" t="s">
        <v>315</v>
      </c>
      <c r="T181" s="27" t="s">
        <v>64</v>
      </c>
      <c r="U181" s="27">
        <v>10</v>
      </c>
      <c r="V181" s="27">
        <v>17</v>
      </c>
      <c r="W181" s="37">
        <v>-2.5300000000000002E-4</v>
      </c>
      <c r="X181" s="27">
        <v>4</v>
      </c>
      <c r="Y181" s="38">
        <v>-2.3699999999999999E-4</v>
      </c>
      <c r="Z181" s="27" t="s">
        <v>65</v>
      </c>
    </row>
    <row r="182" spans="2:26" x14ac:dyDescent="0.2">
      <c r="B182" s="27" t="s">
        <v>281</v>
      </c>
      <c r="C182" s="27">
        <v>141</v>
      </c>
      <c r="D182" s="27" t="s">
        <v>128</v>
      </c>
      <c r="E182" s="27" t="s">
        <v>107</v>
      </c>
      <c r="F182" s="27" t="s">
        <v>316</v>
      </c>
      <c r="G182" s="27" t="s">
        <v>63</v>
      </c>
      <c r="H182" s="27">
        <v>60</v>
      </c>
      <c r="I182" s="27">
        <v>15</v>
      </c>
      <c r="J182" s="37">
        <v>-4.1399999999999998E-4</v>
      </c>
      <c r="K182" s="27">
        <v>6</v>
      </c>
      <c r="L182" s="38">
        <v>-3.97E-4</v>
      </c>
      <c r="M182" s="27" t="s">
        <v>65</v>
      </c>
      <c r="O182" s="27" t="s">
        <v>281</v>
      </c>
      <c r="P182" s="27">
        <v>141</v>
      </c>
      <c r="Q182" s="27" t="s">
        <v>128</v>
      </c>
      <c r="R182" s="27" t="s">
        <v>380</v>
      </c>
      <c r="S182" s="27" t="s">
        <v>316</v>
      </c>
      <c r="T182" s="27" t="s">
        <v>63</v>
      </c>
      <c r="U182" s="27">
        <v>10</v>
      </c>
      <c r="V182" s="27">
        <v>15</v>
      </c>
      <c r="W182" s="37">
        <v>-4.1300000000000001E-4</v>
      </c>
      <c r="X182" s="27">
        <v>6</v>
      </c>
      <c r="Y182" s="38">
        <v>-3.9599999999999998E-4</v>
      </c>
      <c r="Z182" s="27" t="s">
        <v>65</v>
      </c>
    </row>
    <row r="183" spans="2:26" x14ac:dyDescent="0.2">
      <c r="B183" s="27" t="s">
        <v>281</v>
      </c>
      <c r="C183" s="27">
        <v>141</v>
      </c>
      <c r="D183" s="27" t="s">
        <v>128</v>
      </c>
      <c r="E183" s="27" t="s">
        <v>107</v>
      </c>
      <c r="F183" s="27" t="s">
        <v>317</v>
      </c>
      <c r="G183" s="27" t="s">
        <v>64</v>
      </c>
      <c r="H183" s="27">
        <v>60</v>
      </c>
      <c r="I183" s="27">
        <v>22</v>
      </c>
      <c r="J183" s="37">
        <v>-1.63E-4</v>
      </c>
      <c r="K183" s="27">
        <v>1</v>
      </c>
      <c r="L183" s="38">
        <v>-1.5300000000000001E-4</v>
      </c>
      <c r="M183" s="27" t="s">
        <v>65</v>
      </c>
      <c r="O183" s="27" t="s">
        <v>281</v>
      </c>
      <c r="P183" s="27">
        <v>141</v>
      </c>
      <c r="Q183" s="27" t="s">
        <v>128</v>
      </c>
      <c r="R183" s="27" t="s">
        <v>380</v>
      </c>
      <c r="S183" s="27" t="s">
        <v>317</v>
      </c>
      <c r="T183" s="27" t="s">
        <v>64</v>
      </c>
      <c r="U183" s="27">
        <v>10</v>
      </c>
      <c r="V183" s="27">
        <v>22</v>
      </c>
      <c r="W183" s="37">
        <v>-1.63E-4</v>
      </c>
      <c r="X183" s="27">
        <v>1</v>
      </c>
      <c r="Y183" s="38">
        <v>-1.5300000000000001E-4</v>
      </c>
      <c r="Z183" s="27" t="s">
        <v>65</v>
      </c>
    </row>
    <row r="184" spans="2:26" x14ac:dyDescent="0.2">
      <c r="B184" s="27" t="s">
        <v>281</v>
      </c>
      <c r="C184" s="27">
        <v>125</v>
      </c>
      <c r="D184" s="27" t="s">
        <v>127</v>
      </c>
      <c r="E184" s="27" t="s">
        <v>107</v>
      </c>
      <c r="F184" s="27" t="s">
        <v>318</v>
      </c>
      <c r="G184" s="27" t="s">
        <v>63</v>
      </c>
      <c r="H184" s="27">
        <v>60</v>
      </c>
      <c r="I184" s="27">
        <v>16</v>
      </c>
      <c r="J184" s="37">
        <v>-2.9100000000000003E-4</v>
      </c>
      <c r="K184" s="27">
        <v>1</v>
      </c>
      <c r="L184" s="38">
        <v>-2.6200000000000003E-4</v>
      </c>
      <c r="M184" s="27" t="s">
        <v>65</v>
      </c>
      <c r="O184" s="27" t="s">
        <v>281</v>
      </c>
      <c r="P184" s="27">
        <v>125</v>
      </c>
      <c r="Q184" s="27" t="s">
        <v>127</v>
      </c>
      <c r="R184" s="27" t="s">
        <v>380</v>
      </c>
      <c r="S184" s="27" t="s">
        <v>318</v>
      </c>
      <c r="T184" s="27" t="s">
        <v>63</v>
      </c>
      <c r="U184" s="27">
        <v>10</v>
      </c>
      <c r="V184" s="27">
        <v>16</v>
      </c>
      <c r="W184" s="37">
        <v>-2.92E-4</v>
      </c>
      <c r="X184" s="27">
        <v>1</v>
      </c>
      <c r="Y184" s="38">
        <v>-2.63E-4</v>
      </c>
      <c r="Z184" s="27" t="s">
        <v>65</v>
      </c>
    </row>
    <row r="185" spans="2:26" x14ac:dyDescent="0.2">
      <c r="B185" s="27" t="s">
        <v>281</v>
      </c>
      <c r="C185" s="27">
        <v>125</v>
      </c>
      <c r="D185" s="27" t="s">
        <v>127</v>
      </c>
      <c r="E185" s="27" t="s">
        <v>107</v>
      </c>
      <c r="F185" s="27" t="s">
        <v>319</v>
      </c>
      <c r="G185" s="27" t="s">
        <v>64</v>
      </c>
      <c r="H185" s="27">
        <v>60</v>
      </c>
      <c r="I185" s="27">
        <v>9</v>
      </c>
      <c r="J185" s="37">
        <v>-2.5000000000000001E-4</v>
      </c>
      <c r="K185" s="27">
        <v>6</v>
      </c>
      <c r="L185" s="38">
        <v>-2.2800000000000001E-4</v>
      </c>
      <c r="M185" s="27" t="s">
        <v>65</v>
      </c>
      <c r="O185" s="27" t="s">
        <v>281</v>
      </c>
      <c r="P185" s="27">
        <v>125</v>
      </c>
      <c r="Q185" s="27" t="s">
        <v>127</v>
      </c>
      <c r="R185" s="27" t="s">
        <v>380</v>
      </c>
      <c r="S185" s="27" t="s">
        <v>319</v>
      </c>
      <c r="T185" s="27" t="s">
        <v>64</v>
      </c>
      <c r="U185" s="27">
        <v>10</v>
      </c>
      <c r="V185" s="27">
        <v>9</v>
      </c>
      <c r="W185" s="37">
        <v>-2.5099999999999998E-4</v>
      </c>
      <c r="X185" s="27">
        <v>6</v>
      </c>
      <c r="Y185" s="38">
        <v>-2.2800000000000001E-4</v>
      </c>
      <c r="Z185" s="27" t="s">
        <v>65</v>
      </c>
    </row>
    <row r="186" spans="2:26" x14ac:dyDescent="0.2">
      <c r="B186" s="27" t="s">
        <v>281</v>
      </c>
      <c r="C186" s="27">
        <v>137</v>
      </c>
      <c r="D186" s="27" t="s">
        <v>128</v>
      </c>
      <c r="E186" s="27" t="s">
        <v>107</v>
      </c>
      <c r="F186" s="27" t="s">
        <v>320</v>
      </c>
      <c r="G186" s="27" t="s">
        <v>63</v>
      </c>
      <c r="H186" s="27">
        <v>60</v>
      </c>
      <c r="I186" s="27">
        <v>15</v>
      </c>
      <c r="J186" s="37">
        <v>-2.0599999999999999E-4</v>
      </c>
      <c r="K186" s="27">
        <v>6</v>
      </c>
      <c r="L186" s="38">
        <v>-2.0599999999999999E-4</v>
      </c>
      <c r="M186" s="27" t="s">
        <v>65</v>
      </c>
      <c r="O186" s="27" t="s">
        <v>281</v>
      </c>
      <c r="P186" s="27">
        <v>137</v>
      </c>
      <c r="Q186" s="27" t="s">
        <v>128</v>
      </c>
      <c r="R186" s="27" t="s">
        <v>380</v>
      </c>
      <c r="S186" s="27" t="s">
        <v>320</v>
      </c>
      <c r="T186" s="27" t="s">
        <v>63</v>
      </c>
      <c r="U186" s="27">
        <v>10</v>
      </c>
      <c r="V186" s="27">
        <v>15</v>
      </c>
      <c r="W186" s="37">
        <v>-2.0599999999999999E-4</v>
      </c>
      <c r="X186" s="27">
        <v>6</v>
      </c>
      <c r="Y186" s="38">
        <v>-2.05E-4</v>
      </c>
      <c r="Z186" s="27" t="s">
        <v>65</v>
      </c>
    </row>
    <row r="187" spans="2:26" x14ac:dyDescent="0.2">
      <c r="B187" s="27" t="s">
        <v>281</v>
      </c>
      <c r="C187" s="27">
        <v>137</v>
      </c>
      <c r="D187" s="27" t="s">
        <v>128</v>
      </c>
      <c r="E187" s="27" t="s">
        <v>107</v>
      </c>
      <c r="F187" s="27" t="s">
        <v>321</v>
      </c>
      <c r="G187" s="27" t="s">
        <v>64</v>
      </c>
      <c r="H187" s="27">
        <v>60</v>
      </c>
      <c r="I187" s="27">
        <v>20</v>
      </c>
      <c r="J187" s="37">
        <v>-1.5200000000000001E-4</v>
      </c>
      <c r="K187" s="27">
        <v>4</v>
      </c>
      <c r="L187" s="38">
        <v>-1.5200000000000001E-4</v>
      </c>
      <c r="M187" s="27" t="s">
        <v>65</v>
      </c>
      <c r="O187" s="27" t="s">
        <v>281</v>
      </c>
      <c r="P187" s="27">
        <v>137</v>
      </c>
      <c r="Q187" s="27" t="s">
        <v>128</v>
      </c>
      <c r="R187" s="27" t="s">
        <v>380</v>
      </c>
      <c r="S187" s="27" t="s">
        <v>321</v>
      </c>
      <c r="T187" s="27" t="s">
        <v>64</v>
      </c>
      <c r="U187" s="27">
        <v>10</v>
      </c>
      <c r="V187" s="27">
        <v>20</v>
      </c>
      <c r="W187" s="37">
        <v>-1.5100000000000001E-4</v>
      </c>
      <c r="X187" s="27">
        <v>4</v>
      </c>
      <c r="Y187" s="38">
        <v>-1.5100000000000001E-4</v>
      </c>
      <c r="Z187" s="27" t="s">
        <v>65</v>
      </c>
    </row>
    <row r="188" spans="2:26" x14ac:dyDescent="0.2">
      <c r="B188" s="27" t="s">
        <v>281</v>
      </c>
      <c r="C188" s="27">
        <v>133</v>
      </c>
      <c r="D188" s="27" t="s">
        <v>129</v>
      </c>
      <c r="E188" s="27" t="s">
        <v>107</v>
      </c>
      <c r="F188" s="27" t="s">
        <v>322</v>
      </c>
      <c r="G188" s="27" t="s">
        <v>63</v>
      </c>
      <c r="H188" s="27">
        <v>60</v>
      </c>
      <c r="I188" s="27">
        <v>22</v>
      </c>
      <c r="J188" s="37">
        <v>-1.08E-4</v>
      </c>
      <c r="K188" s="27">
        <v>1</v>
      </c>
      <c r="L188" s="38">
        <v>-1.05E-4</v>
      </c>
      <c r="M188" s="27" t="s">
        <v>65</v>
      </c>
      <c r="O188" s="27" t="s">
        <v>281</v>
      </c>
      <c r="P188" s="27">
        <v>133</v>
      </c>
      <c r="Q188" s="27" t="s">
        <v>129</v>
      </c>
      <c r="R188" s="27" t="s">
        <v>380</v>
      </c>
      <c r="S188" s="27" t="s">
        <v>322</v>
      </c>
      <c r="T188" s="27" t="s">
        <v>63</v>
      </c>
      <c r="U188" s="27">
        <v>10</v>
      </c>
      <c r="V188" s="27">
        <v>22</v>
      </c>
      <c r="W188" s="37">
        <v>-1.0900000000000001E-4</v>
      </c>
      <c r="X188" s="27">
        <v>1</v>
      </c>
      <c r="Y188" s="38">
        <v>-1.06E-4</v>
      </c>
      <c r="Z188" s="27" t="s">
        <v>65</v>
      </c>
    </row>
    <row r="189" spans="2:26" x14ac:dyDescent="0.2">
      <c r="B189" s="27" t="s">
        <v>281</v>
      </c>
      <c r="C189" s="27">
        <v>133</v>
      </c>
      <c r="D189" s="27" t="s">
        <v>129</v>
      </c>
      <c r="E189" s="27" t="s">
        <v>107</v>
      </c>
      <c r="F189" s="27" t="s">
        <v>323</v>
      </c>
      <c r="G189" s="27" t="s">
        <v>64</v>
      </c>
      <c r="H189" s="27">
        <v>60</v>
      </c>
      <c r="I189" s="27">
        <v>15</v>
      </c>
      <c r="J189" s="37">
        <v>-1.3899999999999999E-4</v>
      </c>
      <c r="K189" s="27">
        <v>7</v>
      </c>
      <c r="L189" s="38">
        <v>-1.2999999999999999E-4</v>
      </c>
      <c r="M189" s="27" t="s">
        <v>65</v>
      </c>
      <c r="O189" s="27" t="s">
        <v>281</v>
      </c>
      <c r="P189" s="27">
        <v>133</v>
      </c>
      <c r="Q189" s="27" t="s">
        <v>129</v>
      </c>
      <c r="R189" s="27" t="s">
        <v>380</v>
      </c>
      <c r="S189" s="27" t="s">
        <v>323</v>
      </c>
      <c r="T189" s="27" t="s">
        <v>64</v>
      </c>
      <c r="U189" s="27">
        <v>10</v>
      </c>
      <c r="V189" s="27">
        <v>15</v>
      </c>
      <c r="W189" s="37">
        <v>-1.3899999999999999E-4</v>
      </c>
      <c r="X189" s="27">
        <v>7</v>
      </c>
      <c r="Y189" s="38">
        <v>-1.2999999999999999E-4</v>
      </c>
      <c r="Z189" s="27" t="s">
        <v>65</v>
      </c>
    </row>
    <row r="190" spans="2:26" x14ac:dyDescent="0.2">
      <c r="B190" s="27" t="s">
        <v>281</v>
      </c>
      <c r="C190" s="27">
        <v>134</v>
      </c>
      <c r="D190" s="27" t="s">
        <v>129</v>
      </c>
      <c r="E190" s="27" t="s">
        <v>107</v>
      </c>
      <c r="F190" s="27" t="s">
        <v>324</v>
      </c>
      <c r="G190" s="27" t="s">
        <v>63</v>
      </c>
      <c r="H190" s="27">
        <v>60</v>
      </c>
      <c r="I190" s="27">
        <v>22</v>
      </c>
      <c r="J190" s="37">
        <v>-1.08E-4</v>
      </c>
      <c r="K190" s="27">
        <v>1</v>
      </c>
      <c r="L190" s="38">
        <v>-1.05E-4</v>
      </c>
      <c r="M190" s="27" t="s">
        <v>65</v>
      </c>
      <c r="O190" s="27" t="s">
        <v>281</v>
      </c>
      <c r="P190" s="27">
        <v>134</v>
      </c>
      <c r="Q190" s="27" t="s">
        <v>129</v>
      </c>
      <c r="R190" s="27" t="s">
        <v>380</v>
      </c>
      <c r="S190" s="27" t="s">
        <v>324</v>
      </c>
      <c r="T190" s="27" t="s">
        <v>63</v>
      </c>
      <c r="U190" s="27">
        <v>10</v>
      </c>
      <c r="V190" s="27">
        <v>22</v>
      </c>
      <c r="W190" s="37">
        <v>-1.0900000000000001E-4</v>
      </c>
      <c r="X190" s="27">
        <v>1</v>
      </c>
      <c r="Y190" s="38">
        <v>-1.06E-4</v>
      </c>
      <c r="Z190" s="27" t="s">
        <v>65</v>
      </c>
    </row>
    <row r="191" spans="2:26" x14ac:dyDescent="0.2">
      <c r="B191" s="27" t="s">
        <v>281</v>
      </c>
      <c r="C191" s="27">
        <v>134</v>
      </c>
      <c r="D191" s="27" t="s">
        <v>129</v>
      </c>
      <c r="E191" s="27" t="s">
        <v>107</v>
      </c>
      <c r="F191" s="27" t="s">
        <v>325</v>
      </c>
      <c r="G191" s="27" t="s">
        <v>64</v>
      </c>
      <c r="H191" s="27">
        <v>60</v>
      </c>
      <c r="I191" s="27">
        <v>20</v>
      </c>
      <c r="J191" s="37">
        <v>-1.3999999999999999E-4</v>
      </c>
      <c r="K191" s="27">
        <v>7</v>
      </c>
      <c r="L191" s="38">
        <v>-1.2999999999999999E-4</v>
      </c>
      <c r="M191" s="27" t="s">
        <v>65</v>
      </c>
      <c r="O191" s="27" t="s">
        <v>281</v>
      </c>
      <c r="P191" s="27">
        <v>134</v>
      </c>
      <c r="Q191" s="27" t="s">
        <v>129</v>
      </c>
      <c r="R191" s="27" t="s">
        <v>380</v>
      </c>
      <c r="S191" s="27" t="s">
        <v>325</v>
      </c>
      <c r="T191" s="27" t="s">
        <v>64</v>
      </c>
      <c r="U191" s="27">
        <v>10</v>
      </c>
      <c r="V191" s="27">
        <v>15</v>
      </c>
      <c r="W191" s="37">
        <v>-1.3999999999999999E-4</v>
      </c>
      <c r="X191" s="27">
        <v>7</v>
      </c>
      <c r="Y191" s="38">
        <v>-1.2999999999999999E-4</v>
      </c>
      <c r="Z191" s="27" t="s">
        <v>65</v>
      </c>
    </row>
    <row r="192" spans="2:26" x14ac:dyDescent="0.2">
      <c r="B192" s="27" t="s">
        <v>281</v>
      </c>
      <c r="C192" s="27">
        <v>138</v>
      </c>
      <c r="D192" s="27" t="s">
        <v>128</v>
      </c>
      <c r="E192" s="27" t="s">
        <v>107</v>
      </c>
      <c r="F192" s="27" t="s">
        <v>326</v>
      </c>
      <c r="G192" s="27" t="s">
        <v>63</v>
      </c>
      <c r="H192" s="27">
        <v>60</v>
      </c>
      <c r="I192" s="27">
        <v>20</v>
      </c>
      <c r="J192" s="37">
        <v>-2.0699999999999999E-4</v>
      </c>
      <c r="K192" s="27">
        <v>4</v>
      </c>
      <c r="L192" s="38">
        <v>-2.0599999999999999E-4</v>
      </c>
      <c r="M192" s="27" t="s">
        <v>65</v>
      </c>
      <c r="O192" s="27" t="s">
        <v>281</v>
      </c>
      <c r="P192" s="27">
        <v>138</v>
      </c>
      <c r="Q192" s="27" t="s">
        <v>128</v>
      </c>
      <c r="R192" s="27" t="s">
        <v>380</v>
      </c>
      <c r="S192" s="27" t="s">
        <v>326</v>
      </c>
      <c r="T192" s="27" t="s">
        <v>63</v>
      </c>
      <c r="U192" s="27">
        <v>10</v>
      </c>
      <c r="V192" s="27">
        <v>20</v>
      </c>
      <c r="W192" s="37">
        <v>-2.0699999999999999E-4</v>
      </c>
      <c r="X192" s="27">
        <v>4</v>
      </c>
      <c r="Y192" s="38">
        <v>-2.0699999999999999E-4</v>
      </c>
      <c r="Z192" s="27" t="s">
        <v>65</v>
      </c>
    </row>
    <row r="193" spans="2:26" x14ac:dyDescent="0.2">
      <c r="B193" s="27" t="s">
        <v>281</v>
      </c>
      <c r="C193" s="27">
        <v>138</v>
      </c>
      <c r="D193" s="27" t="s">
        <v>128</v>
      </c>
      <c r="E193" s="27" t="s">
        <v>107</v>
      </c>
      <c r="F193" s="27" t="s">
        <v>327</v>
      </c>
      <c r="G193" s="27" t="s">
        <v>64</v>
      </c>
      <c r="H193" s="27">
        <v>60</v>
      </c>
      <c r="I193" s="27">
        <v>15</v>
      </c>
      <c r="J193" s="37">
        <v>-1.5200000000000001E-4</v>
      </c>
      <c r="K193" s="27">
        <v>6</v>
      </c>
      <c r="L193" s="38">
        <v>-1.5200000000000001E-4</v>
      </c>
      <c r="M193" s="27" t="s">
        <v>65</v>
      </c>
      <c r="O193" s="27" t="s">
        <v>281</v>
      </c>
      <c r="P193" s="27">
        <v>138</v>
      </c>
      <c r="Q193" s="27" t="s">
        <v>128</v>
      </c>
      <c r="R193" s="27" t="s">
        <v>380</v>
      </c>
      <c r="S193" s="27" t="s">
        <v>327</v>
      </c>
      <c r="T193" s="27" t="s">
        <v>64</v>
      </c>
      <c r="U193" s="27">
        <v>10</v>
      </c>
      <c r="V193" s="27">
        <v>15</v>
      </c>
      <c r="W193" s="37">
        <v>-1.5300000000000001E-4</v>
      </c>
      <c r="X193" s="27">
        <v>6</v>
      </c>
      <c r="Y193" s="38">
        <v>-1.5200000000000001E-4</v>
      </c>
      <c r="Z193" s="27" t="s">
        <v>65</v>
      </c>
    </row>
    <row r="194" spans="2:26" x14ac:dyDescent="0.2">
      <c r="B194" s="27" t="s">
        <v>281</v>
      </c>
      <c r="C194" s="27">
        <v>126</v>
      </c>
      <c r="D194" s="27" t="s">
        <v>127</v>
      </c>
      <c r="E194" s="27" t="s">
        <v>107</v>
      </c>
      <c r="F194" s="27" t="s">
        <v>328</v>
      </c>
      <c r="G194" s="27" t="s">
        <v>63</v>
      </c>
      <c r="H194" s="27">
        <v>60</v>
      </c>
      <c r="I194" s="27">
        <v>11</v>
      </c>
      <c r="J194" s="37">
        <v>-2.9100000000000003E-4</v>
      </c>
      <c r="K194" s="27">
        <v>3</v>
      </c>
      <c r="L194" s="38">
        <v>-2.6200000000000003E-4</v>
      </c>
      <c r="M194" s="27" t="s">
        <v>65</v>
      </c>
      <c r="O194" s="27" t="s">
        <v>281</v>
      </c>
      <c r="P194" s="27">
        <v>126</v>
      </c>
      <c r="Q194" s="27" t="s">
        <v>127</v>
      </c>
      <c r="R194" s="27" t="s">
        <v>380</v>
      </c>
      <c r="S194" s="27" t="s">
        <v>328</v>
      </c>
      <c r="T194" s="27" t="s">
        <v>63</v>
      </c>
      <c r="U194" s="27">
        <v>10</v>
      </c>
      <c r="V194" s="27">
        <v>11</v>
      </c>
      <c r="W194" s="37">
        <v>-2.9E-4</v>
      </c>
      <c r="X194" s="27">
        <v>3</v>
      </c>
      <c r="Y194" s="38">
        <v>-2.61E-4</v>
      </c>
      <c r="Z194" s="27" t="s">
        <v>65</v>
      </c>
    </row>
    <row r="195" spans="2:26" x14ac:dyDescent="0.2">
      <c r="B195" s="27" t="s">
        <v>281</v>
      </c>
      <c r="C195" s="27">
        <v>126</v>
      </c>
      <c r="D195" s="27" t="s">
        <v>127</v>
      </c>
      <c r="E195" s="27" t="s">
        <v>107</v>
      </c>
      <c r="F195" s="27" t="s">
        <v>329</v>
      </c>
      <c r="G195" s="27" t="s">
        <v>64</v>
      </c>
      <c r="H195" s="27">
        <v>60</v>
      </c>
      <c r="I195" s="27">
        <v>14</v>
      </c>
      <c r="J195" s="37">
        <v>-2.5000000000000001E-4</v>
      </c>
      <c r="K195" s="27">
        <v>4</v>
      </c>
      <c r="L195" s="38">
        <v>-2.2800000000000001E-4</v>
      </c>
      <c r="M195" s="27" t="s">
        <v>65</v>
      </c>
      <c r="O195" s="27" t="s">
        <v>281</v>
      </c>
      <c r="P195" s="27">
        <v>126</v>
      </c>
      <c r="Q195" s="27" t="s">
        <v>127</v>
      </c>
      <c r="R195" s="27" t="s">
        <v>380</v>
      </c>
      <c r="S195" s="27" t="s">
        <v>329</v>
      </c>
      <c r="T195" s="27" t="s">
        <v>64</v>
      </c>
      <c r="U195" s="27">
        <v>10</v>
      </c>
      <c r="V195" s="27">
        <v>14</v>
      </c>
      <c r="W195" s="37">
        <v>-2.5000000000000001E-4</v>
      </c>
      <c r="X195" s="27">
        <v>4</v>
      </c>
      <c r="Y195" s="38">
        <v>-2.2699999999999999E-4</v>
      </c>
      <c r="Z195" s="27" t="s">
        <v>65</v>
      </c>
    </row>
    <row r="196" spans="2:26" x14ac:dyDescent="0.2">
      <c r="B196" s="27" t="s">
        <v>330</v>
      </c>
      <c r="C196" s="27">
        <v>3</v>
      </c>
      <c r="D196" s="27" t="s">
        <v>130</v>
      </c>
      <c r="E196" s="27" t="s">
        <v>107</v>
      </c>
      <c r="F196" s="27" t="s">
        <v>331</v>
      </c>
      <c r="G196" s="27" t="s">
        <v>63</v>
      </c>
      <c r="H196" s="27">
        <v>60</v>
      </c>
      <c r="I196" s="27">
        <v>10</v>
      </c>
      <c r="J196" s="37">
        <v>-5.6599999999999999E-4</v>
      </c>
      <c r="K196" s="27">
        <v>3</v>
      </c>
      <c r="L196" s="38">
        <v>-5.1199999999999998E-4</v>
      </c>
      <c r="M196" s="27" t="s">
        <v>65</v>
      </c>
      <c r="O196" s="27" t="s">
        <v>330</v>
      </c>
      <c r="P196" s="27">
        <v>3</v>
      </c>
      <c r="Q196" s="27" t="s">
        <v>130</v>
      </c>
      <c r="R196" s="27" t="s">
        <v>380</v>
      </c>
      <c r="S196" s="27" t="s">
        <v>331</v>
      </c>
      <c r="T196" s="27" t="s">
        <v>63</v>
      </c>
      <c r="U196" s="27">
        <v>10</v>
      </c>
      <c r="V196" s="27">
        <v>10</v>
      </c>
      <c r="W196" s="37">
        <v>-5.6800000000000004E-4</v>
      </c>
      <c r="X196" s="27">
        <v>3</v>
      </c>
      <c r="Y196" s="38">
        <v>-5.1400000000000003E-4</v>
      </c>
      <c r="Z196" s="27" t="s">
        <v>65</v>
      </c>
    </row>
    <row r="197" spans="2:26" x14ac:dyDescent="0.2">
      <c r="B197" s="27" t="s">
        <v>330</v>
      </c>
      <c r="C197" s="27">
        <v>3</v>
      </c>
      <c r="D197" s="27" t="s">
        <v>130</v>
      </c>
      <c r="E197" s="27" t="s">
        <v>107</v>
      </c>
      <c r="F197" s="27" t="s">
        <v>332</v>
      </c>
      <c r="G197" s="27" t="s">
        <v>64</v>
      </c>
      <c r="H197" s="27">
        <v>60</v>
      </c>
      <c r="I197" s="27">
        <v>7</v>
      </c>
      <c r="J197" s="37">
        <v>-3.8699999999999997E-4</v>
      </c>
      <c r="K197" s="27">
        <v>2</v>
      </c>
      <c r="L197" s="38">
        <v>-3.6000000000000002E-4</v>
      </c>
      <c r="M197" s="27" t="s">
        <v>65</v>
      </c>
      <c r="O197" s="27" t="s">
        <v>330</v>
      </c>
      <c r="P197" s="27">
        <v>3</v>
      </c>
      <c r="Q197" s="27" t="s">
        <v>130</v>
      </c>
      <c r="R197" s="27" t="s">
        <v>380</v>
      </c>
      <c r="S197" s="27" t="s">
        <v>332</v>
      </c>
      <c r="T197" s="27" t="s">
        <v>64</v>
      </c>
      <c r="U197" s="27">
        <v>10</v>
      </c>
      <c r="V197" s="27">
        <v>7</v>
      </c>
      <c r="W197" s="37">
        <v>-3.88E-4</v>
      </c>
      <c r="X197" s="27">
        <v>2</v>
      </c>
      <c r="Y197" s="38">
        <v>-3.6000000000000002E-4</v>
      </c>
      <c r="Z197" s="27" t="s">
        <v>65</v>
      </c>
    </row>
    <row r="198" spans="2:26" x14ac:dyDescent="0.2">
      <c r="B198" s="27" t="s">
        <v>330</v>
      </c>
      <c r="C198" s="27">
        <v>15</v>
      </c>
      <c r="D198" s="27" t="s">
        <v>131</v>
      </c>
      <c r="E198" s="27" t="s">
        <v>107</v>
      </c>
      <c r="F198" s="27" t="s">
        <v>333</v>
      </c>
      <c r="G198" s="27" t="s">
        <v>63</v>
      </c>
      <c r="H198" s="27">
        <v>60</v>
      </c>
      <c r="I198" s="27">
        <v>7</v>
      </c>
      <c r="J198" s="37">
        <v>-6.6799999999999997E-4</v>
      </c>
      <c r="K198" s="27">
        <v>4</v>
      </c>
      <c r="L198" s="38">
        <v>-6.7500000000000004E-4</v>
      </c>
      <c r="M198" s="27" t="s">
        <v>65</v>
      </c>
      <c r="O198" s="27" t="s">
        <v>330</v>
      </c>
      <c r="P198" s="27">
        <v>15</v>
      </c>
      <c r="Q198" s="27" t="s">
        <v>131</v>
      </c>
      <c r="R198" s="27" t="s">
        <v>380</v>
      </c>
      <c r="S198" s="27" t="s">
        <v>333</v>
      </c>
      <c r="T198" s="27" t="s">
        <v>63</v>
      </c>
      <c r="U198" s="27">
        <v>10</v>
      </c>
      <c r="V198" s="27">
        <v>7</v>
      </c>
      <c r="W198" s="37">
        <v>-6.6799999999999997E-4</v>
      </c>
      <c r="X198" s="27">
        <v>4</v>
      </c>
      <c r="Y198" s="38">
        <v>-6.7599999999999995E-4</v>
      </c>
      <c r="Z198" s="27" t="s">
        <v>65</v>
      </c>
    </row>
    <row r="199" spans="2:26" x14ac:dyDescent="0.2">
      <c r="B199" s="27" t="s">
        <v>330</v>
      </c>
      <c r="C199" s="27">
        <v>15</v>
      </c>
      <c r="D199" s="27" t="s">
        <v>131</v>
      </c>
      <c r="E199" s="27" t="s">
        <v>107</v>
      </c>
      <c r="F199" s="27" t="s">
        <v>334</v>
      </c>
      <c r="G199" s="27" t="s">
        <v>64</v>
      </c>
      <c r="H199" s="27">
        <v>60</v>
      </c>
      <c r="I199" s="27">
        <v>12</v>
      </c>
      <c r="J199" s="37">
        <v>-2.7700000000000001E-4</v>
      </c>
      <c r="K199" s="27">
        <v>3</v>
      </c>
      <c r="L199" s="38">
        <v>-2.7799999999999998E-4</v>
      </c>
      <c r="M199" s="27" t="s">
        <v>65</v>
      </c>
      <c r="O199" s="27" t="s">
        <v>330</v>
      </c>
      <c r="P199" s="27">
        <v>15</v>
      </c>
      <c r="Q199" s="27" t="s">
        <v>131</v>
      </c>
      <c r="R199" s="27" t="s">
        <v>380</v>
      </c>
      <c r="S199" s="27" t="s">
        <v>334</v>
      </c>
      <c r="T199" s="27" t="s">
        <v>64</v>
      </c>
      <c r="U199" s="27">
        <v>10</v>
      </c>
      <c r="V199" s="27">
        <v>12</v>
      </c>
      <c r="W199" s="37">
        <v>-2.7799999999999998E-4</v>
      </c>
      <c r="X199" s="27">
        <v>3</v>
      </c>
      <c r="Y199" s="38">
        <v>-2.7900000000000001E-4</v>
      </c>
      <c r="Z199" s="27" t="s">
        <v>65</v>
      </c>
    </row>
    <row r="200" spans="2:26" x14ac:dyDescent="0.2">
      <c r="B200" s="27" t="s">
        <v>330</v>
      </c>
      <c r="C200" s="27">
        <v>11</v>
      </c>
      <c r="D200" s="27" t="s">
        <v>132</v>
      </c>
      <c r="E200" s="27" t="s">
        <v>107</v>
      </c>
      <c r="F200" s="27" t="s">
        <v>335</v>
      </c>
      <c r="G200" s="27" t="s">
        <v>63</v>
      </c>
      <c r="H200" s="27">
        <v>60</v>
      </c>
      <c r="I200" s="27">
        <v>7</v>
      </c>
      <c r="J200" s="37">
        <v>-4.2200000000000001E-4</v>
      </c>
      <c r="K200" s="27">
        <v>6</v>
      </c>
      <c r="L200" s="38">
        <v>-3.77E-4</v>
      </c>
      <c r="M200" s="27" t="s">
        <v>65</v>
      </c>
      <c r="O200" s="27" t="s">
        <v>330</v>
      </c>
      <c r="P200" s="27">
        <v>11</v>
      </c>
      <c r="Q200" s="27" t="s">
        <v>132</v>
      </c>
      <c r="R200" s="27" t="s">
        <v>380</v>
      </c>
      <c r="S200" s="27" t="s">
        <v>335</v>
      </c>
      <c r="T200" s="27" t="s">
        <v>63</v>
      </c>
      <c r="U200" s="27">
        <v>10</v>
      </c>
      <c r="V200" s="27">
        <v>7</v>
      </c>
      <c r="W200" s="37">
        <v>-4.2099999999999999E-4</v>
      </c>
      <c r="X200" s="27">
        <v>4</v>
      </c>
      <c r="Y200" s="38">
        <v>-3.77E-4</v>
      </c>
      <c r="Z200" s="27" t="s">
        <v>65</v>
      </c>
    </row>
    <row r="201" spans="2:26" x14ac:dyDescent="0.2">
      <c r="B201" s="27" t="s">
        <v>330</v>
      </c>
      <c r="C201" s="27">
        <v>11</v>
      </c>
      <c r="D201" s="27" t="s">
        <v>132</v>
      </c>
      <c r="E201" s="27" t="s">
        <v>107</v>
      </c>
      <c r="F201" s="27" t="s">
        <v>336</v>
      </c>
      <c r="G201" s="27" t="s">
        <v>64</v>
      </c>
      <c r="H201" s="27">
        <v>60</v>
      </c>
      <c r="I201" s="27">
        <v>9</v>
      </c>
      <c r="J201" s="37">
        <v>-1.9799999999999999E-4</v>
      </c>
      <c r="K201" s="27">
        <v>2</v>
      </c>
      <c r="L201" s="38">
        <v>-1.8900000000000001E-4</v>
      </c>
      <c r="M201" s="27" t="s">
        <v>65</v>
      </c>
      <c r="O201" s="27" t="s">
        <v>330</v>
      </c>
      <c r="P201" s="27">
        <v>11</v>
      </c>
      <c r="Q201" s="27" t="s">
        <v>132</v>
      </c>
      <c r="R201" s="27" t="s">
        <v>380</v>
      </c>
      <c r="S201" s="27" t="s">
        <v>336</v>
      </c>
      <c r="T201" s="27" t="s">
        <v>64</v>
      </c>
      <c r="U201" s="27">
        <v>10</v>
      </c>
      <c r="V201" s="27">
        <v>9</v>
      </c>
      <c r="W201" s="37">
        <v>-1.9699999999999999E-4</v>
      </c>
      <c r="X201" s="27">
        <v>1</v>
      </c>
      <c r="Y201" s="38">
        <v>-1.8900000000000001E-4</v>
      </c>
      <c r="Z201" s="27" t="s">
        <v>65</v>
      </c>
    </row>
    <row r="202" spans="2:26" x14ac:dyDescent="0.2">
      <c r="B202" s="27" t="s">
        <v>330</v>
      </c>
      <c r="C202" s="27">
        <v>12</v>
      </c>
      <c r="D202" s="27" t="s">
        <v>132</v>
      </c>
      <c r="E202" s="27" t="s">
        <v>107</v>
      </c>
      <c r="F202" s="27" t="s">
        <v>337</v>
      </c>
      <c r="G202" s="27" t="s">
        <v>63</v>
      </c>
      <c r="H202" s="27">
        <v>60</v>
      </c>
      <c r="I202" s="27">
        <v>7</v>
      </c>
      <c r="J202" s="37">
        <v>-4.2200000000000001E-4</v>
      </c>
      <c r="K202" s="27">
        <v>6</v>
      </c>
      <c r="L202" s="38">
        <v>-3.77E-4</v>
      </c>
      <c r="M202" s="27" t="s">
        <v>65</v>
      </c>
      <c r="O202" s="27" t="s">
        <v>330</v>
      </c>
      <c r="P202" s="27">
        <v>12</v>
      </c>
      <c r="Q202" s="27" t="s">
        <v>132</v>
      </c>
      <c r="R202" s="27" t="s">
        <v>380</v>
      </c>
      <c r="S202" s="27" t="s">
        <v>337</v>
      </c>
      <c r="T202" s="27" t="s">
        <v>63</v>
      </c>
      <c r="U202" s="27">
        <v>10</v>
      </c>
      <c r="V202" s="27">
        <v>7</v>
      </c>
      <c r="W202" s="37">
        <v>-4.2099999999999999E-4</v>
      </c>
      <c r="X202" s="27">
        <v>4</v>
      </c>
      <c r="Y202" s="38">
        <v>-3.7599999999999998E-4</v>
      </c>
      <c r="Z202" s="27" t="s">
        <v>65</v>
      </c>
    </row>
    <row r="203" spans="2:26" x14ac:dyDescent="0.2">
      <c r="B203" s="27" t="s">
        <v>330</v>
      </c>
      <c r="C203" s="27">
        <v>12</v>
      </c>
      <c r="D203" s="27" t="s">
        <v>132</v>
      </c>
      <c r="E203" s="27" t="s">
        <v>107</v>
      </c>
      <c r="F203" s="27" t="s">
        <v>338</v>
      </c>
      <c r="G203" s="27" t="s">
        <v>64</v>
      </c>
      <c r="H203" s="27">
        <v>60</v>
      </c>
      <c r="I203" s="27">
        <v>9</v>
      </c>
      <c r="J203" s="37">
        <v>-1.9699999999999999E-4</v>
      </c>
      <c r="K203" s="27">
        <v>1</v>
      </c>
      <c r="L203" s="38">
        <v>-1.8900000000000001E-4</v>
      </c>
      <c r="M203" s="27" t="s">
        <v>65</v>
      </c>
      <c r="O203" s="27" t="s">
        <v>330</v>
      </c>
      <c r="P203" s="27">
        <v>12</v>
      </c>
      <c r="Q203" s="27" t="s">
        <v>132</v>
      </c>
      <c r="R203" s="27" t="s">
        <v>380</v>
      </c>
      <c r="S203" s="27" t="s">
        <v>338</v>
      </c>
      <c r="T203" s="27" t="s">
        <v>64</v>
      </c>
      <c r="U203" s="27">
        <v>10</v>
      </c>
      <c r="V203" s="27">
        <v>14</v>
      </c>
      <c r="W203" s="37">
        <v>-1.9799999999999999E-4</v>
      </c>
      <c r="X203" s="27">
        <v>1</v>
      </c>
      <c r="Y203" s="38">
        <v>-1.8900000000000001E-4</v>
      </c>
      <c r="Z203" s="27" t="s">
        <v>65</v>
      </c>
    </row>
    <row r="204" spans="2:26" x14ac:dyDescent="0.2">
      <c r="B204" s="27" t="s">
        <v>330</v>
      </c>
      <c r="C204" s="27">
        <v>16</v>
      </c>
      <c r="D204" s="27" t="s">
        <v>131</v>
      </c>
      <c r="E204" s="27" t="s">
        <v>107</v>
      </c>
      <c r="F204" s="27" t="s">
        <v>339</v>
      </c>
      <c r="G204" s="27" t="s">
        <v>63</v>
      </c>
      <c r="H204" s="27">
        <v>60</v>
      </c>
      <c r="I204" s="27">
        <v>12</v>
      </c>
      <c r="J204" s="37">
        <v>-6.6500000000000001E-4</v>
      </c>
      <c r="K204" s="27">
        <v>3</v>
      </c>
      <c r="L204" s="38">
        <v>-6.7199999999999996E-4</v>
      </c>
      <c r="M204" s="27" t="s">
        <v>65</v>
      </c>
      <c r="O204" s="27" t="s">
        <v>330</v>
      </c>
      <c r="P204" s="27">
        <v>16</v>
      </c>
      <c r="Q204" s="27" t="s">
        <v>131</v>
      </c>
      <c r="R204" s="27" t="s">
        <v>380</v>
      </c>
      <c r="S204" s="27" t="s">
        <v>339</v>
      </c>
      <c r="T204" s="27" t="s">
        <v>63</v>
      </c>
      <c r="U204" s="27">
        <v>10</v>
      </c>
      <c r="V204" s="27">
        <v>12</v>
      </c>
      <c r="W204" s="37">
        <v>-6.6500000000000001E-4</v>
      </c>
      <c r="X204" s="27">
        <v>3</v>
      </c>
      <c r="Y204" s="38">
        <v>-6.7199999999999996E-4</v>
      </c>
      <c r="Z204" s="27" t="s">
        <v>65</v>
      </c>
    </row>
    <row r="205" spans="2:26" x14ac:dyDescent="0.2">
      <c r="B205" s="27" t="s">
        <v>330</v>
      </c>
      <c r="C205" s="27">
        <v>16</v>
      </c>
      <c r="D205" s="27" t="s">
        <v>131</v>
      </c>
      <c r="E205" s="27" t="s">
        <v>107</v>
      </c>
      <c r="F205" s="27" t="s">
        <v>340</v>
      </c>
      <c r="G205" s="27" t="s">
        <v>64</v>
      </c>
      <c r="H205" s="27">
        <v>60</v>
      </c>
      <c r="I205" s="27">
        <v>7</v>
      </c>
      <c r="J205" s="37">
        <v>-2.7700000000000001E-4</v>
      </c>
      <c r="K205" s="27">
        <v>4</v>
      </c>
      <c r="L205" s="38">
        <v>-2.7799999999999998E-4</v>
      </c>
      <c r="M205" s="27" t="s">
        <v>65</v>
      </c>
      <c r="O205" s="27" t="s">
        <v>330</v>
      </c>
      <c r="P205" s="27">
        <v>16</v>
      </c>
      <c r="Q205" s="27" t="s">
        <v>131</v>
      </c>
      <c r="R205" s="27" t="s">
        <v>380</v>
      </c>
      <c r="S205" s="27" t="s">
        <v>340</v>
      </c>
      <c r="T205" s="27" t="s">
        <v>64</v>
      </c>
      <c r="U205" s="27">
        <v>10</v>
      </c>
      <c r="V205" s="27">
        <v>7</v>
      </c>
      <c r="W205" s="37">
        <v>-2.7700000000000001E-4</v>
      </c>
      <c r="X205" s="27">
        <v>4</v>
      </c>
      <c r="Y205" s="38">
        <v>-2.7799999999999998E-4</v>
      </c>
      <c r="Z205" s="27" t="s">
        <v>65</v>
      </c>
    </row>
    <row r="206" spans="2:26" x14ac:dyDescent="0.2">
      <c r="B206" s="27" t="s">
        <v>330</v>
      </c>
      <c r="C206" s="27">
        <v>4</v>
      </c>
      <c r="D206" s="27" t="s">
        <v>130</v>
      </c>
      <c r="E206" s="27" t="s">
        <v>107</v>
      </c>
      <c r="F206" s="27" t="s">
        <v>341</v>
      </c>
      <c r="G206" s="27" t="s">
        <v>63</v>
      </c>
      <c r="H206" s="27">
        <v>60</v>
      </c>
      <c r="I206" s="27">
        <v>5</v>
      </c>
      <c r="J206" s="37">
        <v>-5.6599999999999999E-4</v>
      </c>
      <c r="K206" s="27">
        <v>4</v>
      </c>
      <c r="L206" s="38">
        <v>-5.1199999999999998E-4</v>
      </c>
      <c r="M206" s="27" t="s">
        <v>65</v>
      </c>
      <c r="O206" s="27" t="s">
        <v>330</v>
      </c>
      <c r="P206" s="27">
        <v>4</v>
      </c>
      <c r="Q206" s="27" t="s">
        <v>130</v>
      </c>
      <c r="R206" s="27" t="s">
        <v>380</v>
      </c>
      <c r="S206" s="27" t="s">
        <v>341</v>
      </c>
      <c r="T206" s="27" t="s">
        <v>63</v>
      </c>
      <c r="U206" s="27">
        <v>10</v>
      </c>
      <c r="V206" s="27">
        <v>5</v>
      </c>
      <c r="W206" s="37">
        <v>-5.6499999999999996E-4</v>
      </c>
      <c r="X206" s="27">
        <v>4</v>
      </c>
      <c r="Y206" s="38">
        <v>-5.1099999999999995E-4</v>
      </c>
      <c r="Z206" s="27" t="s">
        <v>65</v>
      </c>
    </row>
    <row r="207" spans="2:26" x14ac:dyDescent="0.2">
      <c r="B207" s="27" t="s">
        <v>330</v>
      </c>
      <c r="C207" s="27">
        <v>4</v>
      </c>
      <c r="D207" s="27" t="s">
        <v>130</v>
      </c>
      <c r="E207" s="27" t="s">
        <v>107</v>
      </c>
      <c r="F207" s="27" t="s">
        <v>342</v>
      </c>
      <c r="G207" s="27" t="s">
        <v>64</v>
      </c>
      <c r="H207" s="27">
        <v>60</v>
      </c>
      <c r="I207" s="27">
        <v>12</v>
      </c>
      <c r="J207" s="37">
        <v>-3.8699999999999997E-4</v>
      </c>
      <c r="K207" s="27">
        <v>1</v>
      </c>
      <c r="L207" s="38">
        <v>-3.6000000000000002E-4</v>
      </c>
      <c r="M207" s="27" t="s">
        <v>65</v>
      </c>
      <c r="O207" s="27" t="s">
        <v>330</v>
      </c>
      <c r="P207" s="27">
        <v>4</v>
      </c>
      <c r="Q207" s="27" t="s">
        <v>130</v>
      </c>
      <c r="R207" s="27" t="s">
        <v>380</v>
      </c>
      <c r="S207" s="27" t="s">
        <v>342</v>
      </c>
      <c r="T207" s="27" t="s">
        <v>64</v>
      </c>
      <c r="U207" s="27">
        <v>10</v>
      </c>
      <c r="V207" s="27">
        <v>12</v>
      </c>
      <c r="W207" s="37">
        <v>-3.8699999999999997E-4</v>
      </c>
      <c r="X207" s="27">
        <v>1</v>
      </c>
      <c r="Y207" s="38">
        <v>-3.6000000000000002E-4</v>
      </c>
      <c r="Z207" s="27" t="s">
        <v>65</v>
      </c>
    </row>
    <row r="208" spans="2:26" x14ac:dyDescent="0.2">
      <c r="B208" s="27" t="s">
        <v>330</v>
      </c>
      <c r="C208" s="27">
        <v>20</v>
      </c>
      <c r="D208" s="27" t="s">
        <v>131</v>
      </c>
      <c r="E208" s="27" t="s">
        <v>107</v>
      </c>
      <c r="F208" s="27" t="s">
        <v>343</v>
      </c>
      <c r="G208" s="27" t="s">
        <v>63</v>
      </c>
      <c r="H208" s="27">
        <v>60</v>
      </c>
      <c r="I208" s="27">
        <v>12</v>
      </c>
      <c r="J208" s="37">
        <v>-6.7100000000000005E-4</v>
      </c>
      <c r="K208" s="27">
        <v>3</v>
      </c>
      <c r="L208" s="38">
        <v>-6.7199999999999996E-4</v>
      </c>
      <c r="M208" s="27" t="s">
        <v>65</v>
      </c>
      <c r="O208" s="27" t="s">
        <v>330</v>
      </c>
      <c r="P208" s="27">
        <v>20</v>
      </c>
      <c r="Q208" s="27" t="s">
        <v>131</v>
      </c>
      <c r="R208" s="27" t="s">
        <v>380</v>
      </c>
      <c r="S208" s="27" t="s">
        <v>343</v>
      </c>
      <c r="T208" s="27" t="s">
        <v>63</v>
      </c>
      <c r="U208" s="27">
        <v>10</v>
      </c>
      <c r="V208" s="27">
        <v>12</v>
      </c>
      <c r="W208" s="37">
        <v>-6.7299999999999999E-4</v>
      </c>
      <c r="X208" s="27">
        <v>3</v>
      </c>
      <c r="Y208" s="38">
        <v>-6.7400000000000001E-4</v>
      </c>
      <c r="Z208" s="27" t="s">
        <v>65</v>
      </c>
    </row>
    <row r="209" spans="2:26" x14ac:dyDescent="0.2">
      <c r="B209" s="27" t="s">
        <v>330</v>
      </c>
      <c r="C209" s="27">
        <v>20</v>
      </c>
      <c r="D209" s="27" t="s">
        <v>131</v>
      </c>
      <c r="E209" s="27" t="s">
        <v>107</v>
      </c>
      <c r="F209" s="27" t="s">
        <v>344</v>
      </c>
      <c r="G209" s="27" t="s">
        <v>64</v>
      </c>
      <c r="H209" s="27">
        <v>60</v>
      </c>
      <c r="I209" s="27">
        <v>7</v>
      </c>
      <c r="J209" s="37">
        <v>-3.6499999999999998E-4</v>
      </c>
      <c r="K209" s="27">
        <v>4</v>
      </c>
      <c r="L209" s="38">
        <v>-3.5799999999999997E-4</v>
      </c>
      <c r="M209" s="27" t="s">
        <v>65</v>
      </c>
      <c r="O209" s="27" t="s">
        <v>330</v>
      </c>
      <c r="P209" s="27">
        <v>20</v>
      </c>
      <c r="Q209" s="27" t="s">
        <v>131</v>
      </c>
      <c r="R209" s="27" t="s">
        <v>380</v>
      </c>
      <c r="S209" s="27" t="s">
        <v>344</v>
      </c>
      <c r="T209" s="27" t="s">
        <v>64</v>
      </c>
      <c r="U209" s="27">
        <v>10</v>
      </c>
      <c r="V209" s="27">
        <v>7</v>
      </c>
      <c r="W209" s="37">
        <v>-3.6499999999999998E-4</v>
      </c>
      <c r="X209" s="27">
        <v>4</v>
      </c>
      <c r="Y209" s="38">
        <v>-3.59E-4</v>
      </c>
      <c r="Z209" s="27" t="s">
        <v>65</v>
      </c>
    </row>
    <row r="210" spans="2:26" x14ac:dyDescent="0.2">
      <c r="B210" s="27" t="s">
        <v>330</v>
      </c>
      <c r="C210" s="27">
        <v>5</v>
      </c>
      <c r="D210" s="27" t="s">
        <v>132</v>
      </c>
      <c r="E210" s="27" t="s">
        <v>107</v>
      </c>
      <c r="F210" s="27" t="s">
        <v>345</v>
      </c>
      <c r="G210" s="27" t="s">
        <v>63</v>
      </c>
      <c r="H210" s="27">
        <v>60</v>
      </c>
      <c r="I210" s="27">
        <v>7</v>
      </c>
      <c r="J210" s="37">
        <v>-4.64E-4</v>
      </c>
      <c r="K210" s="27">
        <v>6</v>
      </c>
      <c r="L210" s="38">
        <v>-4.2499999999999998E-4</v>
      </c>
      <c r="M210" s="27" t="s">
        <v>65</v>
      </c>
      <c r="O210" s="27" t="s">
        <v>330</v>
      </c>
      <c r="P210" s="27">
        <v>5</v>
      </c>
      <c r="Q210" s="27" t="s">
        <v>132</v>
      </c>
      <c r="R210" s="27" t="s">
        <v>380</v>
      </c>
      <c r="S210" s="27" t="s">
        <v>345</v>
      </c>
      <c r="T210" s="27" t="s">
        <v>63</v>
      </c>
      <c r="U210" s="27">
        <v>10</v>
      </c>
      <c r="V210" s="27">
        <v>12</v>
      </c>
      <c r="W210" s="37">
        <v>-4.6500000000000003E-4</v>
      </c>
      <c r="X210" s="27">
        <v>4</v>
      </c>
      <c r="Y210" s="38">
        <v>-4.2499999999999998E-4</v>
      </c>
      <c r="Z210" s="27" t="s">
        <v>65</v>
      </c>
    </row>
    <row r="211" spans="2:26" x14ac:dyDescent="0.2">
      <c r="B211" s="27" t="s">
        <v>330</v>
      </c>
      <c r="C211" s="27">
        <v>5</v>
      </c>
      <c r="D211" s="27" t="s">
        <v>132</v>
      </c>
      <c r="E211" s="27" t="s">
        <v>107</v>
      </c>
      <c r="F211" s="27" t="s">
        <v>346</v>
      </c>
      <c r="G211" s="27" t="s">
        <v>64</v>
      </c>
      <c r="H211" s="27">
        <v>60</v>
      </c>
      <c r="I211" s="27">
        <v>12</v>
      </c>
      <c r="J211" s="37">
        <v>-2.2900000000000001E-4</v>
      </c>
      <c r="K211" s="27">
        <v>4</v>
      </c>
      <c r="L211" s="38">
        <v>-2.2800000000000001E-4</v>
      </c>
      <c r="M211" s="27" t="s">
        <v>65</v>
      </c>
      <c r="O211" s="27" t="s">
        <v>330</v>
      </c>
      <c r="P211" s="27">
        <v>5</v>
      </c>
      <c r="Q211" s="27" t="s">
        <v>132</v>
      </c>
      <c r="R211" s="27" t="s">
        <v>380</v>
      </c>
      <c r="S211" s="27" t="s">
        <v>346</v>
      </c>
      <c r="T211" s="27" t="s">
        <v>64</v>
      </c>
      <c r="U211" s="27">
        <v>10</v>
      </c>
      <c r="V211" s="27">
        <v>12</v>
      </c>
      <c r="W211" s="37">
        <v>-2.2900000000000001E-4</v>
      </c>
      <c r="X211" s="27">
        <v>4</v>
      </c>
      <c r="Y211" s="38">
        <v>-2.2800000000000001E-4</v>
      </c>
      <c r="Z211" s="27" t="s">
        <v>65</v>
      </c>
    </row>
    <row r="212" spans="2:26" x14ac:dyDescent="0.2">
      <c r="B212" s="27" t="s">
        <v>330</v>
      </c>
      <c r="C212" s="27">
        <v>23</v>
      </c>
      <c r="D212" s="27" t="s">
        <v>131</v>
      </c>
      <c r="E212" s="27" t="s">
        <v>107</v>
      </c>
      <c r="F212" s="27" t="s">
        <v>347</v>
      </c>
      <c r="G212" s="27" t="s">
        <v>63</v>
      </c>
      <c r="H212" s="27">
        <v>60</v>
      </c>
      <c r="I212" s="27">
        <v>12</v>
      </c>
      <c r="J212" s="37">
        <v>-7.0399999999999998E-4</v>
      </c>
      <c r="K212" s="27">
        <v>3</v>
      </c>
      <c r="L212" s="38">
        <v>-7.1000000000000002E-4</v>
      </c>
      <c r="M212" s="27" t="s">
        <v>65</v>
      </c>
      <c r="O212" s="27" t="s">
        <v>330</v>
      </c>
      <c r="P212" s="27">
        <v>23</v>
      </c>
      <c r="Q212" s="27" t="s">
        <v>131</v>
      </c>
      <c r="R212" s="27" t="s">
        <v>380</v>
      </c>
      <c r="S212" s="27" t="s">
        <v>347</v>
      </c>
      <c r="T212" s="27" t="s">
        <v>63</v>
      </c>
      <c r="U212" s="27">
        <v>10</v>
      </c>
      <c r="V212" s="27">
        <v>12</v>
      </c>
      <c r="W212" s="37">
        <v>-7.0600000000000003E-4</v>
      </c>
      <c r="X212" s="27">
        <v>3</v>
      </c>
      <c r="Y212" s="38">
        <v>-7.1199999999999996E-4</v>
      </c>
      <c r="Z212" s="27" t="s">
        <v>65</v>
      </c>
    </row>
    <row r="213" spans="2:26" x14ac:dyDescent="0.2">
      <c r="B213" s="27" t="s">
        <v>330</v>
      </c>
      <c r="C213" s="27">
        <v>23</v>
      </c>
      <c r="D213" s="27" t="s">
        <v>131</v>
      </c>
      <c r="E213" s="27" t="s">
        <v>107</v>
      </c>
      <c r="F213" s="27" t="s">
        <v>348</v>
      </c>
      <c r="G213" s="27" t="s">
        <v>64</v>
      </c>
      <c r="H213" s="27">
        <v>60</v>
      </c>
      <c r="I213" s="27">
        <v>7</v>
      </c>
      <c r="J213" s="37">
        <v>-3.79E-4</v>
      </c>
      <c r="K213" s="27">
        <v>4</v>
      </c>
      <c r="L213" s="38">
        <v>-3.8000000000000002E-4</v>
      </c>
      <c r="M213" s="27" t="s">
        <v>65</v>
      </c>
      <c r="O213" s="27" t="s">
        <v>330</v>
      </c>
      <c r="P213" s="27">
        <v>23</v>
      </c>
      <c r="Q213" s="27" t="s">
        <v>131</v>
      </c>
      <c r="R213" s="27" t="s">
        <v>380</v>
      </c>
      <c r="S213" s="27" t="s">
        <v>348</v>
      </c>
      <c r="T213" s="27" t="s">
        <v>64</v>
      </c>
      <c r="U213" s="27">
        <v>10</v>
      </c>
      <c r="V213" s="27">
        <v>7</v>
      </c>
      <c r="W213" s="37">
        <v>-3.79E-4</v>
      </c>
      <c r="X213" s="27">
        <v>4</v>
      </c>
      <c r="Y213" s="38">
        <v>-3.8000000000000002E-4</v>
      </c>
      <c r="Z213" s="27" t="s">
        <v>65</v>
      </c>
    </row>
    <row r="214" spans="2:26" x14ac:dyDescent="0.2">
      <c r="B214" s="27" t="s">
        <v>330</v>
      </c>
      <c r="C214" s="27">
        <v>24</v>
      </c>
      <c r="D214" s="27" t="s">
        <v>131</v>
      </c>
      <c r="E214" s="27" t="s">
        <v>107</v>
      </c>
      <c r="F214" s="27" t="s">
        <v>349</v>
      </c>
      <c r="G214" s="27" t="s">
        <v>63</v>
      </c>
      <c r="H214" s="27">
        <v>60</v>
      </c>
      <c r="I214" s="27">
        <v>7</v>
      </c>
      <c r="J214" s="37">
        <v>-7.0399999999999998E-4</v>
      </c>
      <c r="K214" s="27">
        <v>4</v>
      </c>
      <c r="L214" s="38">
        <v>-7.1000000000000002E-4</v>
      </c>
      <c r="M214" s="27" t="s">
        <v>65</v>
      </c>
      <c r="O214" s="27" t="s">
        <v>330</v>
      </c>
      <c r="P214" s="27">
        <v>24</v>
      </c>
      <c r="Q214" s="27" t="s">
        <v>131</v>
      </c>
      <c r="R214" s="27" t="s">
        <v>380</v>
      </c>
      <c r="S214" s="27" t="s">
        <v>349</v>
      </c>
      <c r="T214" s="27" t="s">
        <v>63</v>
      </c>
      <c r="U214" s="27">
        <v>10</v>
      </c>
      <c r="V214" s="27">
        <v>7</v>
      </c>
      <c r="W214" s="37">
        <v>-7.0299999999999996E-4</v>
      </c>
      <c r="X214" s="27">
        <v>4</v>
      </c>
      <c r="Y214" s="38">
        <v>-7.0899999999999999E-4</v>
      </c>
      <c r="Z214" s="27" t="s">
        <v>65</v>
      </c>
    </row>
    <row r="215" spans="2:26" x14ac:dyDescent="0.2">
      <c r="B215" s="27" t="s">
        <v>330</v>
      </c>
      <c r="C215" s="27">
        <v>24</v>
      </c>
      <c r="D215" s="27" t="s">
        <v>131</v>
      </c>
      <c r="E215" s="27" t="s">
        <v>107</v>
      </c>
      <c r="F215" s="27" t="s">
        <v>350</v>
      </c>
      <c r="G215" s="27" t="s">
        <v>64</v>
      </c>
      <c r="H215" s="27">
        <v>60</v>
      </c>
      <c r="I215" s="27">
        <v>12</v>
      </c>
      <c r="J215" s="37">
        <v>-3.79E-4</v>
      </c>
      <c r="K215" s="27">
        <v>3</v>
      </c>
      <c r="L215" s="38">
        <v>-3.8000000000000002E-4</v>
      </c>
      <c r="M215" s="27" t="s">
        <v>65</v>
      </c>
      <c r="O215" s="27" t="s">
        <v>330</v>
      </c>
      <c r="P215" s="27">
        <v>24</v>
      </c>
      <c r="Q215" s="27" t="s">
        <v>131</v>
      </c>
      <c r="R215" s="27" t="s">
        <v>380</v>
      </c>
      <c r="S215" s="27" t="s">
        <v>350</v>
      </c>
      <c r="T215" s="27" t="s">
        <v>64</v>
      </c>
      <c r="U215" s="27">
        <v>10</v>
      </c>
      <c r="V215" s="27">
        <v>12</v>
      </c>
      <c r="W215" s="37">
        <v>-3.79E-4</v>
      </c>
      <c r="X215" s="27">
        <v>3</v>
      </c>
      <c r="Y215" s="38">
        <v>-3.8000000000000002E-4</v>
      </c>
      <c r="Z215" s="27" t="s">
        <v>65</v>
      </c>
    </row>
    <row r="216" spans="2:26" x14ac:dyDescent="0.2">
      <c r="B216" s="27" t="s">
        <v>330</v>
      </c>
      <c r="C216" s="27">
        <v>7</v>
      </c>
      <c r="D216" s="27" t="s">
        <v>132</v>
      </c>
      <c r="E216" s="27" t="s">
        <v>107</v>
      </c>
      <c r="F216" s="27" t="s">
        <v>351</v>
      </c>
      <c r="G216" s="27" t="s">
        <v>63</v>
      </c>
      <c r="H216" s="27">
        <v>60</v>
      </c>
      <c r="I216" s="27">
        <v>10</v>
      </c>
      <c r="J216" s="37">
        <v>-4.6299999999999998E-4</v>
      </c>
      <c r="K216" s="27">
        <v>4</v>
      </c>
      <c r="L216" s="38">
        <v>-4.2400000000000001E-4</v>
      </c>
      <c r="M216" s="27" t="s">
        <v>65</v>
      </c>
      <c r="O216" s="27" t="s">
        <v>330</v>
      </c>
      <c r="P216" s="27">
        <v>7</v>
      </c>
      <c r="Q216" s="27" t="s">
        <v>132</v>
      </c>
      <c r="R216" s="27" t="s">
        <v>380</v>
      </c>
      <c r="S216" s="27" t="s">
        <v>351</v>
      </c>
      <c r="T216" s="27" t="s">
        <v>63</v>
      </c>
      <c r="U216" s="27">
        <v>10</v>
      </c>
      <c r="V216" s="27">
        <v>12</v>
      </c>
      <c r="W216" s="37">
        <v>-4.6500000000000003E-4</v>
      </c>
      <c r="X216" s="27">
        <v>4</v>
      </c>
      <c r="Y216" s="38">
        <v>-4.2499999999999998E-4</v>
      </c>
      <c r="Z216" s="27" t="s">
        <v>65</v>
      </c>
    </row>
    <row r="217" spans="2:26" x14ac:dyDescent="0.2">
      <c r="B217" s="27" t="s">
        <v>330</v>
      </c>
      <c r="C217" s="27">
        <v>7</v>
      </c>
      <c r="D217" s="27" t="s">
        <v>132</v>
      </c>
      <c r="E217" s="27" t="s">
        <v>107</v>
      </c>
      <c r="F217" s="27" t="s">
        <v>352</v>
      </c>
      <c r="G217" s="27" t="s">
        <v>64</v>
      </c>
      <c r="H217" s="27">
        <v>60</v>
      </c>
      <c r="I217" s="27">
        <v>7</v>
      </c>
      <c r="J217" s="37">
        <v>-2.2900000000000001E-4</v>
      </c>
      <c r="K217" s="27">
        <v>6</v>
      </c>
      <c r="L217" s="38">
        <v>-2.2800000000000001E-4</v>
      </c>
      <c r="M217" s="27" t="s">
        <v>65</v>
      </c>
      <c r="O217" s="27" t="s">
        <v>330</v>
      </c>
      <c r="P217" s="27">
        <v>7</v>
      </c>
      <c r="Q217" s="27" t="s">
        <v>132</v>
      </c>
      <c r="R217" s="27" t="s">
        <v>380</v>
      </c>
      <c r="S217" s="27" t="s">
        <v>352</v>
      </c>
      <c r="T217" s="27" t="s">
        <v>64</v>
      </c>
      <c r="U217" s="27">
        <v>10</v>
      </c>
      <c r="V217" s="27">
        <v>7</v>
      </c>
      <c r="W217" s="37">
        <v>-2.2800000000000001E-4</v>
      </c>
      <c r="X217" s="27">
        <v>6</v>
      </c>
      <c r="Y217" s="38">
        <v>-2.2699999999999999E-4</v>
      </c>
      <c r="Z217" s="27" t="s">
        <v>65</v>
      </c>
    </row>
    <row r="218" spans="2:26" x14ac:dyDescent="0.2">
      <c r="B218" s="27" t="s">
        <v>330</v>
      </c>
      <c r="C218" s="27">
        <v>18</v>
      </c>
      <c r="D218" s="27" t="s">
        <v>131</v>
      </c>
      <c r="E218" s="27" t="s">
        <v>107</v>
      </c>
      <c r="F218" s="27" t="s">
        <v>353</v>
      </c>
      <c r="G218" s="27" t="s">
        <v>63</v>
      </c>
      <c r="H218" s="27">
        <v>60</v>
      </c>
      <c r="I218" s="27">
        <v>7</v>
      </c>
      <c r="J218" s="37">
        <v>-6.69E-4</v>
      </c>
      <c r="K218" s="27">
        <v>4</v>
      </c>
      <c r="L218" s="38">
        <v>-6.7000000000000002E-4</v>
      </c>
      <c r="M218" s="27" t="s">
        <v>65</v>
      </c>
      <c r="O218" s="27" t="s">
        <v>330</v>
      </c>
      <c r="P218" s="27">
        <v>18</v>
      </c>
      <c r="Q218" s="27" t="s">
        <v>131</v>
      </c>
      <c r="R218" s="27" t="s">
        <v>380</v>
      </c>
      <c r="S218" s="27" t="s">
        <v>353</v>
      </c>
      <c r="T218" s="27" t="s">
        <v>63</v>
      </c>
      <c r="U218" s="27">
        <v>10</v>
      </c>
      <c r="V218" s="27">
        <v>7</v>
      </c>
      <c r="W218" s="37">
        <v>-6.6600000000000003E-4</v>
      </c>
      <c r="X218" s="27">
        <v>4</v>
      </c>
      <c r="Y218" s="38">
        <v>-6.6699999999999995E-4</v>
      </c>
      <c r="Z218" s="27" t="s">
        <v>65</v>
      </c>
    </row>
    <row r="219" spans="2:26" x14ac:dyDescent="0.2">
      <c r="B219" s="27" t="s">
        <v>330</v>
      </c>
      <c r="C219" s="27">
        <v>18</v>
      </c>
      <c r="D219" s="27" t="s">
        <v>131</v>
      </c>
      <c r="E219" s="27" t="s">
        <v>107</v>
      </c>
      <c r="F219" s="27" t="s">
        <v>354</v>
      </c>
      <c r="G219" s="27" t="s">
        <v>64</v>
      </c>
      <c r="H219" s="27">
        <v>60</v>
      </c>
      <c r="I219" s="27">
        <v>12</v>
      </c>
      <c r="J219" s="37">
        <v>-3.6400000000000001E-4</v>
      </c>
      <c r="K219" s="27">
        <v>3</v>
      </c>
      <c r="L219" s="38">
        <v>-3.5799999999999997E-4</v>
      </c>
      <c r="M219" s="27" t="s">
        <v>65</v>
      </c>
      <c r="O219" s="27" t="s">
        <v>330</v>
      </c>
      <c r="P219" s="27">
        <v>18</v>
      </c>
      <c r="Q219" s="27" t="s">
        <v>131</v>
      </c>
      <c r="R219" s="27" t="s">
        <v>380</v>
      </c>
      <c r="S219" s="27" t="s">
        <v>354</v>
      </c>
      <c r="T219" s="27" t="s">
        <v>64</v>
      </c>
      <c r="U219" s="27">
        <v>10</v>
      </c>
      <c r="V219" s="27">
        <v>12</v>
      </c>
      <c r="W219" s="37">
        <v>-3.6400000000000001E-4</v>
      </c>
      <c r="X219" s="27">
        <v>3</v>
      </c>
      <c r="Y219" s="38">
        <v>-3.57E-4</v>
      </c>
      <c r="Z219" s="27" t="s">
        <v>65</v>
      </c>
    </row>
    <row r="220" spans="2:26" x14ac:dyDescent="0.2">
      <c r="B220" s="27" t="s">
        <v>330</v>
      </c>
      <c r="C220" s="27">
        <v>19</v>
      </c>
      <c r="D220" s="27" t="s">
        <v>131</v>
      </c>
      <c r="E220" s="27" t="s">
        <v>107</v>
      </c>
      <c r="F220" s="27" t="s">
        <v>355</v>
      </c>
      <c r="G220" s="27" t="s">
        <v>63</v>
      </c>
      <c r="H220" s="27">
        <v>60</v>
      </c>
      <c r="I220" s="27">
        <v>12</v>
      </c>
      <c r="J220" s="37">
        <v>-6.7299999999999999E-4</v>
      </c>
      <c r="K220" s="27">
        <v>3</v>
      </c>
      <c r="L220" s="38">
        <v>-6.7400000000000001E-4</v>
      </c>
      <c r="M220" s="27" t="s">
        <v>65</v>
      </c>
      <c r="O220" s="27" t="s">
        <v>330</v>
      </c>
      <c r="P220" s="27">
        <v>19</v>
      </c>
      <c r="Q220" s="27" t="s">
        <v>131</v>
      </c>
      <c r="R220" s="27" t="s">
        <v>380</v>
      </c>
      <c r="S220" s="27" t="s">
        <v>355</v>
      </c>
      <c r="T220" s="27" t="s">
        <v>63</v>
      </c>
      <c r="U220" s="27">
        <v>10</v>
      </c>
      <c r="V220" s="27">
        <v>12</v>
      </c>
      <c r="W220" s="37">
        <v>-6.7599999999999995E-4</v>
      </c>
      <c r="X220" s="27">
        <v>3</v>
      </c>
      <c r="Y220" s="38">
        <v>-6.7699999999999998E-4</v>
      </c>
      <c r="Z220" s="27" t="s">
        <v>65</v>
      </c>
    </row>
    <row r="221" spans="2:26" x14ac:dyDescent="0.2">
      <c r="B221" s="27" t="s">
        <v>330</v>
      </c>
      <c r="C221" s="27">
        <v>19</v>
      </c>
      <c r="D221" s="27" t="s">
        <v>131</v>
      </c>
      <c r="E221" s="27" t="s">
        <v>107</v>
      </c>
      <c r="F221" s="27" t="s">
        <v>356</v>
      </c>
      <c r="G221" s="27" t="s">
        <v>64</v>
      </c>
      <c r="H221" s="27">
        <v>60</v>
      </c>
      <c r="I221" s="27">
        <v>7</v>
      </c>
      <c r="J221" s="37">
        <v>-3.6000000000000002E-4</v>
      </c>
      <c r="K221" s="27">
        <v>4</v>
      </c>
      <c r="L221" s="38">
        <v>-3.5300000000000002E-4</v>
      </c>
      <c r="M221" s="27" t="s">
        <v>65</v>
      </c>
      <c r="O221" s="27" t="s">
        <v>330</v>
      </c>
      <c r="P221" s="27">
        <v>19</v>
      </c>
      <c r="Q221" s="27" t="s">
        <v>131</v>
      </c>
      <c r="R221" s="27" t="s">
        <v>380</v>
      </c>
      <c r="S221" s="27" t="s">
        <v>356</v>
      </c>
      <c r="T221" s="27" t="s">
        <v>64</v>
      </c>
      <c r="U221" s="27">
        <v>10</v>
      </c>
      <c r="V221" s="27">
        <v>7</v>
      </c>
      <c r="W221" s="37">
        <v>-3.6000000000000002E-4</v>
      </c>
      <c r="X221" s="27">
        <v>4</v>
      </c>
      <c r="Y221" s="38">
        <v>-3.5300000000000002E-4</v>
      </c>
      <c r="Z221" s="27" t="s">
        <v>65</v>
      </c>
    </row>
    <row r="222" spans="2:26" x14ac:dyDescent="0.2">
      <c r="B222" s="27" t="s">
        <v>330</v>
      </c>
      <c r="C222" s="27">
        <v>6</v>
      </c>
      <c r="D222" s="27" t="s">
        <v>132</v>
      </c>
      <c r="E222" s="27" t="s">
        <v>107</v>
      </c>
      <c r="F222" s="27" t="s">
        <v>357</v>
      </c>
      <c r="G222" s="27" t="s">
        <v>63</v>
      </c>
      <c r="H222" s="27">
        <v>60</v>
      </c>
      <c r="I222" s="27">
        <v>7</v>
      </c>
      <c r="J222" s="37">
        <v>-4.66E-4</v>
      </c>
      <c r="K222" s="27">
        <v>4</v>
      </c>
      <c r="L222" s="38">
        <v>-4.26E-4</v>
      </c>
      <c r="M222" s="27" t="s">
        <v>65</v>
      </c>
      <c r="O222" s="27" t="s">
        <v>330</v>
      </c>
      <c r="P222" s="27">
        <v>6</v>
      </c>
      <c r="Q222" s="27" t="s">
        <v>132</v>
      </c>
      <c r="R222" s="27" t="s">
        <v>380</v>
      </c>
      <c r="S222" s="27" t="s">
        <v>357</v>
      </c>
      <c r="T222" s="27" t="s">
        <v>63</v>
      </c>
      <c r="U222" s="27">
        <v>10</v>
      </c>
      <c r="V222" s="27">
        <v>12</v>
      </c>
      <c r="W222" s="37">
        <v>-4.6900000000000002E-4</v>
      </c>
      <c r="X222" s="27">
        <v>4</v>
      </c>
      <c r="Y222" s="38">
        <v>-4.2900000000000002E-4</v>
      </c>
      <c r="Z222" s="27" t="s">
        <v>65</v>
      </c>
    </row>
    <row r="223" spans="2:26" x14ac:dyDescent="0.2">
      <c r="B223" s="27" t="s">
        <v>330</v>
      </c>
      <c r="C223" s="27">
        <v>6</v>
      </c>
      <c r="D223" s="27" t="s">
        <v>132</v>
      </c>
      <c r="E223" s="27" t="s">
        <v>107</v>
      </c>
      <c r="F223" s="27" t="s">
        <v>358</v>
      </c>
      <c r="G223" s="27" t="s">
        <v>64</v>
      </c>
      <c r="H223" s="27">
        <v>60</v>
      </c>
      <c r="I223" s="27">
        <v>12</v>
      </c>
      <c r="J223" s="37">
        <v>-2.2800000000000001E-4</v>
      </c>
      <c r="K223" s="27">
        <v>4</v>
      </c>
      <c r="L223" s="38">
        <v>-2.2699999999999999E-4</v>
      </c>
      <c r="M223" s="27" t="s">
        <v>65</v>
      </c>
      <c r="O223" s="27" t="s">
        <v>330</v>
      </c>
      <c r="P223" s="27">
        <v>6</v>
      </c>
      <c r="Q223" s="27" t="s">
        <v>132</v>
      </c>
      <c r="R223" s="27" t="s">
        <v>380</v>
      </c>
      <c r="S223" s="27" t="s">
        <v>358</v>
      </c>
      <c r="T223" s="27" t="s">
        <v>64</v>
      </c>
      <c r="U223" s="27">
        <v>10</v>
      </c>
      <c r="V223" s="27">
        <v>12</v>
      </c>
      <c r="W223" s="37">
        <v>-2.2800000000000001E-4</v>
      </c>
      <c r="X223" s="27">
        <v>4</v>
      </c>
      <c r="Y223" s="38">
        <v>-2.2699999999999999E-4</v>
      </c>
      <c r="Z223" s="27" t="s">
        <v>65</v>
      </c>
    </row>
    <row r="224" spans="2:26" x14ac:dyDescent="0.2">
      <c r="B224" s="27" t="s">
        <v>330</v>
      </c>
      <c r="C224" s="27">
        <v>21</v>
      </c>
      <c r="D224" s="27" t="s">
        <v>131</v>
      </c>
      <c r="E224" s="27" t="s">
        <v>107</v>
      </c>
      <c r="F224" s="27" t="s">
        <v>359</v>
      </c>
      <c r="G224" s="27" t="s">
        <v>63</v>
      </c>
      <c r="H224" s="27">
        <v>60</v>
      </c>
      <c r="I224" s="27">
        <v>12</v>
      </c>
      <c r="J224" s="37">
        <v>-7.0399999999999998E-4</v>
      </c>
      <c r="K224" s="27">
        <v>3</v>
      </c>
      <c r="L224" s="38">
        <v>-7.1000000000000002E-4</v>
      </c>
      <c r="M224" s="27" t="s">
        <v>65</v>
      </c>
      <c r="O224" s="27" t="s">
        <v>330</v>
      </c>
      <c r="P224" s="27">
        <v>21</v>
      </c>
      <c r="Q224" s="27" t="s">
        <v>131</v>
      </c>
      <c r="R224" s="27" t="s">
        <v>380</v>
      </c>
      <c r="S224" s="27" t="s">
        <v>359</v>
      </c>
      <c r="T224" s="27" t="s">
        <v>63</v>
      </c>
      <c r="U224" s="27">
        <v>10</v>
      </c>
      <c r="V224" s="27">
        <v>12</v>
      </c>
      <c r="W224" s="37">
        <v>-7.0699999999999995E-4</v>
      </c>
      <c r="X224" s="27">
        <v>3</v>
      </c>
      <c r="Y224" s="38">
        <v>-7.1199999999999996E-4</v>
      </c>
      <c r="Z224" s="27" t="s">
        <v>65</v>
      </c>
    </row>
    <row r="225" spans="2:26" x14ac:dyDescent="0.2">
      <c r="B225" s="27" t="s">
        <v>330</v>
      </c>
      <c r="C225" s="27">
        <v>21</v>
      </c>
      <c r="D225" s="27" t="s">
        <v>131</v>
      </c>
      <c r="E225" s="27" t="s">
        <v>107</v>
      </c>
      <c r="F225" s="27" t="s">
        <v>360</v>
      </c>
      <c r="G225" s="27" t="s">
        <v>64</v>
      </c>
      <c r="H225" s="27">
        <v>60</v>
      </c>
      <c r="I225" s="27">
        <v>7</v>
      </c>
      <c r="J225" s="37">
        <v>-3.7599999999999998E-4</v>
      </c>
      <c r="K225" s="27">
        <v>4</v>
      </c>
      <c r="L225" s="38">
        <v>-3.7800000000000003E-4</v>
      </c>
      <c r="M225" s="27" t="s">
        <v>65</v>
      </c>
      <c r="O225" s="27" t="s">
        <v>330</v>
      </c>
      <c r="P225" s="27">
        <v>21</v>
      </c>
      <c r="Q225" s="27" t="s">
        <v>131</v>
      </c>
      <c r="R225" s="27" t="s">
        <v>380</v>
      </c>
      <c r="S225" s="27" t="s">
        <v>360</v>
      </c>
      <c r="T225" s="27" t="s">
        <v>64</v>
      </c>
      <c r="U225" s="27">
        <v>10</v>
      </c>
      <c r="V225" s="27">
        <v>7</v>
      </c>
      <c r="W225" s="37">
        <v>-3.7599999999999998E-4</v>
      </c>
      <c r="X225" s="27">
        <v>4</v>
      </c>
      <c r="Y225" s="38">
        <v>-3.7800000000000003E-4</v>
      </c>
      <c r="Z225" s="27" t="s">
        <v>65</v>
      </c>
    </row>
    <row r="226" spans="2:26" x14ac:dyDescent="0.2">
      <c r="B226" s="27" t="s">
        <v>330</v>
      </c>
      <c r="C226" s="27">
        <v>22</v>
      </c>
      <c r="D226" s="27" t="s">
        <v>131</v>
      </c>
      <c r="E226" s="27" t="s">
        <v>107</v>
      </c>
      <c r="F226" s="27" t="s">
        <v>361</v>
      </c>
      <c r="G226" s="27" t="s">
        <v>63</v>
      </c>
      <c r="H226" s="27">
        <v>60</v>
      </c>
      <c r="I226" s="27">
        <v>7</v>
      </c>
      <c r="J226" s="37">
        <v>-7.0299999999999996E-4</v>
      </c>
      <c r="K226" s="27">
        <v>4</v>
      </c>
      <c r="L226" s="38">
        <v>-7.0899999999999999E-4</v>
      </c>
      <c r="M226" s="27" t="s">
        <v>65</v>
      </c>
      <c r="O226" s="27" t="s">
        <v>330</v>
      </c>
      <c r="P226" s="27">
        <v>22</v>
      </c>
      <c r="Q226" s="27" t="s">
        <v>131</v>
      </c>
      <c r="R226" s="27" t="s">
        <v>380</v>
      </c>
      <c r="S226" s="27" t="s">
        <v>361</v>
      </c>
      <c r="T226" s="27" t="s">
        <v>63</v>
      </c>
      <c r="U226" s="27">
        <v>10</v>
      </c>
      <c r="V226" s="27">
        <v>12</v>
      </c>
      <c r="W226" s="37">
        <v>-7.0299999999999996E-4</v>
      </c>
      <c r="X226" s="27">
        <v>3</v>
      </c>
      <c r="Y226" s="38">
        <v>-7.0899999999999999E-4</v>
      </c>
      <c r="Z226" s="27" t="s">
        <v>65</v>
      </c>
    </row>
    <row r="227" spans="2:26" x14ac:dyDescent="0.2">
      <c r="B227" s="27" t="s">
        <v>330</v>
      </c>
      <c r="C227" s="27">
        <v>22</v>
      </c>
      <c r="D227" s="27" t="s">
        <v>131</v>
      </c>
      <c r="E227" s="27" t="s">
        <v>107</v>
      </c>
      <c r="F227" s="27" t="s">
        <v>362</v>
      </c>
      <c r="G227" s="27" t="s">
        <v>64</v>
      </c>
      <c r="H227" s="27">
        <v>60</v>
      </c>
      <c r="I227" s="27">
        <v>12</v>
      </c>
      <c r="J227" s="37">
        <v>-3.7599999999999998E-4</v>
      </c>
      <c r="K227" s="27">
        <v>3</v>
      </c>
      <c r="L227" s="38">
        <v>-3.77E-4</v>
      </c>
      <c r="M227" s="27" t="s">
        <v>65</v>
      </c>
      <c r="O227" s="27" t="s">
        <v>330</v>
      </c>
      <c r="P227" s="27">
        <v>22</v>
      </c>
      <c r="Q227" s="27" t="s">
        <v>131</v>
      </c>
      <c r="R227" s="27" t="s">
        <v>380</v>
      </c>
      <c r="S227" s="27" t="s">
        <v>362</v>
      </c>
      <c r="T227" s="27" t="s">
        <v>64</v>
      </c>
      <c r="U227" s="27">
        <v>10</v>
      </c>
      <c r="V227" s="27">
        <v>12</v>
      </c>
      <c r="W227" s="37">
        <v>-3.7599999999999998E-4</v>
      </c>
      <c r="X227" s="27">
        <v>3</v>
      </c>
      <c r="Y227" s="38">
        <v>-3.77E-4</v>
      </c>
      <c r="Z227" s="27" t="s">
        <v>65</v>
      </c>
    </row>
    <row r="228" spans="2:26" x14ac:dyDescent="0.2">
      <c r="B228" s="27" t="s">
        <v>330</v>
      </c>
      <c r="C228" s="27">
        <v>8</v>
      </c>
      <c r="D228" s="27" t="s">
        <v>132</v>
      </c>
      <c r="E228" s="27" t="s">
        <v>107</v>
      </c>
      <c r="F228" s="27" t="s">
        <v>363</v>
      </c>
      <c r="G228" s="27" t="s">
        <v>63</v>
      </c>
      <c r="H228" s="27">
        <v>60</v>
      </c>
      <c r="I228" s="27">
        <v>12</v>
      </c>
      <c r="J228" s="37">
        <v>-4.66E-4</v>
      </c>
      <c r="K228" s="27">
        <v>4</v>
      </c>
      <c r="L228" s="38">
        <v>-4.2700000000000002E-4</v>
      </c>
      <c r="M228" s="27" t="s">
        <v>65</v>
      </c>
      <c r="O228" s="27" t="s">
        <v>330</v>
      </c>
      <c r="P228" s="27">
        <v>8</v>
      </c>
      <c r="Q228" s="27" t="s">
        <v>132</v>
      </c>
      <c r="R228" s="27" t="s">
        <v>380</v>
      </c>
      <c r="S228" s="27" t="s">
        <v>363</v>
      </c>
      <c r="T228" s="27" t="s">
        <v>63</v>
      </c>
      <c r="U228" s="27">
        <v>10</v>
      </c>
      <c r="V228" s="27">
        <v>12</v>
      </c>
      <c r="W228" s="37">
        <v>-4.6900000000000002E-4</v>
      </c>
      <c r="X228" s="27">
        <v>4</v>
      </c>
      <c r="Y228" s="38">
        <v>-4.2900000000000002E-4</v>
      </c>
      <c r="Z228" s="27" t="s">
        <v>65</v>
      </c>
    </row>
    <row r="229" spans="2:26" x14ac:dyDescent="0.2">
      <c r="B229" s="27" t="s">
        <v>330</v>
      </c>
      <c r="C229" s="27">
        <v>8</v>
      </c>
      <c r="D229" s="27" t="s">
        <v>132</v>
      </c>
      <c r="E229" s="27" t="s">
        <v>107</v>
      </c>
      <c r="F229" s="27" t="s">
        <v>364</v>
      </c>
      <c r="G229" s="27" t="s">
        <v>64</v>
      </c>
      <c r="H229" s="27">
        <v>60</v>
      </c>
      <c r="I229" s="27">
        <v>7</v>
      </c>
      <c r="J229" s="37">
        <v>-2.2699999999999999E-4</v>
      </c>
      <c r="K229" s="27">
        <v>6</v>
      </c>
      <c r="L229" s="38">
        <v>-2.2699999999999999E-4</v>
      </c>
      <c r="M229" s="27" t="s">
        <v>65</v>
      </c>
      <c r="O229" s="27" t="s">
        <v>330</v>
      </c>
      <c r="P229" s="27">
        <v>8</v>
      </c>
      <c r="Q229" s="27" t="s">
        <v>132</v>
      </c>
      <c r="R229" s="27" t="s">
        <v>380</v>
      </c>
      <c r="S229" s="27" t="s">
        <v>364</v>
      </c>
      <c r="T229" s="27" t="s">
        <v>64</v>
      </c>
      <c r="U229" s="27">
        <v>10</v>
      </c>
      <c r="V229" s="27">
        <v>7</v>
      </c>
      <c r="W229" s="37">
        <v>-2.2699999999999999E-4</v>
      </c>
      <c r="X229" s="27">
        <v>6</v>
      </c>
      <c r="Y229" s="38">
        <v>-2.2599999999999999E-4</v>
      </c>
      <c r="Z229" s="27" t="s">
        <v>65</v>
      </c>
    </row>
    <row r="230" spans="2:26" x14ac:dyDescent="0.2">
      <c r="B230" s="27" t="s">
        <v>330</v>
      </c>
      <c r="C230" s="27">
        <v>17</v>
      </c>
      <c r="D230" s="27" t="s">
        <v>131</v>
      </c>
      <c r="E230" s="27" t="s">
        <v>107</v>
      </c>
      <c r="F230" s="27" t="s">
        <v>365</v>
      </c>
      <c r="G230" s="27" t="s">
        <v>63</v>
      </c>
      <c r="H230" s="27">
        <v>60</v>
      </c>
      <c r="I230" s="27">
        <v>7</v>
      </c>
      <c r="J230" s="37">
        <v>-6.7000000000000002E-4</v>
      </c>
      <c r="K230" s="27">
        <v>4</v>
      </c>
      <c r="L230" s="38">
        <v>-6.7100000000000005E-4</v>
      </c>
      <c r="M230" s="27" t="s">
        <v>65</v>
      </c>
      <c r="O230" s="27" t="s">
        <v>330</v>
      </c>
      <c r="P230" s="27">
        <v>17</v>
      </c>
      <c r="Q230" s="27" t="s">
        <v>131</v>
      </c>
      <c r="R230" s="27" t="s">
        <v>380</v>
      </c>
      <c r="S230" s="27" t="s">
        <v>365</v>
      </c>
      <c r="T230" s="27" t="s">
        <v>63</v>
      </c>
      <c r="U230" s="27">
        <v>10</v>
      </c>
      <c r="V230" s="27">
        <v>7</v>
      </c>
      <c r="W230" s="37">
        <v>-6.6699999999999995E-4</v>
      </c>
      <c r="X230" s="27">
        <v>4</v>
      </c>
      <c r="Y230" s="38">
        <v>-6.6799999999999997E-4</v>
      </c>
      <c r="Z230" s="27" t="s">
        <v>65</v>
      </c>
    </row>
    <row r="231" spans="2:26" x14ac:dyDescent="0.2">
      <c r="B231" s="27" t="s">
        <v>330</v>
      </c>
      <c r="C231" s="27">
        <v>17</v>
      </c>
      <c r="D231" s="27" t="s">
        <v>131</v>
      </c>
      <c r="E231" s="27" t="s">
        <v>107</v>
      </c>
      <c r="F231" s="27" t="s">
        <v>366</v>
      </c>
      <c r="G231" s="27" t="s">
        <v>64</v>
      </c>
      <c r="H231" s="27">
        <v>60</v>
      </c>
      <c r="I231" s="27">
        <v>12</v>
      </c>
      <c r="J231" s="37">
        <v>-3.59E-4</v>
      </c>
      <c r="K231" s="27">
        <v>3</v>
      </c>
      <c r="L231" s="38">
        <v>-3.5199999999999999E-4</v>
      </c>
      <c r="M231" s="27" t="s">
        <v>65</v>
      </c>
      <c r="O231" s="27" t="s">
        <v>330</v>
      </c>
      <c r="P231" s="27">
        <v>17</v>
      </c>
      <c r="Q231" s="27" t="s">
        <v>131</v>
      </c>
      <c r="R231" s="27" t="s">
        <v>380</v>
      </c>
      <c r="S231" s="27" t="s">
        <v>366</v>
      </c>
      <c r="T231" s="27" t="s">
        <v>64</v>
      </c>
      <c r="U231" s="27">
        <v>10</v>
      </c>
      <c r="V231" s="27">
        <v>12</v>
      </c>
      <c r="W231" s="37">
        <v>-3.59E-4</v>
      </c>
      <c r="X231" s="27">
        <v>3</v>
      </c>
      <c r="Y231" s="38">
        <v>-3.5199999999999999E-4</v>
      </c>
      <c r="Z231" s="27" t="s">
        <v>65</v>
      </c>
    </row>
    <row r="232" spans="2:26" x14ac:dyDescent="0.2">
      <c r="B232" s="27" t="s">
        <v>330</v>
      </c>
      <c r="C232" s="27">
        <v>1</v>
      </c>
      <c r="D232" s="27" t="s">
        <v>130</v>
      </c>
      <c r="E232" s="27" t="s">
        <v>107</v>
      </c>
      <c r="F232" s="27" t="s">
        <v>367</v>
      </c>
      <c r="G232" s="27" t="s">
        <v>63</v>
      </c>
      <c r="H232" s="27">
        <v>60</v>
      </c>
      <c r="I232" s="27">
        <v>10</v>
      </c>
      <c r="J232" s="37">
        <v>-3.5799999999999997E-4</v>
      </c>
      <c r="K232" s="27">
        <v>3</v>
      </c>
      <c r="L232" s="38">
        <v>-3.2899999999999997E-4</v>
      </c>
      <c r="M232" s="27" t="s">
        <v>65</v>
      </c>
      <c r="O232" s="27" t="s">
        <v>330</v>
      </c>
      <c r="P232" s="27">
        <v>1</v>
      </c>
      <c r="Q232" s="27" t="s">
        <v>130</v>
      </c>
      <c r="R232" s="27" t="s">
        <v>380</v>
      </c>
      <c r="S232" s="27" t="s">
        <v>367</v>
      </c>
      <c r="T232" s="27" t="s">
        <v>63</v>
      </c>
      <c r="U232" s="27">
        <v>10</v>
      </c>
      <c r="V232" s="27">
        <v>10</v>
      </c>
      <c r="W232" s="37">
        <v>-3.6099999999999999E-4</v>
      </c>
      <c r="X232" s="27">
        <v>3</v>
      </c>
      <c r="Y232" s="38">
        <v>-3.3100000000000002E-4</v>
      </c>
      <c r="Z232" s="27" t="s">
        <v>65</v>
      </c>
    </row>
    <row r="233" spans="2:26" x14ac:dyDescent="0.2">
      <c r="B233" s="27" t="s">
        <v>330</v>
      </c>
      <c r="C233" s="27">
        <v>1</v>
      </c>
      <c r="D233" s="27" t="s">
        <v>130</v>
      </c>
      <c r="E233" s="27" t="s">
        <v>107</v>
      </c>
      <c r="F233" s="27" t="s">
        <v>368</v>
      </c>
      <c r="G233" s="27" t="s">
        <v>64</v>
      </c>
      <c r="H233" s="27">
        <v>60</v>
      </c>
      <c r="I233" s="27">
        <v>5</v>
      </c>
      <c r="J233" s="37">
        <v>-3.6999999999999999E-4</v>
      </c>
      <c r="K233" s="27">
        <v>4</v>
      </c>
      <c r="L233" s="38">
        <v>-3.3799999999999998E-4</v>
      </c>
      <c r="M233" s="27" t="s">
        <v>65</v>
      </c>
      <c r="O233" s="27" t="s">
        <v>330</v>
      </c>
      <c r="P233" s="27">
        <v>1</v>
      </c>
      <c r="Q233" s="27" t="s">
        <v>130</v>
      </c>
      <c r="R233" s="27" t="s">
        <v>380</v>
      </c>
      <c r="S233" s="27" t="s">
        <v>368</v>
      </c>
      <c r="T233" s="27" t="s">
        <v>64</v>
      </c>
      <c r="U233" s="27">
        <v>10</v>
      </c>
      <c r="V233" s="27">
        <v>5</v>
      </c>
      <c r="W233" s="37">
        <v>-3.6999999999999999E-4</v>
      </c>
      <c r="X233" s="27">
        <v>4</v>
      </c>
      <c r="Y233" s="38">
        <v>-3.39E-4</v>
      </c>
      <c r="Z233" s="27" t="s">
        <v>65</v>
      </c>
    </row>
    <row r="234" spans="2:26" x14ac:dyDescent="0.2">
      <c r="B234" s="27" t="s">
        <v>330</v>
      </c>
      <c r="C234" s="27">
        <v>13</v>
      </c>
      <c r="D234" s="27" t="s">
        <v>131</v>
      </c>
      <c r="E234" s="27" t="s">
        <v>107</v>
      </c>
      <c r="F234" s="27" t="s">
        <v>369</v>
      </c>
      <c r="G234" s="27" t="s">
        <v>63</v>
      </c>
      <c r="H234" s="27">
        <v>60</v>
      </c>
      <c r="I234" s="27">
        <v>7</v>
      </c>
      <c r="J234" s="37">
        <v>-5.8200000000000005E-4</v>
      </c>
      <c r="K234" s="27">
        <v>4</v>
      </c>
      <c r="L234" s="38">
        <v>-5.8900000000000001E-4</v>
      </c>
      <c r="M234" s="27" t="s">
        <v>65</v>
      </c>
      <c r="O234" s="27" t="s">
        <v>330</v>
      </c>
      <c r="P234" s="27">
        <v>13</v>
      </c>
      <c r="Q234" s="27" t="s">
        <v>131</v>
      </c>
      <c r="R234" s="27" t="s">
        <v>380</v>
      </c>
      <c r="S234" s="27" t="s">
        <v>369</v>
      </c>
      <c r="T234" s="27" t="s">
        <v>63</v>
      </c>
      <c r="U234" s="27">
        <v>10</v>
      </c>
      <c r="V234" s="27">
        <v>12</v>
      </c>
      <c r="W234" s="37">
        <v>-5.8299999999999997E-4</v>
      </c>
      <c r="X234" s="27">
        <v>3</v>
      </c>
      <c r="Y234" s="38">
        <v>-5.9000000000000003E-4</v>
      </c>
      <c r="Z234" s="27" t="s">
        <v>65</v>
      </c>
    </row>
    <row r="235" spans="2:26" x14ac:dyDescent="0.2">
      <c r="B235" s="27" t="s">
        <v>330</v>
      </c>
      <c r="C235" s="27">
        <v>13</v>
      </c>
      <c r="D235" s="27" t="s">
        <v>131</v>
      </c>
      <c r="E235" s="27" t="s">
        <v>107</v>
      </c>
      <c r="F235" s="27" t="s">
        <v>370</v>
      </c>
      <c r="G235" s="27" t="s">
        <v>64</v>
      </c>
      <c r="H235" s="27">
        <v>60</v>
      </c>
      <c r="I235" s="27">
        <v>12</v>
      </c>
      <c r="J235" s="37">
        <v>-3.4699999999999998E-4</v>
      </c>
      <c r="K235" s="27">
        <v>3</v>
      </c>
      <c r="L235" s="38">
        <v>-3.4900000000000003E-4</v>
      </c>
      <c r="M235" s="27" t="s">
        <v>65</v>
      </c>
      <c r="O235" s="27" t="s">
        <v>330</v>
      </c>
      <c r="P235" s="27">
        <v>13</v>
      </c>
      <c r="Q235" s="27" t="s">
        <v>131</v>
      </c>
      <c r="R235" s="27" t="s">
        <v>380</v>
      </c>
      <c r="S235" s="27" t="s">
        <v>370</v>
      </c>
      <c r="T235" s="27" t="s">
        <v>64</v>
      </c>
      <c r="U235" s="27">
        <v>10</v>
      </c>
      <c r="V235" s="27">
        <v>12</v>
      </c>
      <c r="W235" s="37">
        <v>-3.4699999999999998E-4</v>
      </c>
      <c r="X235" s="27">
        <v>3</v>
      </c>
      <c r="Y235" s="38">
        <v>-3.4900000000000003E-4</v>
      </c>
      <c r="Z235" s="27" t="s">
        <v>65</v>
      </c>
    </row>
    <row r="236" spans="2:26" x14ac:dyDescent="0.2">
      <c r="B236" s="27" t="s">
        <v>330</v>
      </c>
      <c r="C236" s="27">
        <v>9</v>
      </c>
      <c r="D236" s="27" t="s">
        <v>132</v>
      </c>
      <c r="E236" s="27" t="s">
        <v>107</v>
      </c>
      <c r="F236" s="27" t="s">
        <v>371</v>
      </c>
      <c r="G236" s="27" t="s">
        <v>63</v>
      </c>
      <c r="H236" s="27">
        <v>60</v>
      </c>
      <c r="I236" s="27">
        <v>12</v>
      </c>
      <c r="J236" s="37">
        <v>-2.9100000000000003E-4</v>
      </c>
      <c r="K236" s="27">
        <v>4</v>
      </c>
      <c r="L236" s="38">
        <v>-2.63E-4</v>
      </c>
      <c r="M236" s="27" t="s">
        <v>65</v>
      </c>
      <c r="O236" s="27" t="s">
        <v>330</v>
      </c>
      <c r="P236" s="27">
        <v>9</v>
      </c>
      <c r="Q236" s="27" t="s">
        <v>132</v>
      </c>
      <c r="R236" s="27" t="s">
        <v>380</v>
      </c>
      <c r="S236" s="27" t="s">
        <v>371</v>
      </c>
      <c r="T236" s="27" t="s">
        <v>63</v>
      </c>
      <c r="U236" s="27">
        <v>10</v>
      </c>
      <c r="V236" s="27">
        <v>12</v>
      </c>
      <c r="W236" s="37">
        <v>-2.9399999999999999E-4</v>
      </c>
      <c r="X236" s="27">
        <v>4</v>
      </c>
      <c r="Y236" s="38">
        <v>-2.6600000000000001E-4</v>
      </c>
      <c r="Z236" s="27" t="s">
        <v>65</v>
      </c>
    </row>
    <row r="237" spans="2:26" x14ac:dyDescent="0.2">
      <c r="B237" s="27" t="s">
        <v>330</v>
      </c>
      <c r="C237" s="27">
        <v>9</v>
      </c>
      <c r="D237" s="27" t="s">
        <v>132</v>
      </c>
      <c r="E237" s="27" t="s">
        <v>107</v>
      </c>
      <c r="F237" s="27" t="s">
        <v>372</v>
      </c>
      <c r="G237" s="27" t="s">
        <v>64</v>
      </c>
      <c r="H237" s="27">
        <v>60</v>
      </c>
      <c r="I237" s="27">
        <v>7</v>
      </c>
      <c r="J237" s="37">
        <v>-2.4499999999999999E-4</v>
      </c>
      <c r="K237" s="27">
        <v>4</v>
      </c>
      <c r="L237" s="38">
        <v>-2.24E-4</v>
      </c>
      <c r="M237" s="27" t="s">
        <v>65</v>
      </c>
      <c r="O237" s="27" t="s">
        <v>330</v>
      </c>
      <c r="P237" s="27">
        <v>9</v>
      </c>
      <c r="Q237" s="27" t="s">
        <v>132</v>
      </c>
      <c r="R237" s="27" t="s">
        <v>380</v>
      </c>
      <c r="S237" s="27" t="s">
        <v>372</v>
      </c>
      <c r="T237" s="27" t="s">
        <v>64</v>
      </c>
      <c r="U237" s="27">
        <v>10</v>
      </c>
      <c r="V237" s="27">
        <v>12</v>
      </c>
      <c r="W237" s="37">
        <v>-2.4600000000000002E-4</v>
      </c>
      <c r="X237" s="27">
        <v>4</v>
      </c>
      <c r="Y237" s="38">
        <v>-2.2499999999999999E-4</v>
      </c>
      <c r="Z237" s="27" t="s">
        <v>65</v>
      </c>
    </row>
    <row r="238" spans="2:26" x14ac:dyDescent="0.2">
      <c r="B238" s="27" t="s">
        <v>330</v>
      </c>
      <c r="C238" s="27">
        <v>10</v>
      </c>
      <c r="D238" s="27" t="s">
        <v>132</v>
      </c>
      <c r="E238" s="27" t="s">
        <v>107</v>
      </c>
      <c r="F238" s="27" t="s">
        <v>373</v>
      </c>
      <c r="G238" s="27" t="s">
        <v>63</v>
      </c>
      <c r="H238" s="27">
        <v>60</v>
      </c>
      <c r="I238" s="27">
        <v>12</v>
      </c>
      <c r="J238" s="37">
        <v>-2.9E-4</v>
      </c>
      <c r="K238" s="27">
        <v>4</v>
      </c>
      <c r="L238" s="38">
        <v>-2.6200000000000003E-4</v>
      </c>
      <c r="M238" s="27" t="s">
        <v>65</v>
      </c>
      <c r="O238" s="27" t="s">
        <v>330</v>
      </c>
      <c r="P238" s="27">
        <v>10</v>
      </c>
      <c r="Q238" s="27" t="s">
        <v>132</v>
      </c>
      <c r="R238" s="27" t="s">
        <v>380</v>
      </c>
      <c r="S238" s="27" t="s">
        <v>373</v>
      </c>
      <c r="T238" s="27" t="s">
        <v>63</v>
      </c>
      <c r="U238" s="27">
        <v>10</v>
      </c>
      <c r="V238" s="27">
        <v>12</v>
      </c>
      <c r="W238" s="37">
        <v>-2.9300000000000002E-4</v>
      </c>
      <c r="X238" s="27">
        <v>4</v>
      </c>
      <c r="Y238" s="38">
        <v>-2.6499999999999999E-4</v>
      </c>
      <c r="Z238" s="27" t="s">
        <v>65</v>
      </c>
    </row>
    <row r="239" spans="2:26" x14ac:dyDescent="0.2">
      <c r="B239" s="27" t="s">
        <v>330</v>
      </c>
      <c r="C239" s="27">
        <v>10</v>
      </c>
      <c r="D239" s="27" t="s">
        <v>132</v>
      </c>
      <c r="E239" s="27" t="s">
        <v>107</v>
      </c>
      <c r="F239" s="27" t="s">
        <v>374</v>
      </c>
      <c r="G239" s="27" t="s">
        <v>64</v>
      </c>
      <c r="H239" s="27">
        <v>60</v>
      </c>
      <c r="I239" s="27">
        <v>7</v>
      </c>
      <c r="J239" s="37">
        <v>-2.4499999999999999E-4</v>
      </c>
      <c r="K239" s="27">
        <v>4</v>
      </c>
      <c r="L239" s="38">
        <v>-2.24E-4</v>
      </c>
      <c r="M239" s="27" t="s">
        <v>65</v>
      </c>
      <c r="O239" s="27" t="s">
        <v>330</v>
      </c>
      <c r="P239" s="27">
        <v>10</v>
      </c>
      <c r="Q239" s="27" t="s">
        <v>132</v>
      </c>
      <c r="R239" s="27" t="s">
        <v>380</v>
      </c>
      <c r="S239" s="27" t="s">
        <v>374</v>
      </c>
      <c r="T239" s="27" t="s">
        <v>64</v>
      </c>
      <c r="U239" s="27">
        <v>10</v>
      </c>
      <c r="V239" s="27">
        <v>12</v>
      </c>
      <c r="W239" s="37">
        <v>-2.4600000000000002E-4</v>
      </c>
      <c r="X239" s="27">
        <v>4</v>
      </c>
      <c r="Y239" s="38">
        <v>-2.2499999999999999E-4</v>
      </c>
      <c r="Z239" s="27" t="s">
        <v>65</v>
      </c>
    </row>
    <row r="240" spans="2:26" x14ac:dyDescent="0.2">
      <c r="B240" s="27" t="s">
        <v>330</v>
      </c>
      <c r="C240" s="27">
        <v>14</v>
      </c>
      <c r="D240" s="27" t="s">
        <v>131</v>
      </c>
      <c r="E240" s="27" t="s">
        <v>107</v>
      </c>
      <c r="F240" s="27" t="s">
        <v>375</v>
      </c>
      <c r="G240" s="27" t="s">
        <v>63</v>
      </c>
      <c r="H240" s="27">
        <v>60</v>
      </c>
      <c r="I240" s="27">
        <v>12</v>
      </c>
      <c r="J240" s="37">
        <v>-5.8200000000000005E-4</v>
      </c>
      <c r="K240" s="27">
        <v>3</v>
      </c>
      <c r="L240" s="38">
        <v>-5.8799999999999998E-4</v>
      </c>
      <c r="M240" s="27" t="s">
        <v>65</v>
      </c>
      <c r="O240" s="27" t="s">
        <v>330</v>
      </c>
      <c r="P240" s="27">
        <v>14</v>
      </c>
      <c r="Q240" s="27" t="s">
        <v>131</v>
      </c>
      <c r="R240" s="27" t="s">
        <v>380</v>
      </c>
      <c r="S240" s="27" t="s">
        <v>375</v>
      </c>
      <c r="T240" s="27" t="s">
        <v>63</v>
      </c>
      <c r="U240" s="27">
        <v>10</v>
      </c>
      <c r="V240" s="27">
        <v>12</v>
      </c>
      <c r="W240" s="37">
        <v>-5.8299999999999997E-4</v>
      </c>
      <c r="X240" s="27">
        <v>3</v>
      </c>
      <c r="Y240" s="38">
        <v>-5.8900000000000001E-4</v>
      </c>
      <c r="Z240" s="27" t="s">
        <v>65</v>
      </c>
    </row>
    <row r="241" spans="2:26" x14ac:dyDescent="0.2">
      <c r="B241" s="27" t="s">
        <v>330</v>
      </c>
      <c r="C241" s="27">
        <v>14</v>
      </c>
      <c r="D241" s="27" t="s">
        <v>131</v>
      </c>
      <c r="E241" s="27" t="s">
        <v>107</v>
      </c>
      <c r="F241" s="27" t="s">
        <v>376</v>
      </c>
      <c r="G241" s="27" t="s">
        <v>64</v>
      </c>
      <c r="H241" s="27">
        <v>60</v>
      </c>
      <c r="I241" s="27">
        <v>7</v>
      </c>
      <c r="J241" s="37">
        <v>-3.4600000000000001E-4</v>
      </c>
      <c r="K241" s="27">
        <v>4</v>
      </c>
      <c r="L241" s="38">
        <v>-3.4900000000000003E-4</v>
      </c>
      <c r="M241" s="27" t="s">
        <v>65</v>
      </c>
      <c r="O241" s="27" t="s">
        <v>330</v>
      </c>
      <c r="P241" s="27">
        <v>14</v>
      </c>
      <c r="Q241" s="27" t="s">
        <v>131</v>
      </c>
      <c r="R241" s="27" t="s">
        <v>380</v>
      </c>
      <c r="S241" s="27" t="s">
        <v>376</v>
      </c>
      <c r="T241" s="27" t="s">
        <v>64</v>
      </c>
      <c r="U241" s="27">
        <v>10</v>
      </c>
      <c r="V241" s="27">
        <v>7</v>
      </c>
      <c r="W241" s="37">
        <v>-3.4600000000000001E-4</v>
      </c>
      <c r="X241" s="27">
        <v>4</v>
      </c>
      <c r="Y241" s="38">
        <v>-3.48E-4</v>
      </c>
      <c r="Z241" s="27" t="s">
        <v>65</v>
      </c>
    </row>
    <row r="242" spans="2:26" x14ac:dyDescent="0.2">
      <c r="B242" s="27" t="s">
        <v>330</v>
      </c>
      <c r="C242" s="27">
        <v>2</v>
      </c>
      <c r="D242" s="27" t="s">
        <v>130</v>
      </c>
      <c r="E242" s="27" t="s">
        <v>107</v>
      </c>
      <c r="F242" s="27" t="s">
        <v>377</v>
      </c>
      <c r="G242" s="27" t="s">
        <v>63</v>
      </c>
      <c r="H242" s="27">
        <v>60</v>
      </c>
      <c r="I242" s="27">
        <v>5</v>
      </c>
      <c r="J242" s="37">
        <v>-3.5599999999999998E-4</v>
      </c>
      <c r="K242" s="27">
        <v>4</v>
      </c>
      <c r="L242" s="38">
        <v>-3.2699999999999998E-4</v>
      </c>
      <c r="M242" s="27" t="s">
        <v>65</v>
      </c>
      <c r="O242" s="27" t="s">
        <v>330</v>
      </c>
      <c r="P242" s="27">
        <v>2</v>
      </c>
      <c r="Q242" s="27" t="s">
        <v>130</v>
      </c>
      <c r="R242" s="27" t="s">
        <v>380</v>
      </c>
      <c r="S242" s="27" t="s">
        <v>377</v>
      </c>
      <c r="T242" s="27" t="s">
        <v>63</v>
      </c>
      <c r="U242" s="27">
        <v>10</v>
      </c>
      <c r="V242" s="27">
        <v>5</v>
      </c>
      <c r="W242" s="37">
        <v>-3.5399999999999999E-4</v>
      </c>
      <c r="X242" s="27">
        <v>4</v>
      </c>
      <c r="Y242" s="38">
        <v>-3.2499999999999999E-4</v>
      </c>
      <c r="Z242" s="27" t="s">
        <v>65</v>
      </c>
    </row>
    <row r="243" spans="2:26" x14ac:dyDescent="0.2">
      <c r="B243" s="27" t="s">
        <v>330</v>
      </c>
      <c r="C243" s="27">
        <v>2</v>
      </c>
      <c r="D243" s="27" t="s">
        <v>130</v>
      </c>
      <c r="E243" s="27" t="s">
        <v>107</v>
      </c>
      <c r="F243" s="27" t="s">
        <v>378</v>
      </c>
      <c r="G243" s="27" t="s">
        <v>64</v>
      </c>
      <c r="H243" s="27">
        <v>60</v>
      </c>
      <c r="I243" s="27">
        <v>10</v>
      </c>
      <c r="J243" s="37">
        <v>-3.6999999999999999E-4</v>
      </c>
      <c r="K243" s="27">
        <v>3</v>
      </c>
      <c r="L243" s="38">
        <v>-3.3799999999999998E-4</v>
      </c>
      <c r="M243" s="27" t="s">
        <v>65</v>
      </c>
      <c r="O243" s="27" t="s">
        <v>330</v>
      </c>
      <c r="P243" s="27">
        <v>2</v>
      </c>
      <c r="Q243" s="27" t="s">
        <v>130</v>
      </c>
      <c r="R243" s="27" t="s">
        <v>380</v>
      </c>
      <c r="S243" s="27" t="s">
        <v>378</v>
      </c>
      <c r="T243" s="27" t="s">
        <v>64</v>
      </c>
      <c r="U243" s="27">
        <v>10</v>
      </c>
      <c r="V243" s="27">
        <v>10</v>
      </c>
      <c r="W243" s="37">
        <v>-3.6999999999999999E-4</v>
      </c>
      <c r="X243" s="27">
        <v>3</v>
      </c>
      <c r="Y243" s="38">
        <v>-3.3799999999999998E-4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1.5703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96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134</v>
      </c>
      <c r="C4" s="43">
        <v>229</v>
      </c>
      <c r="D4" s="43" t="s">
        <v>381</v>
      </c>
      <c r="E4" s="43" t="s">
        <v>106</v>
      </c>
      <c r="F4" s="43" t="s">
        <v>382</v>
      </c>
      <c r="G4" s="43" t="s">
        <v>383</v>
      </c>
      <c r="H4" s="43">
        <v>60</v>
      </c>
      <c r="I4" s="43">
        <v>-21.499400000000001</v>
      </c>
      <c r="J4" s="28">
        <v>-2.459E-7</v>
      </c>
      <c r="K4" s="43" t="s">
        <v>913</v>
      </c>
      <c r="L4" s="43" t="s">
        <v>65</v>
      </c>
      <c r="N4" s="43" t="s">
        <v>134</v>
      </c>
      <c r="O4" s="43">
        <v>229</v>
      </c>
      <c r="P4" s="43" t="s">
        <v>381</v>
      </c>
      <c r="Q4" s="43" t="s">
        <v>379</v>
      </c>
      <c r="R4" s="43" t="s">
        <v>382</v>
      </c>
      <c r="S4" s="43" t="s">
        <v>383</v>
      </c>
      <c r="T4" s="43">
        <v>10</v>
      </c>
      <c r="U4" s="43">
        <v>-21.479900000000001</v>
      </c>
      <c r="V4" s="28">
        <v>-2.4569999999999998E-7</v>
      </c>
      <c r="W4" s="43" t="s">
        <v>913</v>
      </c>
      <c r="X4" s="43" t="s">
        <v>65</v>
      </c>
    </row>
    <row r="5" spans="2:24" x14ac:dyDescent="0.2">
      <c r="B5" s="43" t="s">
        <v>134</v>
      </c>
      <c r="C5" s="43">
        <v>229</v>
      </c>
      <c r="D5" s="43" t="s">
        <v>381</v>
      </c>
      <c r="E5" s="43" t="s">
        <v>106</v>
      </c>
      <c r="F5" s="43" t="s">
        <v>384</v>
      </c>
      <c r="G5" s="43" t="s">
        <v>385</v>
      </c>
      <c r="H5" s="43">
        <v>60</v>
      </c>
      <c r="I5" s="43">
        <v>-6.1189</v>
      </c>
      <c r="J5" s="28">
        <v>-7.0000000000000005E-8</v>
      </c>
      <c r="K5" s="43" t="s">
        <v>913</v>
      </c>
      <c r="L5" s="43" t="s">
        <v>65</v>
      </c>
      <c r="N5" s="43" t="s">
        <v>134</v>
      </c>
      <c r="O5" s="43">
        <v>229</v>
      </c>
      <c r="P5" s="43" t="s">
        <v>381</v>
      </c>
      <c r="Q5" s="43" t="s">
        <v>379</v>
      </c>
      <c r="R5" s="43" t="s">
        <v>384</v>
      </c>
      <c r="S5" s="43" t="s">
        <v>385</v>
      </c>
      <c r="T5" s="43">
        <v>10</v>
      </c>
      <c r="U5" s="43">
        <v>-6.1388999999999996</v>
      </c>
      <c r="V5" s="28">
        <v>-7.0230000000000001E-8</v>
      </c>
      <c r="W5" s="43" t="s">
        <v>913</v>
      </c>
      <c r="X5" s="43" t="s">
        <v>65</v>
      </c>
    </row>
    <row r="6" spans="2:24" x14ac:dyDescent="0.2">
      <c r="B6" s="43" t="s">
        <v>134</v>
      </c>
      <c r="C6" s="43">
        <v>230</v>
      </c>
      <c r="D6" s="43" t="s">
        <v>386</v>
      </c>
      <c r="E6" s="43" t="s">
        <v>106</v>
      </c>
      <c r="F6" s="43" t="s">
        <v>387</v>
      </c>
      <c r="G6" s="43" t="s">
        <v>383</v>
      </c>
      <c r="H6" s="43">
        <v>60</v>
      </c>
      <c r="I6" s="43">
        <v>-28.739799999999999</v>
      </c>
      <c r="J6" s="28">
        <v>-3.1100000000000002E-7</v>
      </c>
      <c r="K6" s="43" t="s">
        <v>913</v>
      </c>
      <c r="L6" s="43" t="s">
        <v>65</v>
      </c>
      <c r="N6" s="43" t="s">
        <v>134</v>
      </c>
      <c r="O6" s="43">
        <v>230</v>
      </c>
      <c r="P6" s="43" t="s">
        <v>386</v>
      </c>
      <c r="Q6" s="43" t="s">
        <v>379</v>
      </c>
      <c r="R6" s="43" t="s">
        <v>387</v>
      </c>
      <c r="S6" s="43" t="s">
        <v>383</v>
      </c>
      <c r="T6" s="43">
        <v>10</v>
      </c>
      <c r="U6" s="43">
        <v>-28.717300000000002</v>
      </c>
      <c r="V6" s="28">
        <v>-3.108E-7</v>
      </c>
      <c r="W6" s="43" t="s">
        <v>913</v>
      </c>
      <c r="X6" s="43" t="s">
        <v>65</v>
      </c>
    </row>
    <row r="7" spans="2:24" x14ac:dyDescent="0.2">
      <c r="B7" s="43" t="s">
        <v>134</v>
      </c>
      <c r="C7" s="43">
        <v>230</v>
      </c>
      <c r="D7" s="43" t="s">
        <v>386</v>
      </c>
      <c r="E7" s="43" t="s">
        <v>106</v>
      </c>
      <c r="F7" s="43" t="s">
        <v>388</v>
      </c>
      <c r="G7" s="43" t="s">
        <v>385</v>
      </c>
      <c r="H7" s="43">
        <v>60</v>
      </c>
      <c r="I7" s="43">
        <v>3.1678999999999999</v>
      </c>
      <c r="J7" s="28">
        <v>3.428E-8</v>
      </c>
      <c r="K7" s="43" t="s">
        <v>913</v>
      </c>
      <c r="L7" s="43" t="s">
        <v>65</v>
      </c>
      <c r="N7" s="43" t="s">
        <v>134</v>
      </c>
      <c r="O7" s="43">
        <v>230</v>
      </c>
      <c r="P7" s="43" t="s">
        <v>386</v>
      </c>
      <c r="Q7" s="43" t="s">
        <v>379</v>
      </c>
      <c r="R7" s="43" t="s">
        <v>388</v>
      </c>
      <c r="S7" s="43" t="s">
        <v>385</v>
      </c>
      <c r="T7" s="43">
        <v>10</v>
      </c>
      <c r="U7" s="43">
        <v>3.1459000000000001</v>
      </c>
      <c r="V7" s="28">
        <v>3.4039999999999999E-8</v>
      </c>
      <c r="W7" s="43" t="s">
        <v>913</v>
      </c>
      <c r="X7" s="43" t="s">
        <v>65</v>
      </c>
    </row>
    <row r="8" spans="2:24" x14ac:dyDescent="0.2">
      <c r="B8" s="43" t="s">
        <v>134</v>
      </c>
      <c r="C8" s="43">
        <v>231</v>
      </c>
      <c r="D8" s="43" t="s">
        <v>386</v>
      </c>
      <c r="E8" s="43" t="s">
        <v>106</v>
      </c>
      <c r="F8" s="43" t="s">
        <v>389</v>
      </c>
      <c r="G8" s="43" t="s">
        <v>383</v>
      </c>
      <c r="H8" s="43">
        <v>60</v>
      </c>
      <c r="I8" s="43">
        <v>-24.1389</v>
      </c>
      <c r="J8" s="28">
        <v>-2.4629999999999998E-7</v>
      </c>
      <c r="K8" s="43" t="s">
        <v>913</v>
      </c>
      <c r="L8" s="43" t="s">
        <v>65</v>
      </c>
      <c r="N8" s="43" t="s">
        <v>134</v>
      </c>
      <c r="O8" s="43">
        <v>231</v>
      </c>
      <c r="P8" s="43" t="s">
        <v>386</v>
      </c>
      <c r="Q8" s="43" t="s">
        <v>379</v>
      </c>
      <c r="R8" s="43" t="s">
        <v>389</v>
      </c>
      <c r="S8" s="43" t="s">
        <v>383</v>
      </c>
      <c r="T8" s="43">
        <v>10</v>
      </c>
      <c r="U8" s="43">
        <v>-24.115400000000001</v>
      </c>
      <c r="V8" s="28">
        <v>-2.4600000000000001E-7</v>
      </c>
      <c r="W8" s="43" t="s">
        <v>913</v>
      </c>
      <c r="X8" s="43" t="s">
        <v>65</v>
      </c>
    </row>
    <row r="9" spans="2:24" x14ac:dyDescent="0.2">
      <c r="B9" s="43" t="s">
        <v>134</v>
      </c>
      <c r="C9" s="43">
        <v>231</v>
      </c>
      <c r="D9" s="43" t="s">
        <v>386</v>
      </c>
      <c r="E9" s="43" t="s">
        <v>106</v>
      </c>
      <c r="F9" s="43" t="s">
        <v>390</v>
      </c>
      <c r="G9" s="43" t="s">
        <v>385</v>
      </c>
      <c r="H9" s="43">
        <v>60</v>
      </c>
      <c r="I9" s="43">
        <v>4.0816999999999997</v>
      </c>
      <c r="J9" s="28">
        <v>4.1640000000000001E-8</v>
      </c>
      <c r="K9" s="43" t="s">
        <v>913</v>
      </c>
      <c r="L9" s="43" t="s">
        <v>65</v>
      </c>
      <c r="N9" s="43" t="s">
        <v>134</v>
      </c>
      <c r="O9" s="43">
        <v>231</v>
      </c>
      <c r="P9" s="43" t="s">
        <v>386</v>
      </c>
      <c r="Q9" s="43" t="s">
        <v>379</v>
      </c>
      <c r="R9" s="43" t="s">
        <v>390</v>
      </c>
      <c r="S9" s="43" t="s">
        <v>385</v>
      </c>
      <c r="T9" s="43">
        <v>10</v>
      </c>
      <c r="U9" s="43">
        <v>4.0583999999999998</v>
      </c>
      <c r="V9" s="28">
        <v>4.1409999999999998E-8</v>
      </c>
      <c r="W9" s="43" t="s">
        <v>913</v>
      </c>
      <c r="X9" s="43" t="s">
        <v>65</v>
      </c>
    </row>
    <row r="10" spans="2:24" x14ac:dyDescent="0.2">
      <c r="B10" s="43" t="s">
        <v>134</v>
      </c>
      <c r="C10" s="43">
        <v>232</v>
      </c>
      <c r="D10" s="43" t="s">
        <v>386</v>
      </c>
      <c r="E10" s="43" t="s">
        <v>106</v>
      </c>
      <c r="F10" s="43" t="s">
        <v>391</v>
      </c>
      <c r="G10" s="43" t="s">
        <v>383</v>
      </c>
      <c r="H10" s="43">
        <v>60</v>
      </c>
      <c r="I10" s="43">
        <v>-23.5837</v>
      </c>
      <c r="J10" s="28">
        <v>-2.5520000000000001E-7</v>
      </c>
      <c r="K10" s="43" t="s">
        <v>913</v>
      </c>
      <c r="L10" s="43" t="s">
        <v>65</v>
      </c>
      <c r="N10" s="43" t="s">
        <v>134</v>
      </c>
      <c r="O10" s="43">
        <v>232</v>
      </c>
      <c r="P10" s="43" t="s">
        <v>386</v>
      </c>
      <c r="Q10" s="43" t="s">
        <v>379</v>
      </c>
      <c r="R10" s="43" t="s">
        <v>391</v>
      </c>
      <c r="S10" s="43" t="s">
        <v>383</v>
      </c>
      <c r="T10" s="43">
        <v>10</v>
      </c>
      <c r="U10" s="43">
        <v>-23.561199999999999</v>
      </c>
      <c r="V10" s="28">
        <v>-2.5499999999999999E-7</v>
      </c>
      <c r="W10" s="43" t="s">
        <v>913</v>
      </c>
      <c r="X10" s="43" t="s">
        <v>65</v>
      </c>
    </row>
    <row r="11" spans="2:24" x14ac:dyDescent="0.2">
      <c r="B11" s="43" t="s">
        <v>134</v>
      </c>
      <c r="C11" s="43">
        <v>232</v>
      </c>
      <c r="D11" s="43" t="s">
        <v>386</v>
      </c>
      <c r="E11" s="43" t="s">
        <v>106</v>
      </c>
      <c r="F11" s="43" t="s">
        <v>392</v>
      </c>
      <c r="G11" s="43" t="s">
        <v>385</v>
      </c>
      <c r="H11" s="43">
        <v>60</v>
      </c>
      <c r="I11" s="43">
        <v>-1.6232</v>
      </c>
      <c r="J11" s="28">
        <v>-1.7570000000000001E-8</v>
      </c>
      <c r="K11" s="43" t="s">
        <v>913</v>
      </c>
      <c r="L11" s="43" t="s">
        <v>65</v>
      </c>
      <c r="N11" s="43" t="s">
        <v>134</v>
      </c>
      <c r="O11" s="43">
        <v>232</v>
      </c>
      <c r="P11" s="43" t="s">
        <v>386</v>
      </c>
      <c r="Q11" s="43" t="s">
        <v>379</v>
      </c>
      <c r="R11" s="43" t="s">
        <v>392</v>
      </c>
      <c r="S11" s="43" t="s">
        <v>385</v>
      </c>
      <c r="T11" s="43">
        <v>10</v>
      </c>
      <c r="U11" s="43">
        <v>-1.6455</v>
      </c>
      <c r="V11" s="28">
        <v>-1.7809999999999999E-8</v>
      </c>
      <c r="W11" s="43" t="s">
        <v>913</v>
      </c>
      <c r="X11" s="43" t="s">
        <v>65</v>
      </c>
    </row>
    <row r="12" spans="2:24" x14ac:dyDescent="0.2">
      <c r="B12" s="43" t="s">
        <v>134</v>
      </c>
      <c r="C12" s="43">
        <v>233</v>
      </c>
      <c r="D12" s="43" t="s">
        <v>393</v>
      </c>
      <c r="E12" s="43" t="s">
        <v>106</v>
      </c>
      <c r="F12" s="43" t="s">
        <v>394</v>
      </c>
      <c r="G12" s="43" t="s">
        <v>383</v>
      </c>
      <c r="H12" s="43">
        <v>60</v>
      </c>
      <c r="I12" s="43">
        <v>-28.790299999999998</v>
      </c>
      <c r="J12" s="28">
        <v>-3.2930000000000002E-7</v>
      </c>
      <c r="K12" s="43" t="s">
        <v>913</v>
      </c>
      <c r="L12" s="43" t="s">
        <v>65</v>
      </c>
      <c r="N12" s="43" t="s">
        <v>134</v>
      </c>
      <c r="O12" s="43">
        <v>233</v>
      </c>
      <c r="P12" s="43" t="s">
        <v>393</v>
      </c>
      <c r="Q12" s="43" t="s">
        <v>379</v>
      </c>
      <c r="R12" s="43" t="s">
        <v>394</v>
      </c>
      <c r="S12" s="43" t="s">
        <v>383</v>
      </c>
      <c r="T12" s="43">
        <v>10</v>
      </c>
      <c r="U12" s="43">
        <v>-28.7698</v>
      </c>
      <c r="V12" s="28">
        <v>-3.291E-7</v>
      </c>
      <c r="W12" s="43" t="s">
        <v>913</v>
      </c>
      <c r="X12" s="43" t="s">
        <v>65</v>
      </c>
    </row>
    <row r="13" spans="2:24" x14ac:dyDescent="0.2">
      <c r="B13" s="43" t="s">
        <v>134</v>
      </c>
      <c r="C13" s="43">
        <v>233</v>
      </c>
      <c r="D13" s="43" t="s">
        <v>393</v>
      </c>
      <c r="E13" s="43" t="s">
        <v>106</v>
      </c>
      <c r="F13" s="43" t="s">
        <v>395</v>
      </c>
      <c r="G13" s="43" t="s">
        <v>385</v>
      </c>
      <c r="H13" s="43">
        <v>60</v>
      </c>
      <c r="I13" s="43">
        <v>2.3449</v>
      </c>
      <c r="J13" s="28">
        <v>2.6820000000000001E-8</v>
      </c>
      <c r="K13" s="43" t="s">
        <v>913</v>
      </c>
      <c r="L13" s="43" t="s">
        <v>65</v>
      </c>
      <c r="N13" s="43" t="s">
        <v>134</v>
      </c>
      <c r="O13" s="43">
        <v>233</v>
      </c>
      <c r="P13" s="43" t="s">
        <v>393</v>
      </c>
      <c r="Q13" s="43" t="s">
        <v>379</v>
      </c>
      <c r="R13" s="43" t="s">
        <v>395</v>
      </c>
      <c r="S13" s="43" t="s">
        <v>385</v>
      </c>
      <c r="T13" s="43">
        <v>10</v>
      </c>
      <c r="U13" s="43">
        <v>2.3249</v>
      </c>
      <c r="V13" s="28">
        <v>2.66E-8</v>
      </c>
      <c r="W13" s="43" t="s">
        <v>913</v>
      </c>
      <c r="X13" s="43" t="s">
        <v>65</v>
      </c>
    </row>
    <row r="14" spans="2:24" x14ac:dyDescent="0.2">
      <c r="B14" s="43" t="s">
        <v>134</v>
      </c>
      <c r="C14" s="43">
        <v>211</v>
      </c>
      <c r="D14" s="43" t="s">
        <v>396</v>
      </c>
      <c r="E14" s="43" t="s">
        <v>106</v>
      </c>
      <c r="F14" s="43" t="s">
        <v>397</v>
      </c>
      <c r="G14" s="43" t="s">
        <v>383</v>
      </c>
      <c r="H14" s="43">
        <v>60</v>
      </c>
      <c r="I14" s="43">
        <v>-30.708400000000001</v>
      </c>
      <c r="J14" s="28">
        <v>-3.3669999999999999E-7</v>
      </c>
      <c r="K14" s="43" t="s">
        <v>913</v>
      </c>
      <c r="L14" s="43" t="s">
        <v>65</v>
      </c>
      <c r="N14" s="43" t="s">
        <v>134</v>
      </c>
      <c r="O14" s="43">
        <v>211</v>
      </c>
      <c r="P14" s="43" t="s">
        <v>396</v>
      </c>
      <c r="Q14" s="43" t="s">
        <v>379</v>
      </c>
      <c r="R14" s="43" t="s">
        <v>397</v>
      </c>
      <c r="S14" s="43" t="s">
        <v>383</v>
      </c>
      <c r="T14" s="43">
        <v>10</v>
      </c>
      <c r="U14" s="43">
        <v>-30.698599999999999</v>
      </c>
      <c r="V14" s="28">
        <v>-3.3659999999999998E-7</v>
      </c>
      <c r="W14" s="43" t="s">
        <v>913</v>
      </c>
      <c r="X14" s="43" t="s">
        <v>65</v>
      </c>
    </row>
    <row r="15" spans="2:24" x14ac:dyDescent="0.2">
      <c r="B15" s="43" t="s">
        <v>134</v>
      </c>
      <c r="C15" s="43">
        <v>211</v>
      </c>
      <c r="D15" s="43" t="s">
        <v>396</v>
      </c>
      <c r="E15" s="43" t="s">
        <v>106</v>
      </c>
      <c r="F15" s="43" t="s">
        <v>398</v>
      </c>
      <c r="G15" s="43" t="s">
        <v>385</v>
      </c>
      <c r="H15" s="43">
        <v>60</v>
      </c>
      <c r="I15" s="43">
        <v>-34.223799999999997</v>
      </c>
      <c r="J15" s="28">
        <v>-3.7529999999999998E-7</v>
      </c>
      <c r="K15" s="43" t="s">
        <v>913</v>
      </c>
      <c r="L15" s="43" t="s">
        <v>65</v>
      </c>
      <c r="N15" s="43" t="s">
        <v>134</v>
      </c>
      <c r="O15" s="43">
        <v>211</v>
      </c>
      <c r="P15" s="43" t="s">
        <v>396</v>
      </c>
      <c r="Q15" s="43" t="s">
        <v>379</v>
      </c>
      <c r="R15" s="43" t="s">
        <v>398</v>
      </c>
      <c r="S15" s="43" t="s">
        <v>385</v>
      </c>
      <c r="T15" s="43">
        <v>10</v>
      </c>
      <c r="U15" s="43">
        <v>-34.229599999999998</v>
      </c>
      <c r="V15" s="28">
        <v>-3.7539999999999999E-7</v>
      </c>
      <c r="W15" s="43" t="s">
        <v>913</v>
      </c>
      <c r="X15" s="43" t="s">
        <v>65</v>
      </c>
    </row>
    <row r="16" spans="2:24" x14ac:dyDescent="0.2">
      <c r="B16" s="43" t="s">
        <v>134</v>
      </c>
      <c r="C16" s="43">
        <v>214</v>
      </c>
      <c r="D16" s="43" t="s">
        <v>399</v>
      </c>
      <c r="E16" s="43" t="s">
        <v>106</v>
      </c>
      <c r="F16" s="43" t="s">
        <v>400</v>
      </c>
      <c r="G16" s="43" t="s">
        <v>383</v>
      </c>
      <c r="H16" s="43">
        <v>60</v>
      </c>
      <c r="I16" s="43">
        <v>-47.476199999999999</v>
      </c>
      <c r="J16" s="28">
        <v>-3.9789999999999998E-7</v>
      </c>
      <c r="K16" s="43" t="s">
        <v>913</v>
      </c>
      <c r="L16" s="43" t="s">
        <v>65</v>
      </c>
      <c r="N16" s="43" t="s">
        <v>134</v>
      </c>
      <c r="O16" s="43">
        <v>214</v>
      </c>
      <c r="P16" s="43" t="s">
        <v>399</v>
      </c>
      <c r="Q16" s="43" t="s">
        <v>379</v>
      </c>
      <c r="R16" s="43" t="s">
        <v>400</v>
      </c>
      <c r="S16" s="43" t="s">
        <v>383</v>
      </c>
      <c r="T16" s="43">
        <v>10</v>
      </c>
      <c r="U16" s="43">
        <v>-47.464399999999998</v>
      </c>
      <c r="V16" s="28">
        <v>-3.9779999999999998E-7</v>
      </c>
      <c r="W16" s="43" t="s">
        <v>913</v>
      </c>
      <c r="X16" s="43" t="s">
        <v>65</v>
      </c>
    </row>
    <row r="17" spans="2:24" x14ac:dyDescent="0.2">
      <c r="B17" s="43" t="s">
        <v>134</v>
      </c>
      <c r="C17" s="43">
        <v>214</v>
      </c>
      <c r="D17" s="43" t="s">
        <v>399</v>
      </c>
      <c r="E17" s="43" t="s">
        <v>106</v>
      </c>
      <c r="F17" s="43" t="s">
        <v>401</v>
      </c>
      <c r="G17" s="43" t="s">
        <v>385</v>
      </c>
      <c r="H17" s="43">
        <v>60</v>
      </c>
      <c r="I17" s="43">
        <v>-60.448399999999999</v>
      </c>
      <c r="J17" s="28">
        <v>-9.9999999999999995E-7</v>
      </c>
      <c r="K17" s="43" t="s">
        <v>913</v>
      </c>
      <c r="L17" s="43" t="s">
        <v>65</v>
      </c>
      <c r="N17" s="43" t="s">
        <v>134</v>
      </c>
      <c r="O17" s="43">
        <v>214</v>
      </c>
      <c r="P17" s="43" t="s">
        <v>399</v>
      </c>
      <c r="Q17" s="43" t="s">
        <v>379</v>
      </c>
      <c r="R17" s="43" t="s">
        <v>401</v>
      </c>
      <c r="S17" s="43" t="s">
        <v>385</v>
      </c>
      <c r="T17" s="43">
        <v>10</v>
      </c>
      <c r="U17" s="43">
        <v>-60.459099999999999</v>
      </c>
      <c r="V17" s="28">
        <v>-9.9999999999999995E-7</v>
      </c>
      <c r="W17" s="43" t="s">
        <v>913</v>
      </c>
      <c r="X17" s="43" t="s">
        <v>65</v>
      </c>
    </row>
    <row r="18" spans="2:24" x14ac:dyDescent="0.2">
      <c r="B18" s="43" t="s">
        <v>134</v>
      </c>
      <c r="C18" s="43">
        <v>217</v>
      </c>
      <c r="D18" s="43" t="s">
        <v>402</v>
      </c>
      <c r="E18" s="43" t="s">
        <v>106</v>
      </c>
      <c r="F18" s="43" t="s">
        <v>403</v>
      </c>
      <c r="G18" s="43" t="s">
        <v>383</v>
      </c>
      <c r="H18" s="43">
        <v>60</v>
      </c>
      <c r="I18" s="43">
        <v>-52.1342</v>
      </c>
      <c r="J18" s="28">
        <v>-4.3379999999999998E-7</v>
      </c>
      <c r="K18" s="43" t="s">
        <v>913</v>
      </c>
      <c r="L18" s="43" t="s">
        <v>65</v>
      </c>
      <c r="N18" s="43" t="s">
        <v>134</v>
      </c>
      <c r="O18" s="43">
        <v>217</v>
      </c>
      <c r="P18" s="43" t="s">
        <v>402</v>
      </c>
      <c r="Q18" s="43" t="s">
        <v>379</v>
      </c>
      <c r="R18" s="43" t="s">
        <v>403</v>
      </c>
      <c r="S18" s="43" t="s">
        <v>383</v>
      </c>
      <c r="T18" s="43">
        <v>10</v>
      </c>
      <c r="U18" s="43">
        <v>-52.123399999999997</v>
      </c>
      <c r="V18" s="28">
        <v>-4.3370000000000003E-7</v>
      </c>
      <c r="W18" s="43" t="s">
        <v>913</v>
      </c>
      <c r="X18" s="43" t="s">
        <v>65</v>
      </c>
    </row>
    <row r="19" spans="2:24" x14ac:dyDescent="0.2">
      <c r="B19" s="43" t="s">
        <v>134</v>
      </c>
      <c r="C19" s="43">
        <v>217</v>
      </c>
      <c r="D19" s="43" t="s">
        <v>402</v>
      </c>
      <c r="E19" s="43" t="s">
        <v>106</v>
      </c>
      <c r="F19" s="43" t="s">
        <v>404</v>
      </c>
      <c r="G19" s="43" t="s">
        <v>385</v>
      </c>
      <c r="H19" s="43">
        <v>60</v>
      </c>
      <c r="I19" s="43">
        <v>-50.206699999999998</v>
      </c>
      <c r="J19" s="28">
        <v>-4.178E-7</v>
      </c>
      <c r="K19" s="43" t="s">
        <v>913</v>
      </c>
      <c r="L19" s="43" t="s">
        <v>65</v>
      </c>
      <c r="N19" s="43" t="s">
        <v>134</v>
      </c>
      <c r="O19" s="43">
        <v>217</v>
      </c>
      <c r="P19" s="43" t="s">
        <v>402</v>
      </c>
      <c r="Q19" s="43" t="s">
        <v>379</v>
      </c>
      <c r="R19" s="43" t="s">
        <v>404</v>
      </c>
      <c r="S19" s="43" t="s">
        <v>385</v>
      </c>
      <c r="T19" s="43">
        <v>10</v>
      </c>
      <c r="U19" s="43">
        <v>-50.217700000000001</v>
      </c>
      <c r="V19" s="28">
        <v>-4.179E-7</v>
      </c>
      <c r="W19" s="43" t="s">
        <v>913</v>
      </c>
      <c r="X19" s="43" t="s">
        <v>65</v>
      </c>
    </row>
    <row r="20" spans="2:24" x14ac:dyDescent="0.2">
      <c r="B20" s="43" t="s">
        <v>134</v>
      </c>
      <c r="C20" s="43">
        <v>220</v>
      </c>
      <c r="D20" s="43" t="s">
        <v>405</v>
      </c>
      <c r="E20" s="43" t="s">
        <v>106</v>
      </c>
      <c r="F20" s="43" t="s">
        <v>406</v>
      </c>
      <c r="G20" s="43" t="s">
        <v>383</v>
      </c>
      <c r="H20" s="43">
        <v>60</v>
      </c>
      <c r="I20" s="43">
        <v>-51.8429</v>
      </c>
      <c r="J20" s="28">
        <v>-4.3140000000000001E-7</v>
      </c>
      <c r="K20" s="43" t="s">
        <v>913</v>
      </c>
      <c r="L20" s="43" t="s">
        <v>65</v>
      </c>
      <c r="N20" s="43" t="s">
        <v>134</v>
      </c>
      <c r="O20" s="43">
        <v>220</v>
      </c>
      <c r="P20" s="43" t="s">
        <v>405</v>
      </c>
      <c r="Q20" s="43" t="s">
        <v>379</v>
      </c>
      <c r="R20" s="43" t="s">
        <v>406</v>
      </c>
      <c r="S20" s="43" t="s">
        <v>383</v>
      </c>
      <c r="T20" s="43">
        <v>10</v>
      </c>
      <c r="U20" s="43">
        <v>-51.8324</v>
      </c>
      <c r="V20" s="28">
        <v>-4.313E-7</v>
      </c>
      <c r="W20" s="43" t="s">
        <v>913</v>
      </c>
      <c r="X20" s="43" t="s">
        <v>65</v>
      </c>
    </row>
    <row r="21" spans="2:24" x14ac:dyDescent="0.2">
      <c r="B21" s="43" t="s">
        <v>134</v>
      </c>
      <c r="C21" s="43">
        <v>220</v>
      </c>
      <c r="D21" s="43" t="s">
        <v>405</v>
      </c>
      <c r="E21" s="43" t="s">
        <v>106</v>
      </c>
      <c r="F21" s="43" t="s">
        <v>407</v>
      </c>
      <c r="G21" s="43" t="s">
        <v>385</v>
      </c>
      <c r="H21" s="43">
        <v>60</v>
      </c>
      <c r="I21" s="43">
        <v>-50.2254</v>
      </c>
      <c r="J21" s="28">
        <v>-4.1800000000000001E-7</v>
      </c>
      <c r="K21" s="43" t="s">
        <v>913</v>
      </c>
      <c r="L21" s="43" t="s">
        <v>65</v>
      </c>
      <c r="N21" s="43" t="s">
        <v>134</v>
      </c>
      <c r="O21" s="43">
        <v>220</v>
      </c>
      <c r="P21" s="43" t="s">
        <v>405</v>
      </c>
      <c r="Q21" s="43" t="s">
        <v>379</v>
      </c>
      <c r="R21" s="43" t="s">
        <v>407</v>
      </c>
      <c r="S21" s="43" t="s">
        <v>385</v>
      </c>
      <c r="T21" s="43">
        <v>10</v>
      </c>
      <c r="U21" s="43">
        <v>-50.235999999999997</v>
      </c>
      <c r="V21" s="28">
        <v>-4.1800000000000001E-7</v>
      </c>
      <c r="W21" s="43" t="s">
        <v>913</v>
      </c>
      <c r="X21" s="43" t="s">
        <v>65</v>
      </c>
    </row>
    <row r="22" spans="2:24" x14ac:dyDescent="0.2">
      <c r="B22" s="43" t="s">
        <v>134</v>
      </c>
      <c r="C22" s="43">
        <v>223</v>
      </c>
      <c r="D22" s="43" t="s">
        <v>408</v>
      </c>
      <c r="E22" s="43" t="s">
        <v>106</v>
      </c>
      <c r="F22" s="43" t="s">
        <v>409</v>
      </c>
      <c r="G22" s="43" t="s">
        <v>383</v>
      </c>
      <c r="H22" s="43">
        <v>60</v>
      </c>
      <c r="I22" s="43">
        <v>-45.047899999999998</v>
      </c>
      <c r="J22" s="28">
        <v>-3.7749999999999999E-7</v>
      </c>
      <c r="K22" s="43" t="s">
        <v>913</v>
      </c>
      <c r="L22" s="43" t="s">
        <v>65</v>
      </c>
      <c r="N22" s="43" t="s">
        <v>134</v>
      </c>
      <c r="O22" s="43">
        <v>223</v>
      </c>
      <c r="P22" s="43" t="s">
        <v>408</v>
      </c>
      <c r="Q22" s="43" t="s">
        <v>379</v>
      </c>
      <c r="R22" s="43" t="s">
        <v>409</v>
      </c>
      <c r="S22" s="43" t="s">
        <v>383</v>
      </c>
      <c r="T22" s="43">
        <v>10</v>
      </c>
      <c r="U22" s="43">
        <v>-45.037199999999999</v>
      </c>
      <c r="V22" s="28">
        <v>-3.7749999999999999E-7</v>
      </c>
      <c r="W22" s="43" t="s">
        <v>913</v>
      </c>
      <c r="X22" s="43" t="s">
        <v>65</v>
      </c>
    </row>
    <row r="23" spans="2:24" x14ac:dyDescent="0.2">
      <c r="B23" s="43" t="s">
        <v>134</v>
      </c>
      <c r="C23" s="43">
        <v>223</v>
      </c>
      <c r="D23" s="43" t="s">
        <v>408</v>
      </c>
      <c r="E23" s="43" t="s">
        <v>106</v>
      </c>
      <c r="F23" s="43" t="s">
        <v>410</v>
      </c>
      <c r="G23" s="43" t="s">
        <v>385</v>
      </c>
      <c r="H23" s="43">
        <v>60</v>
      </c>
      <c r="I23" s="43">
        <v>-58.064300000000003</v>
      </c>
      <c r="J23" s="28">
        <v>-4.8660000000000003E-7</v>
      </c>
      <c r="K23" s="43" t="s">
        <v>913</v>
      </c>
      <c r="L23" s="43" t="s">
        <v>65</v>
      </c>
      <c r="N23" s="43" t="s">
        <v>134</v>
      </c>
      <c r="O23" s="43">
        <v>223</v>
      </c>
      <c r="P23" s="43" t="s">
        <v>408</v>
      </c>
      <c r="Q23" s="43" t="s">
        <v>379</v>
      </c>
      <c r="R23" s="43" t="s">
        <v>410</v>
      </c>
      <c r="S23" s="43" t="s">
        <v>385</v>
      </c>
      <c r="T23" s="43">
        <v>10</v>
      </c>
      <c r="U23" s="43">
        <v>-58.0749</v>
      </c>
      <c r="V23" s="28">
        <v>-4.8670000000000004E-7</v>
      </c>
      <c r="W23" s="43" t="s">
        <v>913</v>
      </c>
      <c r="X23" s="43" t="s">
        <v>65</v>
      </c>
    </row>
    <row r="24" spans="2:24" x14ac:dyDescent="0.2">
      <c r="B24" s="43" t="s">
        <v>134</v>
      </c>
      <c r="C24" s="43">
        <v>226</v>
      </c>
      <c r="D24" s="43" t="s">
        <v>411</v>
      </c>
      <c r="E24" s="43" t="s">
        <v>106</v>
      </c>
      <c r="F24" s="43" t="s">
        <v>412</v>
      </c>
      <c r="G24" s="43" t="s">
        <v>383</v>
      </c>
      <c r="H24" s="43">
        <v>60</v>
      </c>
      <c r="I24" s="43">
        <v>-26.610800000000001</v>
      </c>
      <c r="J24" s="28">
        <v>-2.9180000000000001E-7</v>
      </c>
      <c r="K24" s="43" t="s">
        <v>913</v>
      </c>
      <c r="L24" s="43" t="s">
        <v>65</v>
      </c>
      <c r="N24" s="43" t="s">
        <v>134</v>
      </c>
      <c r="O24" s="43">
        <v>226</v>
      </c>
      <c r="P24" s="43" t="s">
        <v>411</v>
      </c>
      <c r="Q24" s="43" t="s">
        <v>379</v>
      </c>
      <c r="R24" s="43" t="s">
        <v>412</v>
      </c>
      <c r="S24" s="43" t="s">
        <v>383</v>
      </c>
      <c r="T24" s="43">
        <v>10</v>
      </c>
      <c r="U24" s="43">
        <v>-26.6053</v>
      </c>
      <c r="V24" s="28">
        <v>-2.917E-7</v>
      </c>
      <c r="W24" s="43" t="s">
        <v>913</v>
      </c>
      <c r="X24" s="43" t="s">
        <v>65</v>
      </c>
    </row>
    <row r="25" spans="2:24" x14ac:dyDescent="0.2">
      <c r="B25" s="43" t="s">
        <v>134</v>
      </c>
      <c r="C25" s="43">
        <v>226</v>
      </c>
      <c r="D25" s="43" t="s">
        <v>411</v>
      </c>
      <c r="E25" s="43" t="s">
        <v>106</v>
      </c>
      <c r="F25" s="43" t="s">
        <v>413</v>
      </c>
      <c r="G25" s="43" t="s">
        <v>385</v>
      </c>
      <c r="H25" s="43">
        <v>60</v>
      </c>
      <c r="I25" s="43">
        <v>-28.618300000000001</v>
      </c>
      <c r="J25" s="28">
        <v>-3.1380000000000002E-7</v>
      </c>
      <c r="K25" s="43" t="s">
        <v>913</v>
      </c>
      <c r="L25" s="43" t="s">
        <v>65</v>
      </c>
      <c r="N25" s="43" t="s">
        <v>134</v>
      </c>
      <c r="O25" s="43">
        <v>226</v>
      </c>
      <c r="P25" s="43" t="s">
        <v>411</v>
      </c>
      <c r="Q25" s="43" t="s">
        <v>379</v>
      </c>
      <c r="R25" s="43" t="s">
        <v>413</v>
      </c>
      <c r="S25" s="43" t="s">
        <v>385</v>
      </c>
      <c r="T25" s="43">
        <v>10</v>
      </c>
      <c r="U25" s="43">
        <v>-28.629000000000001</v>
      </c>
      <c r="V25" s="28">
        <v>-3.1390000000000002E-7</v>
      </c>
      <c r="W25" s="43" t="s">
        <v>913</v>
      </c>
      <c r="X25" s="43" t="s">
        <v>65</v>
      </c>
    </row>
    <row r="26" spans="2:24" x14ac:dyDescent="0.2">
      <c r="B26" s="43" t="s">
        <v>134</v>
      </c>
      <c r="C26" s="43">
        <v>234</v>
      </c>
      <c r="D26" s="43" t="s">
        <v>414</v>
      </c>
      <c r="E26" s="43" t="s">
        <v>106</v>
      </c>
      <c r="F26" s="43" t="s">
        <v>415</v>
      </c>
      <c r="G26" s="43" t="s">
        <v>383</v>
      </c>
      <c r="H26" s="43">
        <v>60</v>
      </c>
      <c r="I26" s="43">
        <v>-37.328200000000002</v>
      </c>
      <c r="J26" s="28">
        <v>-3.03E-7</v>
      </c>
      <c r="K26" s="43" t="s">
        <v>913</v>
      </c>
      <c r="L26" s="43" t="s">
        <v>65</v>
      </c>
      <c r="N26" s="43" t="s">
        <v>134</v>
      </c>
      <c r="O26" s="43">
        <v>234</v>
      </c>
      <c r="P26" s="43" t="s">
        <v>414</v>
      </c>
      <c r="Q26" s="43" t="s">
        <v>379</v>
      </c>
      <c r="R26" s="43" t="s">
        <v>415</v>
      </c>
      <c r="S26" s="43" t="s">
        <v>383</v>
      </c>
      <c r="T26" s="43">
        <v>10</v>
      </c>
      <c r="U26" s="43">
        <v>-37.297800000000002</v>
      </c>
      <c r="V26" s="28">
        <v>-3.0269999999999998E-7</v>
      </c>
      <c r="W26" s="43" t="s">
        <v>913</v>
      </c>
      <c r="X26" s="43" t="s">
        <v>65</v>
      </c>
    </row>
    <row r="27" spans="2:24" x14ac:dyDescent="0.2">
      <c r="B27" s="43" t="s">
        <v>134</v>
      </c>
      <c r="C27" s="43">
        <v>234</v>
      </c>
      <c r="D27" s="43" t="s">
        <v>414</v>
      </c>
      <c r="E27" s="43" t="s">
        <v>106</v>
      </c>
      <c r="F27" s="43" t="s">
        <v>416</v>
      </c>
      <c r="G27" s="43" t="s">
        <v>385</v>
      </c>
      <c r="H27" s="43">
        <v>60</v>
      </c>
      <c r="I27" s="43">
        <v>2.9600000000000001E-2</v>
      </c>
      <c r="J27" s="28">
        <v>2.405E-10</v>
      </c>
      <c r="K27" s="43" t="s">
        <v>913</v>
      </c>
      <c r="L27" s="43" t="s">
        <v>65</v>
      </c>
      <c r="N27" s="43" t="s">
        <v>134</v>
      </c>
      <c r="O27" s="43">
        <v>234</v>
      </c>
      <c r="P27" s="43" t="s">
        <v>414</v>
      </c>
      <c r="Q27" s="43" t="s">
        <v>379</v>
      </c>
      <c r="R27" s="43" t="s">
        <v>416</v>
      </c>
      <c r="S27" s="43" t="s">
        <v>385</v>
      </c>
      <c r="T27" s="43">
        <v>10</v>
      </c>
      <c r="U27" s="43">
        <v>-2.0000000000000001E-4</v>
      </c>
      <c r="V27" s="28">
        <v>-1.7719999999999999E-12</v>
      </c>
      <c r="W27" s="43" t="s">
        <v>913</v>
      </c>
      <c r="X27" s="43" t="s">
        <v>65</v>
      </c>
    </row>
    <row r="28" spans="2:24" x14ac:dyDescent="0.2">
      <c r="B28" s="43" t="s">
        <v>134</v>
      </c>
      <c r="C28" s="43">
        <v>235</v>
      </c>
      <c r="D28" s="43" t="s">
        <v>417</v>
      </c>
      <c r="E28" s="43" t="s">
        <v>106</v>
      </c>
      <c r="F28" s="43" t="s">
        <v>418</v>
      </c>
      <c r="G28" s="43" t="s">
        <v>383</v>
      </c>
      <c r="H28" s="43">
        <v>60</v>
      </c>
      <c r="I28" s="43">
        <v>-34.766300000000001</v>
      </c>
      <c r="J28" s="28">
        <v>-2.5960000000000002E-7</v>
      </c>
      <c r="K28" s="43" t="s">
        <v>913</v>
      </c>
      <c r="L28" s="43" t="s">
        <v>65</v>
      </c>
      <c r="N28" s="43" t="s">
        <v>134</v>
      </c>
      <c r="O28" s="43">
        <v>235</v>
      </c>
      <c r="P28" s="43" t="s">
        <v>417</v>
      </c>
      <c r="Q28" s="43" t="s">
        <v>379</v>
      </c>
      <c r="R28" s="43" t="s">
        <v>418</v>
      </c>
      <c r="S28" s="43" t="s">
        <v>383</v>
      </c>
      <c r="T28" s="43">
        <v>10</v>
      </c>
      <c r="U28" s="43">
        <v>-34.736400000000003</v>
      </c>
      <c r="V28" s="28">
        <v>-2.5940000000000001E-7</v>
      </c>
      <c r="W28" s="43" t="s">
        <v>913</v>
      </c>
      <c r="X28" s="43" t="s">
        <v>65</v>
      </c>
    </row>
    <row r="29" spans="2:24" x14ac:dyDescent="0.2">
      <c r="B29" s="43" t="s">
        <v>134</v>
      </c>
      <c r="C29" s="43">
        <v>235</v>
      </c>
      <c r="D29" s="43" t="s">
        <v>417</v>
      </c>
      <c r="E29" s="43" t="s">
        <v>106</v>
      </c>
      <c r="F29" s="43" t="s">
        <v>419</v>
      </c>
      <c r="G29" s="43" t="s">
        <v>385</v>
      </c>
      <c r="H29" s="43">
        <v>60</v>
      </c>
      <c r="I29" s="43">
        <v>-7.5655000000000001</v>
      </c>
      <c r="J29" s="28">
        <v>-5.6489999999999998E-8</v>
      </c>
      <c r="K29" s="43" t="s">
        <v>913</v>
      </c>
      <c r="L29" s="43" t="s">
        <v>65</v>
      </c>
      <c r="N29" s="43" t="s">
        <v>134</v>
      </c>
      <c r="O29" s="43">
        <v>235</v>
      </c>
      <c r="P29" s="43" t="s">
        <v>417</v>
      </c>
      <c r="Q29" s="43" t="s">
        <v>379</v>
      </c>
      <c r="R29" s="43" t="s">
        <v>419</v>
      </c>
      <c r="S29" s="43" t="s">
        <v>385</v>
      </c>
      <c r="T29" s="43">
        <v>10</v>
      </c>
      <c r="U29" s="43">
        <v>-7.5940000000000003</v>
      </c>
      <c r="V29" s="28">
        <v>-5.6699999999999998E-8</v>
      </c>
      <c r="W29" s="43" t="s">
        <v>913</v>
      </c>
      <c r="X29" s="43" t="s">
        <v>65</v>
      </c>
    </row>
    <row r="30" spans="2:24" x14ac:dyDescent="0.2">
      <c r="B30" s="43" t="s">
        <v>134</v>
      </c>
      <c r="C30" s="43">
        <v>236</v>
      </c>
      <c r="D30" s="43" t="s">
        <v>417</v>
      </c>
      <c r="E30" s="43" t="s">
        <v>106</v>
      </c>
      <c r="F30" s="43" t="s">
        <v>420</v>
      </c>
      <c r="G30" s="43" t="s">
        <v>383</v>
      </c>
      <c r="H30" s="43">
        <v>60</v>
      </c>
      <c r="I30" s="43">
        <v>-40.368299999999998</v>
      </c>
      <c r="J30" s="28">
        <v>-3.1860000000000001E-7</v>
      </c>
      <c r="K30" s="43" t="s">
        <v>913</v>
      </c>
      <c r="L30" s="43" t="s">
        <v>65</v>
      </c>
      <c r="N30" s="43" t="s">
        <v>134</v>
      </c>
      <c r="O30" s="43">
        <v>236</v>
      </c>
      <c r="P30" s="43" t="s">
        <v>417</v>
      </c>
      <c r="Q30" s="43" t="s">
        <v>379</v>
      </c>
      <c r="R30" s="43" t="s">
        <v>420</v>
      </c>
      <c r="S30" s="43" t="s">
        <v>383</v>
      </c>
      <c r="T30" s="43">
        <v>10</v>
      </c>
      <c r="U30" s="43">
        <v>-40.342399999999998</v>
      </c>
      <c r="V30" s="28">
        <v>-3.1839999999999999E-7</v>
      </c>
      <c r="W30" s="43" t="s">
        <v>913</v>
      </c>
      <c r="X30" s="43" t="s">
        <v>65</v>
      </c>
    </row>
    <row r="31" spans="2:24" x14ac:dyDescent="0.2">
      <c r="B31" s="43" t="s">
        <v>134</v>
      </c>
      <c r="C31" s="43">
        <v>236</v>
      </c>
      <c r="D31" s="43" t="s">
        <v>417</v>
      </c>
      <c r="E31" s="43" t="s">
        <v>106</v>
      </c>
      <c r="F31" s="43" t="s">
        <v>421</v>
      </c>
      <c r="G31" s="43" t="s">
        <v>385</v>
      </c>
      <c r="H31" s="43">
        <v>60</v>
      </c>
      <c r="I31" s="43">
        <v>-9.5658999999999992</v>
      </c>
      <c r="J31" s="28">
        <v>-7.5510000000000006E-8</v>
      </c>
      <c r="K31" s="43" t="s">
        <v>913</v>
      </c>
      <c r="L31" s="43" t="s">
        <v>65</v>
      </c>
      <c r="N31" s="43" t="s">
        <v>134</v>
      </c>
      <c r="O31" s="43">
        <v>236</v>
      </c>
      <c r="P31" s="43" t="s">
        <v>417</v>
      </c>
      <c r="Q31" s="43" t="s">
        <v>379</v>
      </c>
      <c r="R31" s="43" t="s">
        <v>421</v>
      </c>
      <c r="S31" s="43" t="s">
        <v>385</v>
      </c>
      <c r="T31" s="43">
        <v>10</v>
      </c>
      <c r="U31" s="43">
        <v>-9.5916999999999994</v>
      </c>
      <c r="V31" s="28">
        <v>-7.5709999999999994E-8</v>
      </c>
      <c r="W31" s="43" t="s">
        <v>913</v>
      </c>
      <c r="X31" s="43" t="s">
        <v>65</v>
      </c>
    </row>
    <row r="32" spans="2:24" x14ac:dyDescent="0.2">
      <c r="B32" s="43" t="s">
        <v>134</v>
      </c>
      <c r="C32" s="43">
        <v>237</v>
      </c>
      <c r="D32" s="43" t="s">
        <v>417</v>
      </c>
      <c r="E32" s="43" t="s">
        <v>106</v>
      </c>
      <c r="F32" s="43" t="s">
        <v>422</v>
      </c>
      <c r="G32" s="43" t="s">
        <v>383</v>
      </c>
      <c r="H32" s="43">
        <v>60</v>
      </c>
      <c r="I32" s="43">
        <v>-42.200800000000001</v>
      </c>
      <c r="J32" s="28">
        <v>-3.1510000000000001E-7</v>
      </c>
      <c r="K32" s="43" t="s">
        <v>913</v>
      </c>
      <c r="L32" s="43" t="s">
        <v>65</v>
      </c>
      <c r="N32" s="43" t="s">
        <v>134</v>
      </c>
      <c r="O32" s="43">
        <v>237</v>
      </c>
      <c r="P32" s="43" t="s">
        <v>417</v>
      </c>
      <c r="Q32" s="43" t="s">
        <v>379</v>
      </c>
      <c r="R32" s="43" t="s">
        <v>422</v>
      </c>
      <c r="S32" s="43" t="s">
        <v>383</v>
      </c>
      <c r="T32" s="43">
        <v>10</v>
      </c>
      <c r="U32" s="43">
        <v>-42.1708</v>
      </c>
      <c r="V32" s="28">
        <v>-3.1489999999999999E-7</v>
      </c>
      <c r="W32" s="43" t="s">
        <v>913</v>
      </c>
      <c r="X32" s="43" t="s">
        <v>65</v>
      </c>
    </row>
    <row r="33" spans="2:24" x14ac:dyDescent="0.2">
      <c r="B33" s="43" t="s">
        <v>134</v>
      </c>
      <c r="C33" s="43">
        <v>237</v>
      </c>
      <c r="D33" s="43" t="s">
        <v>417</v>
      </c>
      <c r="E33" s="43" t="s">
        <v>106</v>
      </c>
      <c r="F33" s="43" t="s">
        <v>423</v>
      </c>
      <c r="G33" s="43" t="s">
        <v>385</v>
      </c>
      <c r="H33" s="43">
        <v>60</v>
      </c>
      <c r="I33" s="43">
        <v>1.4816</v>
      </c>
      <c r="J33" s="28">
        <v>1.1059999999999999E-8</v>
      </c>
      <c r="K33" s="43" t="s">
        <v>913</v>
      </c>
      <c r="L33" s="43" t="s">
        <v>65</v>
      </c>
      <c r="N33" s="43" t="s">
        <v>134</v>
      </c>
      <c r="O33" s="43">
        <v>237</v>
      </c>
      <c r="P33" s="43" t="s">
        <v>417</v>
      </c>
      <c r="Q33" s="43" t="s">
        <v>379</v>
      </c>
      <c r="R33" s="43" t="s">
        <v>423</v>
      </c>
      <c r="S33" s="43" t="s">
        <v>385</v>
      </c>
      <c r="T33" s="43">
        <v>10</v>
      </c>
      <c r="U33" s="43">
        <v>1.4501999999999999</v>
      </c>
      <c r="V33" s="28">
        <v>1.083E-8</v>
      </c>
      <c r="W33" s="43" t="s">
        <v>913</v>
      </c>
      <c r="X33" s="43" t="s">
        <v>65</v>
      </c>
    </row>
    <row r="34" spans="2:24" x14ac:dyDescent="0.2">
      <c r="B34" s="43" t="s">
        <v>134</v>
      </c>
      <c r="C34" s="43">
        <v>238</v>
      </c>
      <c r="D34" s="43" t="s">
        <v>424</v>
      </c>
      <c r="E34" s="43" t="s">
        <v>106</v>
      </c>
      <c r="F34" s="43" t="s">
        <v>425</v>
      </c>
      <c r="G34" s="43" t="s">
        <v>383</v>
      </c>
      <c r="H34" s="43">
        <v>60</v>
      </c>
      <c r="I34" s="43">
        <v>-33.232599999999998</v>
      </c>
      <c r="J34" s="28">
        <v>-2.6969999999999999E-7</v>
      </c>
      <c r="K34" s="43" t="s">
        <v>913</v>
      </c>
      <c r="L34" s="43" t="s">
        <v>65</v>
      </c>
      <c r="N34" s="43" t="s">
        <v>134</v>
      </c>
      <c r="O34" s="43">
        <v>238</v>
      </c>
      <c r="P34" s="43" t="s">
        <v>424</v>
      </c>
      <c r="Q34" s="43" t="s">
        <v>379</v>
      </c>
      <c r="R34" s="43" t="s">
        <v>425</v>
      </c>
      <c r="S34" s="43" t="s">
        <v>383</v>
      </c>
      <c r="T34" s="43">
        <v>10</v>
      </c>
      <c r="U34" s="43">
        <v>-33.203899999999997</v>
      </c>
      <c r="V34" s="28">
        <v>-2.6950000000000002E-7</v>
      </c>
      <c r="W34" s="43" t="s">
        <v>913</v>
      </c>
      <c r="X34" s="43" t="s">
        <v>65</v>
      </c>
    </row>
    <row r="35" spans="2:24" x14ac:dyDescent="0.2">
      <c r="B35" s="43" t="s">
        <v>134</v>
      </c>
      <c r="C35" s="43">
        <v>238</v>
      </c>
      <c r="D35" s="43" t="s">
        <v>424</v>
      </c>
      <c r="E35" s="43" t="s">
        <v>106</v>
      </c>
      <c r="F35" s="43" t="s">
        <v>426</v>
      </c>
      <c r="G35" s="43" t="s">
        <v>385</v>
      </c>
      <c r="H35" s="43">
        <v>60</v>
      </c>
      <c r="I35" s="43">
        <v>-1.5857000000000001</v>
      </c>
      <c r="J35" s="28">
        <v>-1.287E-8</v>
      </c>
      <c r="K35" s="43" t="s">
        <v>913</v>
      </c>
      <c r="L35" s="43" t="s">
        <v>65</v>
      </c>
      <c r="N35" s="43" t="s">
        <v>134</v>
      </c>
      <c r="O35" s="43">
        <v>238</v>
      </c>
      <c r="P35" s="43" t="s">
        <v>424</v>
      </c>
      <c r="Q35" s="43" t="s">
        <v>379</v>
      </c>
      <c r="R35" s="43" t="s">
        <v>426</v>
      </c>
      <c r="S35" s="43" t="s">
        <v>385</v>
      </c>
      <c r="T35" s="43">
        <v>10</v>
      </c>
      <c r="U35" s="43">
        <v>-1.6153999999999999</v>
      </c>
      <c r="V35" s="28">
        <v>-1.311E-8</v>
      </c>
      <c r="W35" s="43" t="s">
        <v>913</v>
      </c>
      <c r="X35" s="43" t="s">
        <v>65</v>
      </c>
    </row>
    <row r="36" spans="2:24" x14ac:dyDescent="0.2">
      <c r="B36" s="43" t="s">
        <v>134</v>
      </c>
      <c r="C36" s="43">
        <v>212</v>
      </c>
      <c r="D36" s="43" t="s">
        <v>427</v>
      </c>
      <c r="E36" s="43" t="s">
        <v>106</v>
      </c>
      <c r="F36" s="43" t="s">
        <v>428</v>
      </c>
      <c r="G36" s="43" t="s">
        <v>383</v>
      </c>
      <c r="H36" s="43">
        <v>60</v>
      </c>
      <c r="I36" s="43">
        <v>-31.455400000000001</v>
      </c>
      <c r="J36" s="28">
        <v>-3.0660000000000001E-7</v>
      </c>
      <c r="K36" s="43" t="s">
        <v>913</v>
      </c>
      <c r="L36" s="43" t="s">
        <v>65</v>
      </c>
      <c r="N36" s="43" t="s">
        <v>134</v>
      </c>
      <c r="O36" s="43">
        <v>212</v>
      </c>
      <c r="P36" s="43" t="s">
        <v>427</v>
      </c>
      <c r="Q36" s="43" t="s">
        <v>379</v>
      </c>
      <c r="R36" s="43" t="s">
        <v>428</v>
      </c>
      <c r="S36" s="43" t="s">
        <v>383</v>
      </c>
      <c r="T36" s="43">
        <v>10</v>
      </c>
      <c r="U36" s="43">
        <v>-31.442699999999999</v>
      </c>
      <c r="V36" s="28">
        <v>-3.065E-7</v>
      </c>
      <c r="W36" s="43" t="s">
        <v>913</v>
      </c>
      <c r="X36" s="43" t="s">
        <v>65</v>
      </c>
    </row>
    <row r="37" spans="2:24" x14ac:dyDescent="0.2">
      <c r="B37" s="43" t="s">
        <v>134</v>
      </c>
      <c r="C37" s="43">
        <v>212</v>
      </c>
      <c r="D37" s="43" t="s">
        <v>427</v>
      </c>
      <c r="E37" s="43" t="s">
        <v>106</v>
      </c>
      <c r="F37" s="43" t="s">
        <v>429</v>
      </c>
      <c r="G37" s="43" t="s">
        <v>385</v>
      </c>
      <c r="H37" s="43">
        <v>60</v>
      </c>
      <c r="I37" s="43">
        <v>-31.3766</v>
      </c>
      <c r="J37" s="28">
        <v>-3.058E-7</v>
      </c>
      <c r="K37" s="43" t="s">
        <v>913</v>
      </c>
      <c r="L37" s="43" t="s">
        <v>65</v>
      </c>
      <c r="N37" s="43" t="s">
        <v>134</v>
      </c>
      <c r="O37" s="43">
        <v>212</v>
      </c>
      <c r="P37" s="43" t="s">
        <v>427</v>
      </c>
      <c r="Q37" s="43" t="s">
        <v>379</v>
      </c>
      <c r="R37" s="43" t="s">
        <v>429</v>
      </c>
      <c r="S37" s="43" t="s">
        <v>385</v>
      </c>
      <c r="T37" s="43">
        <v>10</v>
      </c>
      <c r="U37" s="43">
        <v>-31.383800000000001</v>
      </c>
      <c r="V37" s="28">
        <v>-3.0590000000000001E-7</v>
      </c>
      <c r="W37" s="43" t="s">
        <v>913</v>
      </c>
      <c r="X37" s="43" t="s">
        <v>65</v>
      </c>
    </row>
    <row r="38" spans="2:24" x14ac:dyDescent="0.2">
      <c r="B38" s="43" t="s">
        <v>134</v>
      </c>
      <c r="C38" s="43">
        <v>215</v>
      </c>
      <c r="D38" s="43" t="s">
        <v>430</v>
      </c>
      <c r="E38" s="43" t="s">
        <v>106</v>
      </c>
      <c r="F38" s="43" t="s">
        <v>431</v>
      </c>
      <c r="G38" s="43" t="s">
        <v>383</v>
      </c>
      <c r="H38" s="43">
        <v>60</v>
      </c>
      <c r="I38" s="43">
        <v>-60.575699999999998</v>
      </c>
      <c r="J38" s="28">
        <v>-4.9439999999999998E-7</v>
      </c>
      <c r="K38" s="43" t="s">
        <v>913</v>
      </c>
      <c r="L38" s="43" t="s">
        <v>65</v>
      </c>
      <c r="N38" s="43" t="s">
        <v>134</v>
      </c>
      <c r="O38" s="43">
        <v>215</v>
      </c>
      <c r="P38" s="43" t="s">
        <v>430</v>
      </c>
      <c r="Q38" s="43" t="s">
        <v>379</v>
      </c>
      <c r="R38" s="43" t="s">
        <v>431</v>
      </c>
      <c r="S38" s="43" t="s">
        <v>383</v>
      </c>
      <c r="T38" s="43">
        <v>10</v>
      </c>
      <c r="U38" s="43">
        <v>-60.565600000000003</v>
      </c>
      <c r="V38" s="28">
        <v>-4.9429999999999997E-7</v>
      </c>
      <c r="W38" s="43" t="s">
        <v>913</v>
      </c>
      <c r="X38" s="43" t="s">
        <v>65</v>
      </c>
    </row>
    <row r="39" spans="2:24" x14ac:dyDescent="0.2">
      <c r="B39" s="43" t="s">
        <v>134</v>
      </c>
      <c r="C39" s="43">
        <v>215</v>
      </c>
      <c r="D39" s="43" t="s">
        <v>430</v>
      </c>
      <c r="E39" s="43" t="s">
        <v>106</v>
      </c>
      <c r="F39" s="43" t="s">
        <v>432</v>
      </c>
      <c r="G39" s="43" t="s">
        <v>385</v>
      </c>
      <c r="H39" s="43">
        <v>60</v>
      </c>
      <c r="I39" s="43">
        <v>-60.529400000000003</v>
      </c>
      <c r="J39" s="28">
        <v>-4.9399999999999995E-7</v>
      </c>
      <c r="K39" s="43" t="s">
        <v>913</v>
      </c>
      <c r="L39" s="43" t="s">
        <v>65</v>
      </c>
      <c r="N39" s="43" t="s">
        <v>134</v>
      </c>
      <c r="O39" s="43">
        <v>215</v>
      </c>
      <c r="P39" s="43" t="s">
        <v>430</v>
      </c>
      <c r="Q39" s="43" t="s">
        <v>379</v>
      </c>
      <c r="R39" s="43" t="s">
        <v>432</v>
      </c>
      <c r="S39" s="43" t="s">
        <v>385</v>
      </c>
      <c r="T39" s="43">
        <v>10</v>
      </c>
      <c r="U39" s="43">
        <v>-60.539900000000003</v>
      </c>
      <c r="V39" s="28">
        <v>-4.9409999999999996E-7</v>
      </c>
      <c r="W39" s="43" t="s">
        <v>913</v>
      </c>
      <c r="X39" s="43" t="s">
        <v>65</v>
      </c>
    </row>
    <row r="40" spans="2:24" x14ac:dyDescent="0.2">
      <c r="B40" s="43" t="s">
        <v>134</v>
      </c>
      <c r="C40" s="43">
        <v>218</v>
      </c>
      <c r="D40" s="43" t="s">
        <v>433</v>
      </c>
      <c r="E40" s="43" t="s">
        <v>106</v>
      </c>
      <c r="F40" s="43" t="s">
        <v>434</v>
      </c>
      <c r="G40" s="43" t="s">
        <v>383</v>
      </c>
      <c r="H40" s="43">
        <v>60</v>
      </c>
      <c r="I40" s="43">
        <v>-48.251899999999999</v>
      </c>
      <c r="J40" s="28">
        <v>-3.6619999999999998E-7</v>
      </c>
      <c r="K40" s="43" t="s">
        <v>913</v>
      </c>
      <c r="L40" s="43" t="s">
        <v>65</v>
      </c>
      <c r="N40" s="43" t="s">
        <v>134</v>
      </c>
      <c r="O40" s="43">
        <v>218</v>
      </c>
      <c r="P40" s="43" t="s">
        <v>433</v>
      </c>
      <c r="Q40" s="43" t="s">
        <v>379</v>
      </c>
      <c r="R40" s="43" t="s">
        <v>434</v>
      </c>
      <c r="S40" s="43" t="s">
        <v>383</v>
      </c>
      <c r="T40" s="43">
        <v>10</v>
      </c>
      <c r="U40" s="43">
        <v>-48.240200000000002</v>
      </c>
      <c r="V40" s="28">
        <v>-3.6609999999999998E-7</v>
      </c>
      <c r="W40" s="43" t="s">
        <v>913</v>
      </c>
      <c r="X40" s="43" t="s">
        <v>65</v>
      </c>
    </row>
    <row r="41" spans="2:24" x14ac:dyDescent="0.2">
      <c r="B41" s="43" t="s">
        <v>134</v>
      </c>
      <c r="C41" s="43">
        <v>218</v>
      </c>
      <c r="D41" s="43" t="s">
        <v>433</v>
      </c>
      <c r="E41" s="43" t="s">
        <v>106</v>
      </c>
      <c r="F41" s="43" t="s">
        <v>435</v>
      </c>
      <c r="G41" s="43" t="s">
        <v>385</v>
      </c>
      <c r="H41" s="43">
        <v>60</v>
      </c>
      <c r="I41" s="43">
        <v>-48.238300000000002</v>
      </c>
      <c r="J41" s="28">
        <v>-3.6600000000000002E-7</v>
      </c>
      <c r="K41" s="43" t="s">
        <v>913</v>
      </c>
      <c r="L41" s="43" t="s">
        <v>65</v>
      </c>
      <c r="N41" s="43" t="s">
        <v>134</v>
      </c>
      <c r="O41" s="43">
        <v>218</v>
      </c>
      <c r="P41" s="43" t="s">
        <v>433</v>
      </c>
      <c r="Q41" s="43" t="s">
        <v>379</v>
      </c>
      <c r="R41" s="43" t="s">
        <v>435</v>
      </c>
      <c r="S41" s="43" t="s">
        <v>385</v>
      </c>
      <c r="T41" s="43">
        <v>10</v>
      </c>
      <c r="U41" s="43">
        <v>-48.250700000000002</v>
      </c>
      <c r="V41" s="28">
        <v>-3.6609999999999998E-7</v>
      </c>
      <c r="W41" s="43" t="s">
        <v>913</v>
      </c>
      <c r="X41" s="43" t="s">
        <v>65</v>
      </c>
    </row>
    <row r="42" spans="2:24" x14ac:dyDescent="0.2">
      <c r="B42" s="43" t="s">
        <v>134</v>
      </c>
      <c r="C42" s="43">
        <v>221</v>
      </c>
      <c r="D42" s="43" t="s">
        <v>436</v>
      </c>
      <c r="E42" s="43" t="s">
        <v>106</v>
      </c>
      <c r="F42" s="43" t="s">
        <v>437</v>
      </c>
      <c r="G42" s="43" t="s">
        <v>383</v>
      </c>
      <c r="H42" s="43">
        <v>60</v>
      </c>
      <c r="I42" s="43">
        <v>-48.703200000000002</v>
      </c>
      <c r="J42" s="28">
        <v>-3.6959999999999997E-7</v>
      </c>
      <c r="K42" s="43" t="s">
        <v>913</v>
      </c>
      <c r="L42" s="43" t="s">
        <v>65</v>
      </c>
      <c r="N42" s="43" t="s">
        <v>134</v>
      </c>
      <c r="O42" s="43">
        <v>221</v>
      </c>
      <c r="P42" s="43" t="s">
        <v>436</v>
      </c>
      <c r="Q42" s="43" t="s">
        <v>379</v>
      </c>
      <c r="R42" s="43" t="s">
        <v>437</v>
      </c>
      <c r="S42" s="43" t="s">
        <v>383</v>
      </c>
      <c r="T42" s="43">
        <v>10</v>
      </c>
      <c r="U42" s="43">
        <v>-48.690899999999999</v>
      </c>
      <c r="V42" s="28">
        <v>-3.6950000000000002E-7</v>
      </c>
      <c r="W42" s="43" t="s">
        <v>913</v>
      </c>
      <c r="X42" s="43" t="s">
        <v>65</v>
      </c>
    </row>
    <row r="43" spans="2:24" x14ac:dyDescent="0.2">
      <c r="B43" s="43" t="s">
        <v>134</v>
      </c>
      <c r="C43" s="43">
        <v>221</v>
      </c>
      <c r="D43" s="43" t="s">
        <v>436</v>
      </c>
      <c r="E43" s="43" t="s">
        <v>106</v>
      </c>
      <c r="F43" s="43" t="s">
        <v>438</v>
      </c>
      <c r="G43" s="43" t="s">
        <v>385</v>
      </c>
      <c r="H43" s="43">
        <v>60</v>
      </c>
      <c r="I43" s="43">
        <v>-48.751899999999999</v>
      </c>
      <c r="J43" s="28">
        <v>-3.699E-7</v>
      </c>
      <c r="K43" s="43" t="s">
        <v>913</v>
      </c>
      <c r="L43" s="43" t="s">
        <v>65</v>
      </c>
      <c r="N43" s="43" t="s">
        <v>134</v>
      </c>
      <c r="O43" s="43">
        <v>221</v>
      </c>
      <c r="P43" s="43" t="s">
        <v>436</v>
      </c>
      <c r="Q43" s="43" t="s">
        <v>379</v>
      </c>
      <c r="R43" s="43" t="s">
        <v>438</v>
      </c>
      <c r="S43" s="43" t="s">
        <v>385</v>
      </c>
      <c r="T43" s="43">
        <v>10</v>
      </c>
      <c r="U43" s="43">
        <v>-48.763199999999998</v>
      </c>
      <c r="V43" s="28">
        <v>-3.7E-7</v>
      </c>
      <c r="W43" s="43" t="s">
        <v>913</v>
      </c>
      <c r="X43" s="43" t="s">
        <v>65</v>
      </c>
    </row>
    <row r="44" spans="2:24" x14ac:dyDescent="0.2">
      <c r="B44" s="43" t="s">
        <v>134</v>
      </c>
      <c r="C44" s="43">
        <v>224</v>
      </c>
      <c r="D44" s="43" t="s">
        <v>439</v>
      </c>
      <c r="E44" s="43" t="s">
        <v>106</v>
      </c>
      <c r="F44" s="43" t="s">
        <v>440</v>
      </c>
      <c r="G44" s="43" t="s">
        <v>383</v>
      </c>
      <c r="H44" s="43">
        <v>60</v>
      </c>
      <c r="I44" s="43">
        <v>-59.897300000000001</v>
      </c>
      <c r="J44" s="28">
        <v>-4.8879999999999998E-7</v>
      </c>
      <c r="K44" s="43" t="s">
        <v>913</v>
      </c>
      <c r="L44" s="43" t="s">
        <v>65</v>
      </c>
      <c r="N44" s="43" t="s">
        <v>134</v>
      </c>
      <c r="O44" s="43">
        <v>224</v>
      </c>
      <c r="P44" s="43" t="s">
        <v>439</v>
      </c>
      <c r="Q44" s="43" t="s">
        <v>379</v>
      </c>
      <c r="R44" s="43" t="s">
        <v>440</v>
      </c>
      <c r="S44" s="43" t="s">
        <v>383</v>
      </c>
      <c r="T44" s="43">
        <v>10</v>
      </c>
      <c r="U44" s="43">
        <v>-59.887799999999999</v>
      </c>
      <c r="V44" s="28">
        <v>-4.8869999999999998E-7</v>
      </c>
      <c r="W44" s="43" t="s">
        <v>913</v>
      </c>
      <c r="X44" s="43" t="s">
        <v>65</v>
      </c>
    </row>
    <row r="45" spans="2:24" x14ac:dyDescent="0.2">
      <c r="B45" s="43" t="s">
        <v>134</v>
      </c>
      <c r="C45" s="43">
        <v>224</v>
      </c>
      <c r="D45" s="43" t="s">
        <v>439</v>
      </c>
      <c r="E45" s="43" t="s">
        <v>106</v>
      </c>
      <c r="F45" s="43" t="s">
        <v>441</v>
      </c>
      <c r="G45" s="43" t="s">
        <v>385</v>
      </c>
      <c r="H45" s="43">
        <v>60</v>
      </c>
      <c r="I45" s="43">
        <v>-60.624200000000002</v>
      </c>
      <c r="J45" s="28">
        <v>-4.9480000000000001E-7</v>
      </c>
      <c r="K45" s="43" t="s">
        <v>913</v>
      </c>
      <c r="L45" s="43" t="s">
        <v>65</v>
      </c>
      <c r="N45" s="43" t="s">
        <v>134</v>
      </c>
      <c r="O45" s="43">
        <v>224</v>
      </c>
      <c r="P45" s="43" t="s">
        <v>439</v>
      </c>
      <c r="Q45" s="43" t="s">
        <v>379</v>
      </c>
      <c r="R45" s="43" t="s">
        <v>441</v>
      </c>
      <c r="S45" s="43" t="s">
        <v>385</v>
      </c>
      <c r="T45" s="43">
        <v>10</v>
      </c>
      <c r="U45" s="43">
        <v>-60.6342</v>
      </c>
      <c r="V45" s="28">
        <v>-4.9480000000000001E-7</v>
      </c>
      <c r="W45" s="43" t="s">
        <v>913</v>
      </c>
      <c r="X45" s="43" t="s">
        <v>65</v>
      </c>
    </row>
    <row r="46" spans="2:24" x14ac:dyDescent="0.2">
      <c r="B46" s="43" t="s">
        <v>134</v>
      </c>
      <c r="C46" s="43">
        <v>227</v>
      </c>
      <c r="D46" s="43" t="s">
        <v>442</v>
      </c>
      <c r="E46" s="43" t="s">
        <v>106</v>
      </c>
      <c r="F46" s="43" t="s">
        <v>443</v>
      </c>
      <c r="G46" s="43" t="s">
        <v>383</v>
      </c>
      <c r="H46" s="43">
        <v>60</v>
      </c>
      <c r="I46" s="43">
        <v>-28.148299999999999</v>
      </c>
      <c r="J46" s="28">
        <v>-2.7440000000000002E-7</v>
      </c>
      <c r="K46" s="43" t="s">
        <v>913</v>
      </c>
      <c r="L46" s="43" t="s">
        <v>65</v>
      </c>
      <c r="N46" s="43" t="s">
        <v>134</v>
      </c>
      <c r="O46" s="43">
        <v>227</v>
      </c>
      <c r="P46" s="43" t="s">
        <v>442</v>
      </c>
      <c r="Q46" s="43" t="s">
        <v>379</v>
      </c>
      <c r="R46" s="43" t="s">
        <v>443</v>
      </c>
      <c r="S46" s="43" t="s">
        <v>383</v>
      </c>
      <c r="T46" s="43">
        <v>10</v>
      </c>
      <c r="U46" s="43">
        <v>-28.1419</v>
      </c>
      <c r="V46" s="28">
        <v>-2.7430000000000001E-7</v>
      </c>
      <c r="W46" s="43" t="s">
        <v>913</v>
      </c>
      <c r="X46" s="43" t="s">
        <v>65</v>
      </c>
    </row>
    <row r="47" spans="2:24" x14ac:dyDescent="0.2">
      <c r="B47" s="43" t="s">
        <v>134</v>
      </c>
      <c r="C47" s="43">
        <v>227</v>
      </c>
      <c r="D47" s="43" t="s">
        <v>442</v>
      </c>
      <c r="E47" s="43" t="s">
        <v>106</v>
      </c>
      <c r="F47" s="43" t="s">
        <v>444</v>
      </c>
      <c r="G47" s="43" t="s">
        <v>385</v>
      </c>
      <c r="H47" s="43">
        <v>60</v>
      </c>
      <c r="I47" s="43">
        <v>-28.4252</v>
      </c>
      <c r="J47" s="28">
        <v>-2.7710000000000001E-7</v>
      </c>
      <c r="K47" s="43" t="s">
        <v>913</v>
      </c>
      <c r="L47" s="43" t="s">
        <v>65</v>
      </c>
      <c r="N47" s="43" t="s">
        <v>134</v>
      </c>
      <c r="O47" s="43">
        <v>227</v>
      </c>
      <c r="P47" s="43" t="s">
        <v>442</v>
      </c>
      <c r="Q47" s="43" t="s">
        <v>379</v>
      </c>
      <c r="R47" s="43" t="s">
        <v>444</v>
      </c>
      <c r="S47" s="43" t="s">
        <v>385</v>
      </c>
      <c r="T47" s="43">
        <v>10</v>
      </c>
      <c r="U47" s="43">
        <v>-28.436900000000001</v>
      </c>
      <c r="V47" s="28">
        <v>-2.7720000000000002E-7</v>
      </c>
      <c r="W47" s="43" t="s">
        <v>913</v>
      </c>
      <c r="X47" s="43" t="s">
        <v>65</v>
      </c>
    </row>
    <row r="48" spans="2:24" x14ac:dyDescent="0.2">
      <c r="B48" s="43" t="s">
        <v>134</v>
      </c>
      <c r="C48" s="43">
        <v>239</v>
      </c>
      <c r="D48" s="43" t="s">
        <v>445</v>
      </c>
      <c r="E48" s="43" t="s">
        <v>106</v>
      </c>
      <c r="F48" s="43" t="s">
        <v>446</v>
      </c>
      <c r="G48" s="43" t="s">
        <v>383</v>
      </c>
      <c r="H48" s="43">
        <v>60</v>
      </c>
      <c r="I48" s="43">
        <v>-37.352699999999999</v>
      </c>
      <c r="J48" s="28">
        <v>-3.0320000000000002E-7</v>
      </c>
      <c r="K48" s="43" t="s">
        <v>913</v>
      </c>
      <c r="L48" s="43" t="s">
        <v>65</v>
      </c>
      <c r="N48" s="43" t="s">
        <v>134</v>
      </c>
      <c r="O48" s="43">
        <v>239</v>
      </c>
      <c r="P48" s="43" t="s">
        <v>445</v>
      </c>
      <c r="Q48" s="43" t="s">
        <v>379</v>
      </c>
      <c r="R48" s="43" t="s">
        <v>446</v>
      </c>
      <c r="S48" s="43" t="s">
        <v>383</v>
      </c>
      <c r="T48" s="43">
        <v>10</v>
      </c>
      <c r="U48" s="43">
        <v>-37.322099999999999</v>
      </c>
      <c r="V48" s="28">
        <v>-3.0289999999999999E-7</v>
      </c>
      <c r="W48" s="43" t="s">
        <v>913</v>
      </c>
      <c r="X48" s="43" t="s">
        <v>65</v>
      </c>
    </row>
    <row r="49" spans="2:24" x14ac:dyDescent="0.2">
      <c r="B49" s="43" t="s">
        <v>134</v>
      </c>
      <c r="C49" s="43">
        <v>239</v>
      </c>
      <c r="D49" s="43" t="s">
        <v>445</v>
      </c>
      <c r="E49" s="43" t="s">
        <v>106</v>
      </c>
      <c r="F49" s="43" t="s">
        <v>447</v>
      </c>
      <c r="G49" s="43" t="s">
        <v>385</v>
      </c>
      <c r="H49" s="43">
        <v>60</v>
      </c>
      <c r="I49" s="43">
        <v>5.45E-2</v>
      </c>
      <c r="J49" s="28">
        <v>4.4219999999999998E-10</v>
      </c>
      <c r="K49" s="43" t="s">
        <v>913</v>
      </c>
      <c r="L49" s="43" t="s">
        <v>65</v>
      </c>
      <c r="N49" s="43" t="s">
        <v>134</v>
      </c>
      <c r="O49" s="43">
        <v>239</v>
      </c>
      <c r="P49" s="43" t="s">
        <v>445</v>
      </c>
      <c r="Q49" s="43" t="s">
        <v>379</v>
      </c>
      <c r="R49" s="43" t="s">
        <v>447</v>
      </c>
      <c r="S49" s="43" t="s">
        <v>385</v>
      </c>
      <c r="T49" s="43">
        <v>10</v>
      </c>
      <c r="U49" s="43">
        <v>2.4299999999999999E-2</v>
      </c>
      <c r="V49" s="28">
        <v>1.9730000000000001E-10</v>
      </c>
      <c r="W49" s="43" t="s">
        <v>913</v>
      </c>
      <c r="X49" s="43" t="s">
        <v>65</v>
      </c>
    </row>
    <row r="50" spans="2:24" x14ac:dyDescent="0.2">
      <c r="B50" s="43" t="s">
        <v>134</v>
      </c>
      <c r="C50" s="43">
        <v>240</v>
      </c>
      <c r="D50" s="43" t="s">
        <v>448</v>
      </c>
      <c r="E50" s="43" t="s">
        <v>106</v>
      </c>
      <c r="F50" s="43" t="s">
        <v>449</v>
      </c>
      <c r="G50" s="43" t="s">
        <v>383</v>
      </c>
      <c r="H50" s="43">
        <v>60</v>
      </c>
      <c r="I50" s="43">
        <v>-34.793399999999998</v>
      </c>
      <c r="J50" s="28">
        <v>-2.5979999999999998E-7</v>
      </c>
      <c r="K50" s="43" t="s">
        <v>913</v>
      </c>
      <c r="L50" s="43" t="s">
        <v>65</v>
      </c>
      <c r="N50" s="43" t="s">
        <v>134</v>
      </c>
      <c r="O50" s="43">
        <v>240</v>
      </c>
      <c r="P50" s="43" t="s">
        <v>448</v>
      </c>
      <c r="Q50" s="43" t="s">
        <v>379</v>
      </c>
      <c r="R50" s="43" t="s">
        <v>449</v>
      </c>
      <c r="S50" s="43" t="s">
        <v>383</v>
      </c>
      <c r="T50" s="43">
        <v>10</v>
      </c>
      <c r="U50" s="43">
        <v>-34.763199999999998</v>
      </c>
      <c r="V50" s="28">
        <v>-2.5960000000000002E-7</v>
      </c>
      <c r="W50" s="43" t="s">
        <v>913</v>
      </c>
      <c r="X50" s="43" t="s">
        <v>65</v>
      </c>
    </row>
    <row r="51" spans="2:24" x14ac:dyDescent="0.2">
      <c r="B51" s="43" t="s">
        <v>134</v>
      </c>
      <c r="C51" s="43">
        <v>240</v>
      </c>
      <c r="D51" s="43" t="s">
        <v>448</v>
      </c>
      <c r="E51" s="43" t="s">
        <v>106</v>
      </c>
      <c r="F51" s="43" t="s">
        <v>450</v>
      </c>
      <c r="G51" s="43" t="s">
        <v>385</v>
      </c>
      <c r="H51" s="43">
        <v>60</v>
      </c>
      <c r="I51" s="43">
        <v>-7.5412999999999997</v>
      </c>
      <c r="J51" s="28">
        <v>-5.6309999999999999E-8</v>
      </c>
      <c r="K51" s="43" t="s">
        <v>913</v>
      </c>
      <c r="L51" s="43" t="s">
        <v>65</v>
      </c>
      <c r="N51" s="43" t="s">
        <v>134</v>
      </c>
      <c r="O51" s="43">
        <v>240</v>
      </c>
      <c r="P51" s="43" t="s">
        <v>448</v>
      </c>
      <c r="Q51" s="43" t="s">
        <v>379</v>
      </c>
      <c r="R51" s="43" t="s">
        <v>450</v>
      </c>
      <c r="S51" s="43" t="s">
        <v>385</v>
      </c>
      <c r="T51" s="43">
        <v>10</v>
      </c>
      <c r="U51" s="43">
        <v>-7.5701000000000001</v>
      </c>
      <c r="V51" s="28">
        <v>-5.6519999999999999E-8</v>
      </c>
      <c r="W51" s="43" t="s">
        <v>913</v>
      </c>
      <c r="X51" s="43" t="s">
        <v>65</v>
      </c>
    </row>
    <row r="52" spans="2:24" x14ac:dyDescent="0.2">
      <c r="B52" s="43" t="s">
        <v>134</v>
      </c>
      <c r="C52" s="43">
        <v>241</v>
      </c>
      <c r="D52" s="43" t="s">
        <v>448</v>
      </c>
      <c r="E52" s="43" t="s">
        <v>106</v>
      </c>
      <c r="F52" s="43" t="s">
        <v>451</v>
      </c>
      <c r="G52" s="43" t="s">
        <v>383</v>
      </c>
      <c r="H52" s="43">
        <v>60</v>
      </c>
      <c r="I52" s="43">
        <v>-40.387099999999997</v>
      </c>
      <c r="J52" s="28">
        <v>-3.1880000000000002E-7</v>
      </c>
      <c r="K52" s="43" t="s">
        <v>913</v>
      </c>
      <c r="L52" s="43" t="s">
        <v>65</v>
      </c>
      <c r="N52" s="43" t="s">
        <v>134</v>
      </c>
      <c r="O52" s="43">
        <v>241</v>
      </c>
      <c r="P52" s="43" t="s">
        <v>448</v>
      </c>
      <c r="Q52" s="43" t="s">
        <v>379</v>
      </c>
      <c r="R52" s="43" t="s">
        <v>451</v>
      </c>
      <c r="S52" s="43" t="s">
        <v>383</v>
      </c>
      <c r="T52" s="43">
        <v>10</v>
      </c>
      <c r="U52" s="43">
        <v>-40.360999999999997</v>
      </c>
      <c r="V52" s="28">
        <v>-3.1860000000000001E-7</v>
      </c>
      <c r="W52" s="43" t="s">
        <v>913</v>
      </c>
      <c r="X52" s="43" t="s">
        <v>65</v>
      </c>
    </row>
    <row r="53" spans="2:24" x14ac:dyDescent="0.2">
      <c r="B53" s="43" t="s">
        <v>134</v>
      </c>
      <c r="C53" s="43">
        <v>241</v>
      </c>
      <c r="D53" s="43" t="s">
        <v>448</v>
      </c>
      <c r="E53" s="43" t="s">
        <v>106</v>
      </c>
      <c r="F53" s="43" t="s">
        <v>452</v>
      </c>
      <c r="G53" s="43" t="s">
        <v>385</v>
      </c>
      <c r="H53" s="43">
        <v>60</v>
      </c>
      <c r="I53" s="43">
        <v>-9.5510999999999999</v>
      </c>
      <c r="J53" s="28">
        <v>-7.5390000000000002E-8</v>
      </c>
      <c r="K53" s="43" t="s">
        <v>913</v>
      </c>
      <c r="L53" s="43" t="s">
        <v>65</v>
      </c>
      <c r="N53" s="43" t="s">
        <v>134</v>
      </c>
      <c r="O53" s="43">
        <v>241</v>
      </c>
      <c r="P53" s="43" t="s">
        <v>448</v>
      </c>
      <c r="Q53" s="43" t="s">
        <v>379</v>
      </c>
      <c r="R53" s="43" t="s">
        <v>452</v>
      </c>
      <c r="S53" s="43" t="s">
        <v>385</v>
      </c>
      <c r="T53" s="43">
        <v>10</v>
      </c>
      <c r="U53" s="43">
        <v>-9.5771999999999995</v>
      </c>
      <c r="V53" s="28">
        <v>-7.5600000000000002E-8</v>
      </c>
      <c r="W53" s="43" t="s">
        <v>913</v>
      </c>
      <c r="X53" s="43" t="s">
        <v>65</v>
      </c>
    </row>
    <row r="54" spans="2:24" x14ac:dyDescent="0.2">
      <c r="B54" s="43" t="s">
        <v>134</v>
      </c>
      <c r="C54" s="43">
        <v>242</v>
      </c>
      <c r="D54" s="43" t="s">
        <v>448</v>
      </c>
      <c r="E54" s="43" t="s">
        <v>106</v>
      </c>
      <c r="F54" s="43" t="s">
        <v>453</v>
      </c>
      <c r="G54" s="43" t="s">
        <v>383</v>
      </c>
      <c r="H54" s="43">
        <v>60</v>
      </c>
      <c r="I54" s="43">
        <v>-42.179000000000002</v>
      </c>
      <c r="J54" s="28">
        <v>-3.1489999999999999E-7</v>
      </c>
      <c r="K54" s="43" t="s">
        <v>913</v>
      </c>
      <c r="L54" s="43" t="s">
        <v>65</v>
      </c>
      <c r="N54" s="43" t="s">
        <v>134</v>
      </c>
      <c r="O54" s="43">
        <v>242</v>
      </c>
      <c r="P54" s="43" t="s">
        <v>448</v>
      </c>
      <c r="Q54" s="43" t="s">
        <v>379</v>
      </c>
      <c r="R54" s="43" t="s">
        <v>453</v>
      </c>
      <c r="S54" s="43" t="s">
        <v>383</v>
      </c>
      <c r="T54" s="43">
        <v>10</v>
      </c>
      <c r="U54" s="43">
        <v>-42.148800000000001</v>
      </c>
      <c r="V54" s="28">
        <v>-3.1469999999999998E-7</v>
      </c>
      <c r="W54" s="43" t="s">
        <v>913</v>
      </c>
      <c r="X54" s="43" t="s">
        <v>65</v>
      </c>
    </row>
    <row r="55" spans="2:24" x14ac:dyDescent="0.2">
      <c r="B55" s="43" t="s">
        <v>134</v>
      </c>
      <c r="C55" s="43">
        <v>242</v>
      </c>
      <c r="D55" s="43" t="s">
        <v>448</v>
      </c>
      <c r="E55" s="43" t="s">
        <v>106</v>
      </c>
      <c r="F55" s="43" t="s">
        <v>454</v>
      </c>
      <c r="G55" s="43" t="s">
        <v>385</v>
      </c>
      <c r="H55" s="43">
        <v>60</v>
      </c>
      <c r="I55" s="43">
        <v>1.4007000000000001</v>
      </c>
      <c r="J55" s="28">
        <v>1.0460000000000001E-8</v>
      </c>
      <c r="K55" s="43" t="s">
        <v>913</v>
      </c>
      <c r="L55" s="43" t="s">
        <v>65</v>
      </c>
      <c r="N55" s="43" t="s">
        <v>134</v>
      </c>
      <c r="O55" s="43">
        <v>242</v>
      </c>
      <c r="P55" s="43" t="s">
        <v>448</v>
      </c>
      <c r="Q55" s="43" t="s">
        <v>379</v>
      </c>
      <c r="R55" s="43" t="s">
        <v>454</v>
      </c>
      <c r="S55" s="43" t="s">
        <v>385</v>
      </c>
      <c r="T55" s="43">
        <v>10</v>
      </c>
      <c r="U55" s="43">
        <v>1.3691</v>
      </c>
      <c r="V55" s="28">
        <v>1.022E-8</v>
      </c>
      <c r="W55" s="43" t="s">
        <v>913</v>
      </c>
      <c r="X55" s="43" t="s">
        <v>65</v>
      </c>
    </row>
    <row r="56" spans="2:24" x14ac:dyDescent="0.2">
      <c r="B56" s="43" t="s">
        <v>134</v>
      </c>
      <c r="C56" s="43">
        <v>243</v>
      </c>
      <c r="D56" s="43" t="s">
        <v>455</v>
      </c>
      <c r="E56" s="43" t="s">
        <v>106</v>
      </c>
      <c r="F56" s="43" t="s">
        <v>456</v>
      </c>
      <c r="G56" s="43" t="s">
        <v>383</v>
      </c>
      <c r="H56" s="43">
        <v>60</v>
      </c>
      <c r="I56" s="43">
        <v>-33.942900000000002</v>
      </c>
      <c r="J56" s="28">
        <v>-2.755E-7</v>
      </c>
      <c r="K56" s="43" t="s">
        <v>913</v>
      </c>
      <c r="L56" s="43" t="s">
        <v>65</v>
      </c>
      <c r="N56" s="43" t="s">
        <v>134</v>
      </c>
      <c r="O56" s="43">
        <v>243</v>
      </c>
      <c r="P56" s="43" t="s">
        <v>455</v>
      </c>
      <c r="Q56" s="43" t="s">
        <v>379</v>
      </c>
      <c r="R56" s="43" t="s">
        <v>456</v>
      </c>
      <c r="S56" s="43" t="s">
        <v>383</v>
      </c>
      <c r="T56" s="43">
        <v>10</v>
      </c>
      <c r="U56" s="43">
        <v>-33.914000000000001</v>
      </c>
      <c r="V56" s="28">
        <v>-2.7519999999999998E-7</v>
      </c>
      <c r="W56" s="43" t="s">
        <v>913</v>
      </c>
      <c r="X56" s="43" t="s">
        <v>65</v>
      </c>
    </row>
    <row r="57" spans="2:24" x14ac:dyDescent="0.2">
      <c r="B57" s="43" t="s">
        <v>134</v>
      </c>
      <c r="C57" s="43">
        <v>243</v>
      </c>
      <c r="D57" s="43" t="s">
        <v>455</v>
      </c>
      <c r="E57" s="43" t="s">
        <v>106</v>
      </c>
      <c r="F57" s="43" t="s">
        <v>457</v>
      </c>
      <c r="G57" s="43" t="s">
        <v>385</v>
      </c>
      <c r="H57" s="43">
        <v>60</v>
      </c>
      <c r="I57" s="43">
        <v>-2.2149999999999999</v>
      </c>
      <c r="J57" s="28">
        <v>-1.798E-8</v>
      </c>
      <c r="K57" s="43" t="s">
        <v>913</v>
      </c>
      <c r="L57" s="43" t="s">
        <v>65</v>
      </c>
      <c r="N57" s="43" t="s">
        <v>134</v>
      </c>
      <c r="O57" s="43">
        <v>243</v>
      </c>
      <c r="P57" s="43" t="s">
        <v>455</v>
      </c>
      <c r="Q57" s="43" t="s">
        <v>379</v>
      </c>
      <c r="R57" s="43" t="s">
        <v>457</v>
      </c>
      <c r="S57" s="43" t="s">
        <v>385</v>
      </c>
      <c r="T57" s="43">
        <v>10</v>
      </c>
      <c r="U57" s="43">
        <v>-2.2450000000000001</v>
      </c>
      <c r="V57" s="28">
        <v>-1.822E-8</v>
      </c>
      <c r="W57" s="43" t="s">
        <v>913</v>
      </c>
      <c r="X57" s="43" t="s">
        <v>65</v>
      </c>
    </row>
    <row r="58" spans="2:24" x14ac:dyDescent="0.2">
      <c r="B58" s="43" t="s">
        <v>134</v>
      </c>
      <c r="C58" s="43">
        <v>213</v>
      </c>
      <c r="D58" s="43" t="s">
        <v>458</v>
      </c>
      <c r="E58" s="43" t="s">
        <v>106</v>
      </c>
      <c r="F58" s="43" t="s">
        <v>459</v>
      </c>
      <c r="G58" s="43" t="s">
        <v>383</v>
      </c>
      <c r="H58" s="43">
        <v>60</v>
      </c>
      <c r="I58" s="43">
        <v>-34.296799999999998</v>
      </c>
      <c r="J58" s="28">
        <v>-3.7609999999999999E-7</v>
      </c>
      <c r="K58" s="43" t="s">
        <v>913</v>
      </c>
      <c r="L58" s="43" t="s">
        <v>65</v>
      </c>
      <c r="N58" s="43" t="s">
        <v>134</v>
      </c>
      <c r="O58" s="43">
        <v>213</v>
      </c>
      <c r="P58" s="43" t="s">
        <v>458</v>
      </c>
      <c r="Q58" s="43" t="s">
        <v>379</v>
      </c>
      <c r="R58" s="43" t="s">
        <v>459</v>
      </c>
      <c r="S58" s="43" t="s">
        <v>383</v>
      </c>
      <c r="T58" s="43">
        <v>10</v>
      </c>
      <c r="U58" s="43">
        <v>-34.285200000000003</v>
      </c>
      <c r="V58" s="28">
        <v>-3.7599999999999998E-7</v>
      </c>
      <c r="W58" s="43" t="s">
        <v>913</v>
      </c>
      <c r="X58" s="43" t="s">
        <v>65</v>
      </c>
    </row>
    <row r="59" spans="2:24" x14ac:dyDescent="0.2">
      <c r="B59" s="43" t="s">
        <v>134</v>
      </c>
      <c r="C59" s="43">
        <v>213</v>
      </c>
      <c r="D59" s="43" t="s">
        <v>458</v>
      </c>
      <c r="E59" s="43" t="s">
        <v>106</v>
      </c>
      <c r="F59" s="43" t="s">
        <v>460</v>
      </c>
      <c r="G59" s="43" t="s">
        <v>385</v>
      </c>
      <c r="H59" s="43">
        <v>60</v>
      </c>
      <c r="I59" s="43">
        <v>-30.651599999999998</v>
      </c>
      <c r="J59" s="28">
        <v>-3.361E-7</v>
      </c>
      <c r="K59" s="43" t="s">
        <v>913</v>
      </c>
      <c r="L59" s="43" t="s">
        <v>65</v>
      </c>
      <c r="N59" s="43" t="s">
        <v>134</v>
      </c>
      <c r="O59" s="43">
        <v>213</v>
      </c>
      <c r="P59" s="43" t="s">
        <v>458</v>
      </c>
      <c r="Q59" s="43" t="s">
        <v>379</v>
      </c>
      <c r="R59" s="43" t="s">
        <v>460</v>
      </c>
      <c r="S59" s="43" t="s">
        <v>385</v>
      </c>
      <c r="T59" s="43">
        <v>10</v>
      </c>
      <c r="U59" s="43">
        <v>-30.658200000000001</v>
      </c>
      <c r="V59" s="28">
        <v>-3.3620000000000001E-7</v>
      </c>
      <c r="W59" s="43" t="s">
        <v>913</v>
      </c>
      <c r="X59" s="43" t="s">
        <v>65</v>
      </c>
    </row>
    <row r="60" spans="2:24" x14ac:dyDescent="0.2">
      <c r="B60" s="43" t="s">
        <v>134</v>
      </c>
      <c r="C60" s="43">
        <v>216</v>
      </c>
      <c r="D60" s="43" t="s">
        <v>461</v>
      </c>
      <c r="E60" s="43" t="s">
        <v>106</v>
      </c>
      <c r="F60" s="43" t="s">
        <v>462</v>
      </c>
      <c r="G60" s="43" t="s">
        <v>383</v>
      </c>
      <c r="H60" s="43">
        <v>60</v>
      </c>
      <c r="I60" s="43">
        <v>-60.504600000000003</v>
      </c>
      <c r="J60" s="28">
        <v>-9.9999999999999995E-7</v>
      </c>
      <c r="K60" s="43" t="s">
        <v>913</v>
      </c>
      <c r="L60" s="43" t="s">
        <v>65</v>
      </c>
      <c r="N60" s="43" t="s">
        <v>134</v>
      </c>
      <c r="O60" s="43">
        <v>216</v>
      </c>
      <c r="P60" s="43" t="s">
        <v>461</v>
      </c>
      <c r="Q60" s="43" t="s">
        <v>379</v>
      </c>
      <c r="R60" s="43" t="s">
        <v>462</v>
      </c>
      <c r="S60" s="43" t="s">
        <v>383</v>
      </c>
      <c r="T60" s="43">
        <v>10</v>
      </c>
      <c r="U60" s="43">
        <v>-60.494399999999999</v>
      </c>
      <c r="V60" s="28">
        <v>-9.9999999999999995E-7</v>
      </c>
      <c r="W60" s="43" t="s">
        <v>913</v>
      </c>
      <c r="X60" s="43" t="s">
        <v>65</v>
      </c>
    </row>
    <row r="61" spans="2:24" x14ac:dyDescent="0.2">
      <c r="B61" s="43" t="s">
        <v>134</v>
      </c>
      <c r="C61" s="43">
        <v>216</v>
      </c>
      <c r="D61" s="43" t="s">
        <v>461</v>
      </c>
      <c r="E61" s="43" t="s">
        <v>106</v>
      </c>
      <c r="F61" s="43" t="s">
        <v>463</v>
      </c>
      <c r="G61" s="43" t="s">
        <v>385</v>
      </c>
      <c r="H61" s="43">
        <v>60</v>
      </c>
      <c r="I61" s="43">
        <v>-47.427599999999998</v>
      </c>
      <c r="J61" s="28">
        <v>-3.9750000000000001E-7</v>
      </c>
      <c r="K61" s="43" t="s">
        <v>913</v>
      </c>
      <c r="L61" s="43" t="s">
        <v>65</v>
      </c>
      <c r="N61" s="43" t="s">
        <v>134</v>
      </c>
      <c r="O61" s="43">
        <v>216</v>
      </c>
      <c r="P61" s="43" t="s">
        <v>461</v>
      </c>
      <c r="Q61" s="43" t="s">
        <v>379</v>
      </c>
      <c r="R61" s="43" t="s">
        <v>463</v>
      </c>
      <c r="S61" s="43" t="s">
        <v>385</v>
      </c>
      <c r="T61" s="43">
        <v>10</v>
      </c>
      <c r="U61" s="43">
        <v>-47.438200000000002</v>
      </c>
      <c r="V61" s="28">
        <v>-3.9760000000000001E-7</v>
      </c>
      <c r="W61" s="43" t="s">
        <v>913</v>
      </c>
      <c r="X61" s="43" t="s">
        <v>65</v>
      </c>
    </row>
    <row r="62" spans="2:24" x14ac:dyDescent="0.2">
      <c r="B62" s="43" t="s">
        <v>134</v>
      </c>
      <c r="C62" s="43">
        <v>219</v>
      </c>
      <c r="D62" s="43" t="s">
        <v>464</v>
      </c>
      <c r="E62" s="43" t="s">
        <v>106</v>
      </c>
      <c r="F62" s="43" t="s">
        <v>465</v>
      </c>
      <c r="G62" s="43" t="s">
        <v>383</v>
      </c>
      <c r="H62" s="43">
        <v>60</v>
      </c>
      <c r="I62" s="43">
        <v>-50.243200000000002</v>
      </c>
      <c r="J62" s="28">
        <v>-4.1810000000000002E-7</v>
      </c>
      <c r="K62" s="43" t="s">
        <v>913</v>
      </c>
      <c r="L62" s="43" t="s">
        <v>65</v>
      </c>
      <c r="N62" s="43" t="s">
        <v>134</v>
      </c>
      <c r="O62" s="43">
        <v>219</v>
      </c>
      <c r="P62" s="43" t="s">
        <v>464</v>
      </c>
      <c r="Q62" s="43" t="s">
        <v>379</v>
      </c>
      <c r="R62" s="43" t="s">
        <v>465</v>
      </c>
      <c r="S62" s="43" t="s">
        <v>383</v>
      </c>
      <c r="T62" s="43">
        <v>10</v>
      </c>
      <c r="U62" s="43">
        <v>-50.232300000000002</v>
      </c>
      <c r="V62" s="28">
        <v>-4.1800000000000001E-7</v>
      </c>
      <c r="W62" s="43" t="s">
        <v>913</v>
      </c>
      <c r="X62" s="43" t="s">
        <v>65</v>
      </c>
    </row>
    <row r="63" spans="2:24" x14ac:dyDescent="0.2">
      <c r="B63" s="43" t="s">
        <v>134</v>
      </c>
      <c r="C63" s="43">
        <v>219</v>
      </c>
      <c r="D63" s="43" t="s">
        <v>464</v>
      </c>
      <c r="E63" s="43" t="s">
        <v>106</v>
      </c>
      <c r="F63" s="43" t="s">
        <v>466</v>
      </c>
      <c r="G63" s="43" t="s">
        <v>385</v>
      </c>
      <c r="H63" s="43">
        <v>60</v>
      </c>
      <c r="I63" s="43">
        <v>-52.152299999999997</v>
      </c>
      <c r="J63" s="28">
        <v>-4.34E-7</v>
      </c>
      <c r="K63" s="43" t="s">
        <v>913</v>
      </c>
      <c r="L63" s="43" t="s">
        <v>65</v>
      </c>
      <c r="N63" s="43" t="s">
        <v>134</v>
      </c>
      <c r="O63" s="43">
        <v>219</v>
      </c>
      <c r="P63" s="43" t="s">
        <v>464</v>
      </c>
      <c r="Q63" s="43" t="s">
        <v>379</v>
      </c>
      <c r="R63" s="43" t="s">
        <v>466</v>
      </c>
      <c r="S63" s="43" t="s">
        <v>385</v>
      </c>
      <c r="T63" s="43">
        <v>10</v>
      </c>
      <c r="U63" s="43">
        <v>-52.1633</v>
      </c>
      <c r="V63" s="28">
        <v>-4.341E-7</v>
      </c>
      <c r="W63" s="43" t="s">
        <v>913</v>
      </c>
      <c r="X63" s="43" t="s">
        <v>65</v>
      </c>
    </row>
    <row r="64" spans="2:24" x14ac:dyDescent="0.2">
      <c r="B64" s="43" t="s">
        <v>134</v>
      </c>
      <c r="C64" s="43">
        <v>222</v>
      </c>
      <c r="D64" s="43" t="s">
        <v>467</v>
      </c>
      <c r="E64" s="43" t="s">
        <v>106</v>
      </c>
      <c r="F64" s="43" t="s">
        <v>468</v>
      </c>
      <c r="G64" s="43" t="s">
        <v>383</v>
      </c>
      <c r="H64" s="43">
        <v>60</v>
      </c>
      <c r="I64" s="43">
        <v>-50.3262</v>
      </c>
      <c r="J64" s="28">
        <v>-4.1880000000000002E-7</v>
      </c>
      <c r="K64" s="43" t="s">
        <v>913</v>
      </c>
      <c r="L64" s="43" t="s">
        <v>65</v>
      </c>
      <c r="N64" s="43" t="s">
        <v>134</v>
      </c>
      <c r="O64" s="43">
        <v>222</v>
      </c>
      <c r="P64" s="43" t="s">
        <v>467</v>
      </c>
      <c r="Q64" s="43" t="s">
        <v>379</v>
      </c>
      <c r="R64" s="43" t="s">
        <v>468</v>
      </c>
      <c r="S64" s="43" t="s">
        <v>383</v>
      </c>
      <c r="T64" s="43">
        <v>10</v>
      </c>
      <c r="U64" s="43">
        <v>-50.3155</v>
      </c>
      <c r="V64" s="28">
        <v>-4.1870000000000001E-7</v>
      </c>
      <c r="W64" s="43" t="s">
        <v>913</v>
      </c>
      <c r="X64" s="43" t="s">
        <v>65</v>
      </c>
    </row>
    <row r="65" spans="2:24" x14ac:dyDescent="0.2">
      <c r="B65" s="43" t="s">
        <v>134</v>
      </c>
      <c r="C65" s="43">
        <v>222</v>
      </c>
      <c r="D65" s="43" t="s">
        <v>467</v>
      </c>
      <c r="E65" s="43" t="s">
        <v>106</v>
      </c>
      <c r="F65" s="43" t="s">
        <v>469</v>
      </c>
      <c r="G65" s="43" t="s">
        <v>385</v>
      </c>
      <c r="H65" s="43">
        <v>60</v>
      </c>
      <c r="I65" s="43">
        <v>-52.042400000000001</v>
      </c>
      <c r="J65" s="28">
        <v>-4.3309999999999998E-7</v>
      </c>
      <c r="K65" s="43" t="s">
        <v>913</v>
      </c>
      <c r="L65" s="43" t="s">
        <v>65</v>
      </c>
      <c r="N65" s="43" t="s">
        <v>134</v>
      </c>
      <c r="O65" s="43">
        <v>222</v>
      </c>
      <c r="P65" s="43" t="s">
        <v>467</v>
      </c>
      <c r="Q65" s="43" t="s">
        <v>379</v>
      </c>
      <c r="R65" s="43" t="s">
        <v>469</v>
      </c>
      <c r="S65" s="43" t="s">
        <v>385</v>
      </c>
      <c r="T65" s="43">
        <v>10</v>
      </c>
      <c r="U65" s="43">
        <v>-52.053199999999997</v>
      </c>
      <c r="V65" s="28">
        <v>-4.3319999999999999E-7</v>
      </c>
      <c r="W65" s="43" t="s">
        <v>913</v>
      </c>
      <c r="X65" s="43" t="s">
        <v>65</v>
      </c>
    </row>
    <row r="66" spans="2:24" x14ac:dyDescent="0.2">
      <c r="B66" s="43" t="s">
        <v>134</v>
      </c>
      <c r="C66" s="43">
        <v>225</v>
      </c>
      <c r="D66" s="43" t="s">
        <v>470</v>
      </c>
      <c r="E66" s="43" t="s">
        <v>106</v>
      </c>
      <c r="F66" s="43" t="s">
        <v>471</v>
      </c>
      <c r="G66" s="43" t="s">
        <v>383</v>
      </c>
      <c r="H66" s="43">
        <v>60</v>
      </c>
      <c r="I66" s="43">
        <v>-60.113300000000002</v>
      </c>
      <c r="J66" s="28">
        <v>-9.9999999999999995E-7</v>
      </c>
      <c r="K66" s="43" t="s">
        <v>913</v>
      </c>
      <c r="L66" s="43" t="s">
        <v>65</v>
      </c>
      <c r="N66" s="43" t="s">
        <v>134</v>
      </c>
      <c r="O66" s="43">
        <v>225</v>
      </c>
      <c r="P66" s="43" t="s">
        <v>470</v>
      </c>
      <c r="Q66" s="43" t="s">
        <v>379</v>
      </c>
      <c r="R66" s="43" t="s">
        <v>471</v>
      </c>
      <c r="S66" s="43" t="s">
        <v>383</v>
      </c>
      <c r="T66" s="43">
        <v>10</v>
      </c>
      <c r="U66" s="43">
        <v>-60.104300000000002</v>
      </c>
      <c r="V66" s="28">
        <v>-9.9999999999999995E-7</v>
      </c>
      <c r="W66" s="43" t="s">
        <v>913</v>
      </c>
      <c r="X66" s="43" t="s">
        <v>65</v>
      </c>
    </row>
    <row r="67" spans="2:24" x14ac:dyDescent="0.2">
      <c r="B67" s="43" t="s">
        <v>134</v>
      </c>
      <c r="C67" s="43">
        <v>225</v>
      </c>
      <c r="D67" s="43" t="s">
        <v>470</v>
      </c>
      <c r="E67" s="43" t="s">
        <v>106</v>
      </c>
      <c r="F67" s="43" t="s">
        <v>472</v>
      </c>
      <c r="G67" s="43" t="s">
        <v>385</v>
      </c>
      <c r="H67" s="43">
        <v>60</v>
      </c>
      <c r="I67" s="43">
        <v>-47.105499999999999</v>
      </c>
      <c r="J67" s="28">
        <v>-3.9480000000000001E-7</v>
      </c>
      <c r="K67" s="43" t="s">
        <v>913</v>
      </c>
      <c r="L67" s="43" t="s">
        <v>65</v>
      </c>
      <c r="N67" s="43" t="s">
        <v>134</v>
      </c>
      <c r="O67" s="43">
        <v>225</v>
      </c>
      <c r="P67" s="43" t="s">
        <v>470</v>
      </c>
      <c r="Q67" s="43" t="s">
        <v>379</v>
      </c>
      <c r="R67" s="43" t="s">
        <v>472</v>
      </c>
      <c r="S67" s="43" t="s">
        <v>385</v>
      </c>
      <c r="T67" s="43">
        <v>10</v>
      </c>
      <c r="U67" s="43">
        <v>-47.116</v>
      </c>
      <c r="V67" s="28">
        <v>-3.9490000000000002E-7</v>
      </c>
      <c r="W67" s="43" t="s">
        <v>913</v>
      </c>
      <c r="X67" s="43" t="s">
        <v>65</v>
      </c>
    </row>
    <row r="68" spans="2:24" x14ac:dyDescent="0.2">
      <c r="B68" s="43" t="s">
        <v>134</v>
      </c>
      <c r="C68" s="43">
        <v>228</v>
      </c>
      <c r="D68" s="43" t="s">
        <v>473</v>
      </c>
      <c r="E68" s="43" t="s">
        <v>106</v>
      </c>
      <c r="F68" s="43" t="s">
        <v>474</v>
      </c>
      <c r="G68" s="43" t="s">
        <v>383</v>
      </c>
      <c r="H68" s="43">
        <v>60</v>
      </c>
      <c r="I68" s="43">
        <v>-30.8048</v>
      </c>
      <c r="J68" s="28">
        <v>-3.3780000000000002E-7</v>
      </c>
      <c r="K68" s="43" t="s">
        <v>913</v>
      </c>
      <c r="L68" s="43" t="s">
        <v>65</v>
      </c>
      <c r="N68" s="43" t="s">
        <v>134</v>
      </c>
      <c r="O68" s="43">
        <v>228</v>
      </c>
      <c r="P68" s="43" t="s">
        <v>473</v>
      </c>
      <c r="Q68" s="43" t="s">
        <v>379</v>
      </c>
      <c r="R68" s="43" t="s">
        <v>474</v>
      </c>
      <c r="S68" s="43" t="s">
        <v>383</v>
      </c>
      <c r="T68" s="43">
        <v>10</v>
      </c>
      <c r="U68" s="43">
        <v>-30.799600000000002</v>
      </c>
      <c r="V68" s="28">
        <v>-3.3770000000000001E-7</v>
      </c>
      <c r="W68" s="43" t="s">
        <v>913</v>
      </c>
      <c r="X68" s="43" t="s">
        <v>65</v>
      </c>
    </row>
    <row r="69" spans="2:24" x14ac:dyDescent="0.2">
      <c r="B69" s="43" t="s">
        <v>134</v>
      </c>
      <c r="C69" s="43">
        <v>228</v>
      </c>
      <c r="D69" s="43" t="s">
        <v>473</v>
      </c>
      <c r="E69" s="43" t="s">
        <v>106</v>
      </c>
      <c r="F69" s="43" t="s">
        <v>475</v>
      </c>
      <c r="G69" s="43" t="s">
        <v>385</v>
      </c>
      <c r="H69" s="43">
        <v>60</v>
      </c>
      <c r="I69" s="43">
        <v>-28.51</v>
      </c>
      <c r="J69" s="28">
        <v>-3.1259999999999998E-7</v>
      </c>
      <c r="K69" s="43" t="s">
        <v>913</v>
      </c>
      <c r="L69" s="43" t="s">
        <v>65</v>
      </c>
      <c r="N69" s="43" t="s">
        <v>134</v>
      </c>
      <c r="O69" s="43">
        <v>228</v>
      </c>
      <c r="P69" s="43" t="s">
        <v>473</v>
      </c>
      <c r="Q69" s="43" t="s">
        <v>379</v>
      </c>
      <c r="R69" s="43" t="s">
        <v>475</v>
      </c>
      <c r="S69" s="43" t="s">
        <v>385</v>
      </c>
      <c r="T69" s="43">
        <v>10</v>
      </c>
      <c r="U69" s="43">
        <v>-28.5198</v>
      </c>
      <c r="V69" s="28">
        <v>-3.1269999999999999E-7</v>
      </c>
      <c r="W69" s="43" t="s">
        <v>913</v>
      </c>
      <c r="X69" s="43" t="s">
        <v>65</v>
      </c>
    </row>
    <row r="70" spans="2:24" x14ac:dyDescent="0.2">
      <c r="B70" s="43" t="s">
        <v>134</v>
      </c>
      <c r="C70" s="43">
        <v>244</v>
      </c>
      <c r="D70" s="43" t="s">
        <v>476</v>
      </c>
      <c r="E70" s="43" t="s">
        <v>106</v>
      </c>
      <c r="F70" s="43" t="s">
        <v>477</v>
      </c>
      <c r="G70" s="43" t="s">
        <v>383</v>
      </c>
      <c r="H70" s="43">
        <v>60</v>
      </c>
      <c r="I70" s="43">
        <v>-21.546700000000001</v>
      </c>
      <c r="J70" s="28">
        <v>-2.4649999999999999E-7</v>
      </c>
      <c r="K70" s="43" t="s">
        <v>913</v>
      </c>
      <c r="L70" s="43" t="s">
        <v>65</v>
      </c>
      <c r="N70" s="43" t="s">
        <v>134</v>
      </c>
      <c r="O70" s="43">
        <v>244</v>
      </c>
      <c r="P70" s="43" t="s">
        <v>476</v>
      </c>
      <c r="Q70" s="43" t="s">
        <v>379</v>
      </c>
      <c r="R70" s="43" t="s">
        <v>477</v>
      </c>
      <c r="S70" s="43" t="s">
        <v>383</v>
      </c>
      <c r="T70" s="43">
        <v>10</v>
      </c>
      <c r="U70" s="43">
        <v>-21.526599999999998</v>
      </c>
      <c r="V70" s="28">
        <v>-2.4629999999999998E-7</v>
      </c>
      <c r="W70" s="43" t="s">
        <v>913</v>
      </c>
      <c r="X70" s="43" t="s">
        <v>65</v>
      </c>
    </row>
    <row r="71" spans="2:24" x14ac:dyDescent="0.2">
      <c r="B71" s="43" t="s">
        <v>134</v>
      </c>
      <c r="C71" s="43">
        <v>244</v>
      </c>
      <c r="D71" s="43" t="s">
        <v>476</v>
      </c>
      <c r="E71" s="43" t="s">
        <v>106</v>
      </c>
      <c r="F71" s="43" t="s">
        <v>478</v>
      </c>
      <c r="G71" s="43" t="s">
        <v>385</v>
      </c>
      <c r="H71" s="43">
        <v>60</v>
      </c>
      <c r="I71" s="43">
        <v>-6.0679999999999996</v>
      </c>
      <c r="J71" s="28">
        <v>-6.9419999999999996E-8</v>
      </c>
      <c r="K71" s="43" t="s">
        <v>913</v>
      </c>
      <c r="L71" s="43" t="s">
        <v>65</v>
      </c>
      <c r="N71" s="43" t="s">
        <v>134</v>
      </c>
      <c r="O71" s="43">
        <v>244</v>
      </c>
      <c r="P71" s="43" t="s">
        <v>476</v>
      </c>
      <c r="Q71" s="43" t="s">
        <v>379</v>
      </c>
      <c r="R71" s="43" t="s">
        <v>478</v>
      </c>
      <c r="S71" s="43" t="s">
        <v>385</v>
      </c>
      <c r="T71" s="43">
        <v>10</v>
      </c>
      <c r="U71" s="43">
        <v>-6.0891000000000002</v>
      </c>
      <c r="V71" s="28">
        <v>-6.9660000000000003E-8</v>
      </c>
      <c r="W71" s="43" t="s">
        <v>913</v>
      </c>
      <c r="X71" s="43" t="s">
        <v>65</v>
      </c>
    </row>
    <row r="72" spans="2:24" x14ac:dyDescent="0.2">
      <c r="B72" s="43" t="s">
        <v>134</v>
      </c>
      <c r="C72" s="43">
        <v>245</v>
      </c>
      <c r="D72" s="43" t="s">
        <v>479</v>
      </c>
      <c r="E72" s="43" t="s">
        <v>106</v>
      </c>
      <c r="F72" s="43" t="s">
        <v>480</v>
      </c>
      <c r="G72" s="43" t="s">
        <v>383</v>
      </c>
      <c r="H72" s="43">
        <v>60</v>
      </c>
      <c r="I72" s="43">
        <v>-28.7943</v>
      </c>
      <c r="J72" s="28">
        <v>-3.1160000000000001E-7</v>
      </c>
      <c r="K72" s="43" t="s">
        <v>913</v>
      </c>
      <c r="L72" s="43" t="s">
        <v>65</v>
      </c>
      <c r="N72" s="43" t="s">
        <v>134</v>
      </c>
      <c r="O72" s="43">
        <v>245</v>
      </c>
      <c r="P72" s="43" t="s">
        <v>479</v>
      </c>
      <c r="Q72" s="43" t="s">
        <v>379</v>
      </c>
      <c r="R72" s="43" t="s">
        <v>480</v>
      </c>
      <c r="S72" s="43" t="s">
        <v>383</v>
      </c>
      <c r="T72" s="43">
        <v>10</v>
      </c>
      <c r="U72" s="43">
        <v>-28.771599999999999</v>
      </c>
      <c r="V72" s="28">
        <v>-3.1129999999999999E-7</v>
      </c>
      <c r="W72" s="43" t="s">
        <v>913</v>
      </c>
      <c r="X72" s="43" t="s">
        <v>65</v>
      </c>
    </row>
    <row r="73" spans="2:24" x14ac:dyDescent="0.2">
      <c r="B73" s="43" t="s">
        <v>134</v>
      </c>
      <c r="C73" s="43">
        <v>245</v>
      </c>
      <c r="D73" s="43" t="s">
        <v>479</v>
      </c>
      <c r="E73" s="43" t="s">
        <v>106</v>
      </c>
      <c r="F73" s="43" t="s">
        <v>481</v>
      </c>
      <c r="G73" s="43" t="s">
        <v>385</v>
      </c>
      <c r="H73" s="43">
        <v>60</v>
      </c>
      <c r="I73" s="43">
        <v>3.2259000000000002</v>
      </c>
      <c r="J73" s="28">
        <v>3.491E-8</v>
      </c>
      <c r="K73" s="43" t="s">
        <v>913</v>
      </c>
      <c r="L73" s="43" t="s">
        <v>65</v>
      </c>
      <c r="N73" s="43" t="s">
        <v>134</v>
      </c>
      <c r="O73" s="43">
        <v>245</v>
      </c>
      <c r="P73" s="43" t="s">
        <v>479</v>
      </c>
      <c r="Q73" s="43" t="s">
        <v>379</v>
      </c>
      <c r="R73" s="43" t="s">
        <v>481</v>
      </c>
      <c r="S73" s="43" t="s">
        <v>385</v>
      </c>
      <c r="T73" s="43">
        <v>10</v>
      </c>
      <c r="U73" s="43">
        <v>3.2027999999999999</v>
      </c>
      <c r="V73" s="28">
        <v>3.4660000000000001E-8</v>
      </c>
      <c r="W73" s="43" t="s">
        <v>913</v>
      </c>
      <c r="X73" s="43" t="s">
        <v>65</v>
      </c>
    </row>
    <row r="74" spans="2:24" x14ac:dyDescent="0.2">
      <c r="B74" s="43" t="s">
        <v>134</v>
      </c>
      <c r="C74" s="43">
        <v>246</v>
      </c>
      <c r="D74" s="43" t="s">
        <v>479</v>
      </c>
      <c r="E74" s="43" t="s">
        <v>106</v>
      </c>
      <c r="F74" s="43" t="s">
        <v>482</v>
      </c>
      <c r="G74" s="43" t="s">
        <v>383</v>
      </c>
      <c r="H74" s="43">
        <v>60</v>
      </c>
      <c r="I74" s="43">
        <v>-24.201000000000001</v>
      </c>
      <c r="J74" s="28">
        <v>-2.4690000000000002E-7</v>
      </c>
      <c r="K74" s="43" t="s">
        <v>913</v>
      </c>
      <c r="L74" s="43" t="s">
        <v>65</v>
      </c>
      <c r="N74" s="43" t="s">
        <v>134</v>
      </c>
      <c r="O74" s="43">
        <v>246</v>
      </c>
      <c r="P74" s="43" t="s">
        <v>479</v>
      </c>
      <c r="Q74" s="43" t="s">
        <v>379</v>
      </c>
      <c r="R74" s="43" t="s">
        <v>482</v>
      </c>
      <c r="S74" s="43" t="s">
        <v>383</v>
      </c>
      <c r="T74" s="43">
        <v>10</v>
      </c>
      <c r="U74" s="43">
        <v>-24.1769</v>
      </c>
      <c r="V74" s="28">
        <v>-2.4670000000000001E-7</v>
      </c>
      <c r="W74" s="43" t="s">
        <v>913</v>
      </c>
      <c r="X74" s="43" t="s">
        <v>65</v>
      </c>
    </row>
    <row r="75" spans="2:24" x14ac:dyDescent="0.2">
      <c r="B75" s="43" t="s">
        <v>134</v>
      </c>
      <c r="C75" s="43">
        <v>246</v>
      </c>
      <c r="D75" s="43" t="s">
        <v>479</v>
      </c>
      <c r="E75" s="43" t="s">
        <v>106</v>
      </c>
      <c r="F75" s="43" t="s">
        <v>483</v>
      </c>
      <c r="G75" s="43" t="s">
        <v>385</v>
      </c>
      <c r="H75" s="43">
        <v>60</v>
      </c>
      <c r="I75" s="43">
        <v>4.1448999999999998</v>
      </c>
      <c r="J75" s="28">
        <v>4.2289999999999997E-8</v>
      </c>
      <c r="K75" s="43" t="s">
        <v>913</v>
      </c>
      <c r="L75" s="43" t="s">
        <v>65</v>
      </c>
      <c r="N75" s="43" t="s">
        <v>134</v>
      </c>
      <c r="O75" s="43">
        <v>246</v>
      </c>
      <c r="P75" s="43" t="s">
        <v>479</v>
      </c>
      <c r="Q75" s="43" t="s">
        <v>379</v>
      </c>
      <c r="R75" s="43" t="s">
        <v>483</v>
      </c>
      <c r="S75" s="43" t="s">
        <v>385</v>
      </c>
      <c r="T75" s="43">
        <v>10</v>
      </c>
      <c r="U75" s="43">
        <v>4.1205999999999996</v>
      </c>
      <c r="V75" s="28">
        <v>4.2039999999999998E-8</v>
      </c>
      <c r="W75" s="43" t="s">
        <v>913</v>
      </c>
      <c r="X75" s="43" t="s">
        <v>65</v>
      </c>
    </row>
    <row r="76" spans="2:24" x14ac:dyDescent="0.2">
      <c r="B76" s="43" t="s">
        <v>134</v>
      </c>
      <c r="C76" s="43">
        <v>247</v>
      </c>
      <c r="D76" s="43" t="s">
        <v>479</v>
      </c>
      <c r="E76" s="43" t="s">
        <v>106</v>
      </c>
      <c r="F76" s="43" t="s">
        <v>484</v>
      </c>
      <c r="G76" s="43" t="s">
        <v>383</v>
      </c>
      <c r="H76" s="43">
        <v>60</v>
      </c>
      <c r="I76" s="43">
        <v>-23.542999999999999</v>
      </c>
      <c r="J76" s="28">
        <v>-2.5479999999999998E-7</v>
      </c>
      <c r="K76" s="43" t="s">
        <v>913</v>
      </c>
      <c r="L76" s="43" t="s">
        <v>65</v>
      </c>
      <c r="N76" s="43" t="s">
        <v>134</v>
      </c>
      <c r="O76" s="43">
        <v>247</v>
      </c>
      <c r="P76" s="43" t="s">
        <v>479</v>
      </c>
      <c r="Q76" s="43" t="s">
        <v>379</v>
      </c>
      <c r="R76" s="43" t="s">
        <v>484</v>
      </c>
      <c r="S76" s="43" t="s">
        <v>383</v>
      </c>
      <c r="T76" s="43">
        <v>10</v>
      </c>
      <c r="U76" s="43">
        <v>-23.5199</v>
      </c>
      <c r="V76" s="28">
        <v>-2.5450000000000001E-7</v>
      </c>
      <c r="W76" s="43" t="s">
        <v>913</v>
      </c>
      <c r="X76" s="43" t="s">
        <v>65</v>
      </c>
    </row>
    <row r="77" spans="2:24" x14ac:dyDescent="0.2">
      <c r="B77" s="43" t="s">
        <v>134</v>
      </c>
      <c r="C77" s="43">
        <v>247</v>
      </c>
      <c r="D77" s="43" t="s">
        <v>479</v>
      </c>
      <c r="E77" s="43" t="s">
        <v>106</v>
      </c>
      <c r="F77" s="43" t="s">
        <v>485</v>
      </c>
      <c r="G77" s="43" t="s">
        <v>385</v>
      </c>
      <c r="H77" s="43">
        <v>60</v>
      </c>
      <c r="I77" s="43">
        <v>-1.8907</v>
      </c>
      <c r="J77" s="28">
        <v>-2.0459999999999999E-8</v>
      </c>
      <c r="K77" s="43" t="s">
        <v>913</v>
      </c>
      <c r="L77" s="43" t="s">
        <v>65</v>
      </c>
      <c r="N77" s="43" t="s">
        <v>134</v>
      </c>
      <c r="O77" s="43">
        <v>247</v>
      </c>
      <c r="P77" s="43" t="s">
        <v>479</v>
      </c>
      <c r="Q77" s="43" t="s">
        <v>379</v>
      </c>
      <c r="R77" s="43" t="s">
        <v>485</v>
      </c>
      <c r="S77" s="43" t="s">
        <v>385</v>
      </c>
      <c r="T77" s="43">
        <v>10</v>
      </c>
      <c r="U77" s="43">
        <v>-1.9140999999999999</v>
      </c>
      <c r="V77" s="28">
        <v>-2.0710000000000001E-8</v>
      </c>
      <c r="W77" s="43" t="s">
        <v>913</v>
      </c>
      <c r="X77" s="43" t="s">
        <v>65</v>
      </c>
    </row>
    <row r="78" spans="2:24" x14ac:dyDescent="0.2">
      <c r="B78" s="43" t="s">
        <v>134</v>
      </c>
      <c r="C78" s="43">
        <v>248</v>
      </c>
      <c r="D78" s="43" t="s">
        <v>486</v>
      </c>
      <c r="E78" s="43" t="s">
        <v>106</v>
      </c>
      <c r="F78" s="43" t="s">
        <v>487</v>
      </c>
      <c r="G78" s="43" t="s">
        <v>383</v>
      </c>
      <c r="H78" s="43">
        <v>60</v>
      </c>
      <c r="I78" s="43">
        <v>-29.873100000000001</v>
      </c>
      <c r="J78" s="28">
        <v>-3.417E-7</v>
      </c>
      <c r="K78" s="43" t="s">
        <v>913</v>
      </c>
      <c r="L78" s="43" t="s">
        <v>65</v>
      </c>
      <c r="N78" s="43" t="s">
        <v>134</v>
      </c>
      <c r="O78" s="43">
        <v>248</v>
      </c>
      <c r="P78" s="43" t="s">
        <v>486</v>
      </c>
      <c r="Q78" s="43" t="s">
        <v>379</v>
      </c>
      <c r="R78" s="43" t="s">
        <v>487</v>
      </c>
      <c r="S78" s="43" t="s">
        <v>383</v>
      </c>
      <c r="T78" s="43">
        <v>10</v>
      </c>
      <c r="U78" s="43">
        <v>-29.852399999999999</v>
      </c>
      <c r="V78" s="28">
        <v>-3.4149999999999998E-7</v>
      </c>
      <c r="W78" s="43" t="s">
        <v>913</v>
      </c>
      <c r="X78" s="43" t="s">
        <v>65</v>
      </c>
    </row>
    <row r="79" spans="2:24" x14ac:dyDescent="0.2">
      <c r="B79" s="43" t="s">
        <v>134</v>
      </c>
      <c r="C79" s="43">
        <v>248</v>
      </c>
      <c r="D79" s="43" t="s">
        <v>486</v>
      </c>
      <c r="E79" s="43" t="s">
        <v>106</v>
      </c>
      <c r="F79" s="43" t="s">
        <v>488</v>
      </c>
      <c r="G79" s="43" t="s">
        <v>385</v>
      </c>
      <c r="H79" s="43">
        <v>60</v>
      </c>
      <c r="I79" s="43">
        <v>1.7202999999999999</v>
      </c>
      <c r="J79" s="28">
        <v>1.9680000000000002E-8</v>
      </c>
      <c r="K79" s="43" t="s">
        <v>913</v>
      </c>
      <c r="L79" s="43" t="s">
        <v>65</v>
      </c>
      <c r="N79" s="43" t="s">
        <v>134</v>
      </c>
      <c r="O79" s="43">
        <v>248</v>
      </c>
      <c r="P79" s="43" t="s">
        <v>486</v>
      </c>
      <c r="Q79" s="43" t="s">
        <v>379</v>
      </c>
      <c r="R79" s="43" t="s">
        <v>488</v>
      </c>
      <c r="S79" s="43" t="s">
        <v>385</v>
      </c>
      <c r="T79" s="43">
        <v>10</v>
      </c>
      <c r="U79" s="43">
        <v>1.6996</v>
      </c>
      <c r="V79" s="28">
        <v>1.9440000000000001E-8</v>
      </c>
      <c r="W79" s="43" t="s">
        <v>913</v>
      </c>
      <c r="X79" s="43" t="s">
        <v>65</v>
      </c>
    </row>
    <row r="80" spans="2:24" x14ac:dyDescent="0.2">
      <c r="B80" s="43" t="s">
        <v>183</v>
      </c>
      <c r="C80" s="43">
        <v>291</v>
      </c>
      <c r="D80" s="43" t="s">
        <v>489</v>
      </c>
      <c r="E80" s="43" t="s">
        <v>106</v>
      </c>
      <c r="F80" s="43" t="s">
        <v>490</v>
      </c>
      <c r="G80" s="43" t="s">
        <v>383</v>
      </c>
      <c r="H80" s="43">
        <v>60</v>
      </c>
      <c r="I80" s="43">
        <v>-38.468000000000004</v>
      </c>
      <c r="J80" s="28">
        <v>-3.9429999999999998E-7</v>
      </c>
      <c r="K80" s="43" t="s">
        <v>913</v>
      </c>
      <c r="L80" s="43" t="s">
        <v>65</v>
      </c>
      <c r="N80" s="43" t="s">
        <v>183</v>
      </c>
      <c r="O80" s="43">
        <v>291</v>
      </c>
      <c r="P80" s="43" t="s">
        <v>489</v>
      </c>
      <c r="Q80" s="43" t="s">
        <v>379</v>
      </c>
      <c r="R80" s="43" t="s">
        <v>490</v>
      </c>
      <c r="S80" s="43" t="s">
        <v>383</v>
      </c>
      <c r="T80" s="43">
        <v>10</v>
      </c>
      <c r="U80" s="43">
        <v>-38.441499999999998</v>
      </c>
      <c r="V80" s="28">
        <v>-3.9410000000000002E-7</v>
      </c>
      <c r="W80" s="43" t="s">
        <v>913</v>
      </c>
      <c r="X80" s="43" t="s">
        <v>65</v>
      </c>
    </row>
    <row r="81" spans="2:24" x14ac:dyDescent="0.2">
      <c r="B81" s="43" t="s">
        <v>183</v>
      </c>
      <c r="C81" s="43">
        <v>291</v>
      </c>
      <c r="D81" s="43" t="s">
        <v>489</v>
      </c>
      <c r="E81" s="43" t="s">
        <v>106</v>
      </c>
      <c r="F81" s="43" t="s">
        <v>491</v>
      </c>
      <c r="G81" s="43" t="s">
        <v>385</v>
      </c>
      <c r="H81" s="43">
        <v>60</v>
      </c>
      <c r="I81" s="43">
        <v>-3.6238000000000001</v>
      </c>
      <c r="J81" s="28">
        <v>-3.7149999999999998E-8</v>
      </c>
      <c r="K81" s="43" t="s">
        <v>913</v>
      </c>
      <c r="L81" s="43" t="s">
        <v>65</v>
      </c>
      <c r="N81" s="43" t="s">
        <v>183</v>
      </c>
      <c r="O81" s="43">
        <v>291</v>
      </c>
      <c r="P81" s="43" t="s">
        <v>489</v>
      </c>
      <c r="Q81" s="43" t="s">
        <v>379</v>
      </c>
      <c r="R81" s="43" t="s">
        <v>491</v>
      </c>
      <c r="S81" s="43" t="s">
        <v>385</v>
      </c>
      <c r="T81" s="43">
        <v>10</v>
      </c>
      <c r="U81" s="43">
        <v>-3.6505000000000001</v>
      </c>
      <c r="V81" s="28">
        <v>-3.742E-8</v>
      </c>
      <c r="W81" s="43" t="s">
        <v>913</v>
      </c>
      <c r="X81" s="43" t="s">
        <v>65</v>
      </c>
    </row>
    <row r="82" spans="2:24" x14ac:dyDescent="0.2">
      <c r="B82" s="43" t="s">
        <v>183</v>
      </c>
      <c r="C82" s="43">
        <v>292</v>
      </c>
      <c r="D82" s="43" t="s">
        <v>492</v>
      </c>
      <c r="E82" s="43" t="s">
        <v>106</v>
      </c>
      <c r="F82" s="43" t="s">
        <v>493</v>
      </c>
      <c r="G82" s="43" t="s">
        <v>383</v>
      </c>
      <c r="H82" s="43">
        <v>60</v>
      </c>
      <c r="I82" s="43">
        <v>-45.6096</v>
      </c>
      <c r="J82" s="28">
        <v>-4.0540000000000002E-7</v>
      </c>
      <c r="K82" s="43" t="s">
        <v>913</v>
      </c>
      <c r="L82" s="43" t="s">
        <v>65</v>
      </c>
      <c r="N82" s="43" t="s">
        <v>183</v>
      </c>
      <c r="O82" s="43">
        <v>292</v>
      </c>
      <c r="P82" s="43" t="s">
        <v>492</v>
      </c>
      <c r="Q82" s="43" t="s">
        <v>379</v>
      </c>
      <c r="R82" s="43" t="s">
        <v>493</v>
      </c>
      <c r="S82" s="43" t="s">
        <v>383</v>
      </c>
      <c r="T82" s="43">
        <v>10</v>
      </c>
      <c r="U82" s="43">
        <v>-45.578400000000002</v>
      </c>
      <c r="V82" s="28">
        <v>-4.0509999999999999E-7</v>
      </c>
      <c r="W82" s="43" t="s">
        <v>913</v>
      </c>
      <c r="X82" s="43" t="s">
        <v>65</v>
      </c>
    </row>
    <row r="83" spans="2:24" x14ac:dyDescent="0.2">
      <c r="B83" s="43" t="s">
        <v>183</v>
      </c>
      <c r="C83" s="43">
        <v>292</v>
      </c>
      <c r="D83" s="43" t="s">
        <v>492</v>
      </c>
      <c r="E83" s="43" t="s">
        <v>106</v>
      </c>
      <c r="F83" s="43" t="s">
        <v>494</v>
      </c>
      <c r="G83" s="43" t="s">
        <v>385</v>
      </c>
      <c r="H83" s="43">
        <v>60</v>
      </c>
      <c r="I83" s="43">
        <v>7.0659000000000001</v>
      </c>
      <c r="J83" s="28">
        <v>6.2810000000000005E-8</v>
      </c>
      <c r="K83" s="43" t="s">
        <v>913</v>
      </c>
      <c r="L83" s="43" t="s">
        <v>65</v>
      </c>
      <c r="N83" s="43" t="s">
        <v>183</v>
      </c>
      <c r="O83" s="43">
        <v>292</v>
      </c>
      <c r="P83" s="43" t="s">
        <v>492</v>
      </c>
      <c r="Q83" s="43" t="s">
        <v>379</v>
      </c>
      <c r="R83" s="43" t="s">
        <v>494</v>
      </c>
      <c r="S83" s="43" t="s">
        <v>385</v>
      </c>
      <c r="T83" s="43">
        <v>10</v>
      </c>
      <c r="U83" s="43">
        <v>7.0369999999999999</v>
      </c>
      <c r="V83" s="28">
        <v>6.2550000000000001E-8</v>
      </c>
      <c r="W83" s="43" t="s">
        <v>913</v>
      </c>
      <c r="X83" s="43" t="s">
        <v>65</v>
      </c>
    </row>
    <row r="84" spans="2:24" x14ac:dyDescent="0.2">
      <c r="B84" s="43" t="s">
        <v>183</v>
      </c>
      <c r="C84" s="43">
        <v>293</v>
      </c>
      <c r="D84" s="43" t="s">
        <v>492</v>
      </c>
      <c r="E84" s="43" t="s">
        <v>106</v>
      </c>
      <c r="F84" s="43" t="s">
        <v>495</v>
      </c>
      <c r="G84" s="43" t="s">
        <v>383</v>
      </c>
      <c r="H84" s="43">
        <v>60</v>
      </c>
      <c r="I84" s="43">
        <v>-37.625900000000001</v>
      </c>
      <c r="J84" s="28">
        <v>-3.1530000000000002E-7</v>
      </c>
      <c r="K84" s="43" t="s">
        <v>913</v>
      </c>
      <c r="L84" s="43" t="s">
        <v>65</v>
      </c>
      <c r="N84" s="43" t="s">
        <v>183</v>
      </c>
      <c r="O84" s="43">
        <v>293</v>
      </c>
      <c r="P84" s="43" t="s">
        <v>492</v>
      </c>
      <c r="Q84" s="43" t="s">
        <v>379</v>
      </c>
      <c r="R84" s="43" t="s">
        <v>495</v>
      </c>
      <c r="S84" s="43" t="s">
        <v>383</v>
      </c>
      <c r="T84" s="43">
        <v>10</v>
      </c>
      <c r="U84" s="43">
        <v>-37.5961</v>
      </c>
      <c r="V84" s="28">
        <v>-3.1510000000000001E-7</v>
      </c>
      <c r="W84" s="43" t="s">
        <v>913</v>
      </c>
      <c r="X84" s="43" t="s">
        <v>65</v>
      </c>
    </row>
    <row r="85" spans="2:24" x14ac:dyDescent="0.2">
      <c r="B85" s="43" t="s">
        <v>183</v>
      </c>
      <c r="C85" s="43">
        <v>293</v>
      </c>
      <c r="D85" s="43" t="s">
        <v>492</v>
      </c>
      <c r="E85" s="43" t="s">
        <v>106</v>
      </c>
      <c r="F85" s="43" t="s">
        <v>496</v>
      </c>
      <c r="G85" s="43" t="s">
        <v>385</v>
      </c>
      <c r="H85" s="43">
        <v>60</v>
      </c>
      <c r="I85" s="43">
        <v>7.8929999999999998</v>
      </c>
      <c r="J85" s="28">
        <v>6.6149999999999993E-8</v>
      </c>
      <c r="K85" s="43" t="s">
        <v>913</v>
      </c>
      <c r="L85" s="43" t="s">
        <v>65</v>
      </c>
      <c r="N85" s="43" t="s">
        <v>183</v>
      </c>
      <c r="O85" s="43">
        <v>293</v>
      </c>
      <c r="P85" s="43" t="s">
        <v>492</v>
      </c>
      <c r="Q85" s="43" t="s">
        <v>379</v>
      </c>
      <c r="R85" s="43" t="s">
        <v>496</v>
      </c>
      <c r="S85" s="43" t="s">
        <v>385</v>
      </c>
      <c r="T85" s="43">
        <v>10</v>
      </c>
      <c r="U85" s="43">
        <v>7.8635000000000002</v>
      </c>
      <c r="V85" s="28">
        <v>6.5900000000000001E-8</v>
      </c>
      <c r="W85" s="43" t="s">
        <v>913</v>
      </c>
      <c r="X85" s="43" t="s">
        <v>65</v>
      </c>
    </row>
    <row r="86" spans="2:24" x14ac:dyDescent="0.2">
      <c r="B86" s="43" t="s">
        <v>183</v>
      </c>
      <c r="C86" s="43">
        <v>294</v>
      </c>
      <c r="D86" s="43" t="s">
        <v>492</v>
      </c>
      <c r="E86" s="43" t="s">
        <v>106</v>
      </c>
      <c r="F86" s="43" t="s">
        <v>497</v>
      </c>
      <c r="G86" s="43" t="s">
        <v>383</v>
      </c>
      <c r="H86" s="43">
        <v>60</v>
      </c>
      <c r="I86" s="43">
        <v>-37.053100000000001</v>
      </c>
      <c r="J86" s="28">
        <v>-3.2940000000000002E-7</v>
      </c>
      <c r="K86" s="43" t="s">
        <v>913</v>
      </c>
      <c r="L86" s="43" t="s">
        <v>65</v>
      </c>
      <c r="N86" s="43" t="s">
        <v>183</v>
      </c>
      <c r="O86" s="43">
        <v>294</v>
      </c>
      <c r="P86" s="43" t="s">
        <v>492</v>
      </c>
      <c r="Q86" s="43" t="s">
        <v>379</v>
      </c>
      <c r="R86" s="43" t="s">
        <v>497</v>
      </c>
      <c r="S86" s="43" t="s">
        <v>383</v>
      </c>
      <c r="T86" s="43">
        <v>10</v>
      </c>
      <c r="U86" s="43">
        <v>-37.023600000000002</v>
      </c>
      <c r="V86" s="28">
        <v>-3.291E-7</v>
      </c>
      <c r="W86" s="43" t="s">
        <v>913</v>
      </c>
      <c r="X86" s="43" t="s">
        <v>65</v>
      </c>
    </row>
    <row r="87" spans="2:24" x14ac:dyDescent="0.2">
      <c r="B87" s="43" t="s">
        <v>183</v>
      </c>
      <c r="C87" s="43">
        <v>294</v>
      </c>
      <c r="D87" s="43" t="s">
        <v>492</v>
      </c>
      <c r="E87" s="43" t="s">
        <v>106</v>
      </c>
      <c r="F87" s="43" t="s">
        <v>498</v>
      </c>
      <c r="G87" s="43" t="s">
        <v>385</v>
      </c>
      <c r="H87" s="43">
        <v>60</v>
      </c>
      <c r="I87" s="43">
        <v>1.1482000000000001</v>
      </c>
      <c r="J87" s="28">
        <v>1.021E-8</v>
      </c>
      <c r="K87" s="43" t="s">
        <v>913</v>
      </c>
      <c r="L87" s="43" t="s">
        <v>65</v>
      </c>
      <c r="N87" s="43" t="s">
        <v>183</v>
      </c>
      <c r="O87" s="43">
        <v>294</v>
      </c>
      <c r="P87" s="43" t="s">
        <v>492</v>
      </c>
      <c r="Q87" s="43" t="s">
        <v>379</v>
      </c>
      <c r="R87" s="43" t="s">
        <v>498</v>
      </c>
      <c r="S87" s="43" t="s">
        <v>385</v>
      </c>
      <c r="T87" s="43">
        <v>10</v>
      </c>
      <c r="U87" s="43">
        <v>1.1173</v>
      </c>
      <c r="V87" s="28">
        <v>9.9309999999999997E-9</v>
      </c>
      <c r="W87" s="43" t="s">
        <v>913</v>
      </c>
      <c r="X87" s="43" t="s">
        <v>65</v>
      </c>
    </row>
    <row r="88" spans="2:24" x14ac:dyDescent="0.2">
      <c r="B88" s="43" t="s">
        <v>183</v>
      </c>
      <c r="C88" s="43">
        <v>295</v>
      </c>
      <c r="D88" s="43" t="s">
        <v>499</v>
      </c>
      <c r="E88" s="43" t="s">
        <v>106</v>
      </c>
      <c r="F88" s="43" t="s">
        <v>500</v>
      </c>
      <c r="G88" s="43" t="s">
        <v>383</v>
      </c>
      <c r="H88" s="43">
        <v>60</v>
      </c>
      <c r="I88" s="43">
        <v>-45.381900000000002</v>
      </c>
      <c r="J88" s="28">
        <v>-4.6520000000000001E-7</v>
      </c>
      <c r="K88" s="43" t="s">
        <v>913</v>
      </c>
      <c r="L88" s="43" t="s">
        <v>65</v>
      </c>
      <c r="N88" s="43" t="s">
        <v>183</v>
      </c>
      <c r="O88" s="43">
        <v>295</v>
      </c>
      <c r="P88" s="43" t="s">
        <v>499</v>
      </c>
      <c r="Q88" s="43" t="s">
        <v>379</v>
      </c>
      <c r="R88" s="43" t="s">
        <v>500</v>
      </c>
      <c r="S88" s="43" t="s">
        <v>383</v>
      </c>
      <c r="T88" s="43">
        <v>10</v>
      </c>
      <c r="U88" s="43">
        <v>-45.354300000000002</v>
      </c>
      <c r="V88" s="28">
        <v>-4.6489999999999999E-7</v>
      </c>
      <c r="W88" s="43" t="s">
        <v>913</v>
      </c>
      <c r="X88" s="43" t="s">
        <v>65</v>
      </c>
    </row>
    <row r="89" spans="2:24" x14ac:dyDescent="0.2">
      <c r="B89" s="43" t="s">
        <v>183</v>
      </c>
      <c r="C89" s="43">
        <v>295</v>
      </c>
      <c r="D89" s="43" t="s">
        <v>499</v>
      </c>
      <c r="E89" s="43" t="s">
        <v>106</v>
      </c>
      <c r="F89" s="43" t="s">
        <v>501</v>
      </c>
      <c r="G89" s="43" t="s">
        <v>385</v>
      </c>
      <c r="H89" s="43">
        <v>60</v>
      </c>
      <c r="I89" s="43">
        <v>1.0697000000000001</v>
      </c>
      <c r="J89" s="28">
        <v>1.097E-8</v>
      </c>
      <c r="K89" s="43" t="s">
        <v>913</v>
      </c>
      <c r="L89" s="43" t="s">
        <v>65</v>
      </c>
      <c r="N89" s="43" t="s">
        <v>183</v>
      </c>
      <c r="O89" s="43">
        <v>295</v>
      </c>
      <c r="P89" s="43" t="s">
        <v>499</v>
      </c>
      <c r="Q89" s="43" t="s">
        <v>379</v>
      </c>
      <c r="R89" s="43" t="s">
        <v>501</v>
      </c>
      <c r="S89" s="43" t="s">
        <v>385</v>
      </c>
      <c r="T89" s="43">
        <v>10</v>
      </c>
      <c r="U89" s="43">
        <v>1.0427</v>
      </c>
      <c r="V89" s="28">
        <v>1.069E-8</v>
      </c>
      <c r="W89" s="43" t="s">
        <v>913</v>
      </c>
      <c r="X89" s="43" t="s">
        <v>65</v>
      </c>
    </row>
    <row r="90" spans="2:24" x14ac:dyDescent="0.2">
      <c r="B90" s="43" t="s">
        <v>183</v>
      </c>
      <c r="C90" s="43">
        <v>273</v>
      </c>
      <c r="D90" s="43" t="s">
        <v>502</v>
      </c>
      <c r="E90" s="43" t="s">
        <v>106</v>
      </c>
      <c r="F90" s="43" t="s">
        <v>503</v>
      </c>
      <c r="G90" s="43" t="s">
        <v>383</v>
      </c>
      <c r="H90" s="43">
        <v>60</v>
      </c>
      <c r="I90" s="43">
        <v>-49.626100000000001</v>
      </c>
      <c r="J90" s="28">
        <v>-4.6960000000000002E-7</v>
      </c>
      <c r="K90" s="43" t="s">
        <v>913</v>
      </c>
      <c r="L90" s="43" t="s">
        <v>65</v>
      </c>
      <c r="N90" s="43" t="s">
        <v>183</v>
      </c>
      <c r="O90" s="43">
        <v>273</v>
      </c>
      <c r="P90" s="43" t="s">
        <v>502</v>
      </c>
      <c r="Q90" s="43" t="s">
        <v>379</v>
      </c>
      <c r="R90" s="43" t="s">
        <v>503</v>
      </c>
      <c r="S90" s="43" t="s">
        <v>383</v>
      </c>
      <c r="T90" s="43">
        <v>10</v>
      </c>
      <c r="U90" s="43">
        <v>-49.611199999999997</v>
      </c>
      <c r="V90" s="28">
        <v>-4.6940000000000001E-7</v>
      </c>
      <c r="W90" s="43" t="s">
        <v>913</v>
      </c>
      <c r="X90" s="43" t="s">
        <v>65</v>
      </c>
    </row>
    <row r="91" spans="2:24" x14ac:dyDescent="0.2">
      <c r="B91" s="43" t="s">
        <v>183</v>
      </c>
      <c r="C91" s="43">
        <v>273</v>
      </c>
      <c r="D91" s="43" t="s">
        <v>502</v>
      </c>
      <c r="E91" s="43" t="s">
        <v>106</v>
      </c>
      <c r="F91" s="43" t="s">
        <v>504</v>
      </c>
      <c r="G91" s="43" t="s">
        <v>385</v>
      </c>
      <c r="H91" s="43">
        <v>60</v>
      </c>
      <c r="I91" s="43">
        <v>-47.872799999999998</v>
      </c>
      <c r="J91" s="28">
        <v>-4.5299999999999999E-7</v>
      </c>
      <c r="K91" s="43" t="s">
        <v>913</v>
      </c>
      <c r="L91" s="43" t="s">
        <v>65</v>
      </c>
      <c r="N91" s="43" t="s">
        <v>183</v>
      </c>
      <c r="O91" s="43">
        <v>273</v>
      </c>
      <c r="P91" s="43" t="s">
        <v>502</v>
      </c>
      <c r="Q91" s="43" t="s">
        <v>379</v>
      </c>
      <c r="R91" s="43" t="s">
        <v>504</v>
      </c>
      <c r="S91" s="43" t="s">
        <v>385</v>
      </c>
      <c r="T91" s="43">
        <v>10</v>
      </c>
      <c r="U91" s="43">
        <v>-47.882100000000001</v>
      </c>
      <c r="V91" s="28">
        <v>-4.531E-7</v>
      </c>
      <c r="W91" s="43" t="s">
        <v>913</v>
      </c>
      <c r="X91" s="43" t="s">
        <v>65</v>
      </c>
    </row>
    <row r="92" spans="2:24" x14ac:dyDescent="0.2">
      <c r="B92" s="43" t="s">
        <v>183</v>
      </c>
      <c r="C92" s="43">
        <v>276</v>
      </c>
      <c r="D92" s="43" t="s">
        <v>505</v>
      </c>
      <c r="E92" s="43" t="s">
        <v>106</v>
      </c>
      <c r="F92" s="43" t="s">
        <v>506</v>
      </c>
      <c r="G92" s="43" t="s">
        <v>383</v>
      </c>
      <c r="H92" s="43">
        <v>60</v>
      </c>
      <c r="I92" s="43">
        <v>-58.535200000000003</v>
      </c>
      <c r="J92" s="28">
        <v>-3.9470000000000001E-7</v>
      </c>
      <c r="K92" s="43" t="s">
        <v>913</v>
      </c>
      <c r="L92" s="43" t="s">
        <v>65</v>
      </c>
      <c r="N92" s="43" t="s">
        <v>183</v>
      </c>
      <c r="O92" s="43">
        <v>276</v>
      </c>
      <c r="P92" s="43" t="s">
        <v>505</v>
      </c>
      <c r="Q92" s="43" t="s">
        <v>379</v>
      </c>
      <c r="R92" s="43" t="s">
        <v>506</v>
      </c>
      <c r="S92" s="43" t="s">
        <v>383</v>
      </c>
      <c r="T92" s="43">
        <v>10</v>
      </c>
      <c r="U92" s="43">
        <v>-58.517000000000003</v>
      </c>
      <c r="V92" s="28">
        <v>-3.946E-7</v>
      </c>
      <c r="W92" s="43" t="s">
        <v>913</v>
      </c>
      <c r="X92" s="43" t="s">
        <v>65</v>
      </c>
    </row>
    <row r="93" spans="2:24" x14ac:dyDescent="0.2">
      <c r="B93" s="43" t="s">
        <v>183</v>
      </c>
      <c r="C93" s="43">
        <v>276</v>
      </c>
      <c r="D93" s="43" t="s">
        <v>505</v>
      </c>
      <c r="E93" s="43" t="s">
        <v>106</v>
      </c>
      <c r="F93" s="43" t="s">
        <v>507</v>
      </c>
      <c r="G93" s="43" t="s">
        <v>385</v>
      </c>
      <c r="H93" s="43">
        <v>60</v>
      </c>
      <c r="I93" s="43">
        <v>-71.961399999999998</v>
      </c>
      <c r="J93" s="28">
        <v>-4.8530000000000004E-7</v>
      </c>
      <c r="K93" s="43" t="s">
        <v>913</v>
      </c>
      <c r="L93" s="43" t="s">
        <v>65</v>
      </c>
      <c r="N93" s="43" t="s">
        <v>183</v>
      </c>
      <c r="O93" s="43">
        <v>276</v>
      </c>
      <c r="P93" s="43" t="s">
        <v>505</v>
      </c>
      <c r="Q93" s="43" t="s">
        <v>379</v>
      </c>
      <c r="R93" s="43" t="s">
        <v>507</v>
      </c>
      <c r="S93" s="43" t="s">
        <v>385</v>
      </c>
      <c r="T93" s="43">
        <v>10</v>
      </c>
      <c r="U93" s="43">
        <v>-71.979100000000003</v>
      </c>
      <c r="V93" s="28">
        <v>-4.8540000000000005E-7</v>
      </c>
      <c r="W93" s="43" t="s">
        <v>913</v>
      </c>
      <c r="X93" s="43" t="s">
        <v>65</v>
      </c>
    </row>
    <row r="94" spans="2:24" x14ac:dyDescent="0.2">
      <c r="B94" s="43" t="s">
        <v>183</v>
      </c>
      <c r="C94" s="43">
        <v>279</v>
      </c>
      <c r="D94" s="43" t="s">
        <v>508</v>
      </c>
      <c r="E94" s="43" t="s">
        <v>106</v>
      </c>
      <c r="F94" s="43" t="s">
        <v>509</v>
      </c>
      <c r="G94" s="43" t="s">
        <v>383</v>
      </c>
      <c r="H94" s="43">
        <v>60</v>
      </c>
      <c r="I94" s="43">
        <v>-67.769900000000007</v>
      </c>
      <c r="J94" s="28">
        <v>-4.7899999999999999E-7</v>
      </c>
      <c r="K94" s="43" t="s">
        <v>913</v>
      </c>
      <c r="L94" s="43" t="s">
        <v>65</v>
      </c>
      <c r="N94" s="43" t="s">
        <v>183</v>
      </c>
      <c r="O94" s="43">
        <v>279</v>
      </c>
      <c r="P94" s="43" t="s">
        <v>508</v>
      </c>
      <c r="Q94" s="43" t="s">
        <v>379</v>
      </c>
      <c r="R94" s="43" t="s">
        <v>509</v>
      </c>
      <c r="S94" s="43" t="s">
        <v>383</v>
      </c>
      <c r="T94" s="43">
        <v>10</v>
      </c>
      <c r="U94" s="43">
        <v>-67.752399999999994</v>
      </c>
      <c r="V94" s="28">
        <v>-4.7889999999999998E-7</v>
      </c>
      <c r="W94" s="43" t="s">
        <v>913</v>
      </c>
      <c r="X94" s="43" t="s">
        <v>65</v>
      </c>
    </row>
    <row r="95" spans="2:24" x14ac:dyDescent="0.2">
      <c r="B95" s="43" t="s">
        <v>183</v>
      </c>
      <c r="C95" s="43">
        <v>279</v>
      </c>
      <c r="D95" s="43" t="s">
        <v>508</v>
      </c>
      <c r="E95" s="43" t="s">
        <v>106</v>
      </c>
      <c r="F95" s="43" t="s">
        <v>510</v>
      </c>
      <c r="G95" s="43" t="s">
        <v>385</v>
      </c>
      <c r="H95" s="43">
        <v>60</v>
      </c>
      <c r="I95" s="43">
        <v>-56.473100000000002</v>
      </c>
      <c r="J95" s="28">
        <v>-3.9919999999999997E-7</v>
      </c>
      <c r="K95" s="43" t="s">
        <v>913</v>
      </c>
      <c r="L95" s="43" t="s">
        <v>65</v>
      </c>
      <c r="N95" s="43" t="s">
        <v>183</v>
      </c>
      <c r="O95" s="43">
        <v>279</v>
      </c>
      <c r="P95" s="43" t="s">
        <v>508</v>
      </c>
      <c r="Q95" s="43" t="s">
        <v>379</v>
      </c>
      <c r="R95" s="43" t="s">
        <v>510</v>
      </c>
      <c r="S95" s="43" t="s">
        <v>385</v>
      </c>
      <c r="T95" s="43">
        <v>10</v>
      </c>
      <c r="U95" s="43">
        <v>-56.489600000000003</v>
      </c>
      <c r="V95" s="28">
        <v>-3.9929999999999998E-7</v>
      </c>
      <c r="W95" s="43" t="s">
        <v>913</v>
      </c>
      <c r="X95" s="43" t="s">
        <v>65</v>
      </c>
    </row>
    <row r="96" spans="2:24" x14ac:dyDescent="0.2">
      <c r="B96" s="43" t="s">
        <v>183</v>
      </c>
      <c r="C96" s="43">
        <v>282</v>
      </c>
      <c r="D96" s="43" t="s">
        <v>511</v>
      </c>
      <c r="E96" s="43" t="s">
        <v>106</v>
      </c>
      <c r="F96" s="43" t="s">
        <v>512</v>
      </c>
      <c r="G96" s="43" t="s">
        <v>383</v>
      </c>
      <c r="H96" s="43">
        <v>60</v>
      </c>
      <c r="I96" s="43">
        <v>-67.802800000000005</v>
      </c>
      <c r="J96" s="28">
        <v>-4.792E-7</v>
      </c>
      <c r="K96" s="43" t="s">
        <v>913</v>
      </c>
      <c r="L96" s="43" t="s">
        <v>65</v>
      </c>
      <c r="N96" s="43" t="s">
        <v>183</v>
      </c>
      <c r="O96" s="43">
        <v>282</v>
      </c>
      <c r="P96" s="43" t="s">
        <v>511</v>
      </c>
      <c r="Q96" s="43" t="s">
        <v>379</v>
      </c>
      <c r="R96" s="43" t="s">
        <v>512</v>
      </c>
      <c r="S96" s="43" t="s">
        <v>383</v>
      </c>
      <c r="T96" s="43">
        <v>10</v>
      </c>
      <c r="U96" s="43">
        <v>-67.785600000000002</v>
      </c>
      <c r="V96" s="28">
        <v>-4.791E-7</v>
      </c>
      <c r="W96" s="43" t="s">
        <v>913</v>
      </c>
      <c r="X96" s="43" t="s">
        <v>65</v>
      </c>
    </row>
    <row r="97" spans="2:24" x14ac:dyDescent="0.2">
      <c r="B97" s="43" t="s">
        <v>183</v>
      </c>
      <c r="C97" s="43">
        <v>282</v>
      </c>
      <c r="D97" s="43" t="s">
        <v>511</v>
      </c>
      <c r="E97" s="43" t="s">
        <v>106</v>
      </c>
      <c r="F97" s="43" t="s">
        <v>513</v>
      </c>
      <c r="G97" s="43" t="s">
        <v>385</v>
      </c>
      <c r="H97" s="43">
        <v>60</v>
      </c>
      <c r="I97" s="43">
        <v>-56.582799999999999</v>
      </c>
      <c r="J97" s="28">
        <v>-3.9989999999999997E-7</v>
      </c>
      <c r="K97" s="43" t="s">
        <v>913</v>
      </c>
      <c r="L97" s="43" t="s">
        <v>65</v>
      </c>
      <c r="N97" s="43" t="s">
        <v>183</v>
      </c>
      <c r="O97" s="43">
        <v>282</v>
      </c>
      <c r="P97" s="43" t="s">
        <v>511</v>
      </c>
      <c r="Q97" s="43" t="s">
        <v>379</v>
      </c>
      <c r="R97" s="43" t="s">
        <v>513</v>
      </c>
      <c r="S97" s="43" t="s">
        <v>385</v>
      </c>
      <c r="T97" s="43">
        <v>10</v>
      </c>
      <c r="U97" s="43">
        <v>-56.5991</v>
      </c>
      <c r="V97" s="28">
        <v>-4.0009999999999999E-7</v>
      </c>
      <c r="W97" s="43" t="s">
        <v>913</v>
      </c>
      <c r="X97" s="43" t="s">
        <v>65</v>
      </c>
    </row>
    <row r="98" spans="2:24" x14ac:dyDescent="0.2">
      <c r="B98" s="43" t="s">
        <v>183</v>
      </c>
      <c r="C98" s="43">
        <v>285</v>
      </c>
      <c r="D98" s="43" t="s">
        <v>514</v>
      </c>
      <c r="E98" s="43" t="s">
        <v>106</v>
      </c>
      <c r="F98" s="43" t="s">
        <v>515</v>
      </c>
      <c r="G98" s="43" t="s">
        <v>383</v>
      </c>
      <c r="H98" s="43">
        <v>60</v>
      </c>
      <c r="I98" s="43">
        <v>-60.246499999999997</v>
      </c>
      <c r="J98" s="28">
        <v>-4.0629999999999998E-7</v>
      </c>
      <c r="K98" s="43" t="s">
        <v>913</v>
      </c>
      <c r="L98" s="43" t="s">
        <v>65</v>
      </c>
      <c r="N98" s="43" t="s">
        <v>183</v>
      </c>
      <c r="O98" s="43">
        <v>285</v>
      </c>
      <c r="P98" s="43" t="s">
        <v>514</v>
      </c>
      <c r="Q98" s="43" t="s">
        <v>379</v>
      </c>
      <c r="R98" s="43" t="s">
        <v>515</v>
      </c>
      <c r="S98" s="43" t="s">
        <v>383</v>
      </c>
      <c r="T98" s="43">
        <v>10</v>
      </c>
      <c r="U98" s="43">
        <v>-60.229700000000001</v>
      </c>
      <c r="V98" s="28">
        <v>-4.0610000000000002E-7</v>
      </c>
      <c r="W98" s="43" t="s">
        <v>913</v>
      </c>
      <c r="X98" s="43" t="s">
        <v>65</v>
      </c>
    </row>
    <row r="99" spans="2:24" x14ac:dyDescent="0.2">
      <c r="B99" s="43" t="s">
        <v>183</v>
      </c>
      <c r="C99" s="43">
        <v>285</v>
      </c>
      <c r="D99" s="43" t="s">
        <v>514</v>
      </c>
      <c r="E99" s="43" t="s">
        <v>106</v>
      </c>
      <c r="F99" s="43" t="s">
        <v>516</v>
      </c>
      <c r="G99" s="43" t="s">
        <v>385</v>
      </c>
      <c r="H99" s="43">
        <v>60</v>
      </c>
      <c r="I99" s="43">
        <v>-73.778099999999995</v>
      </c>
      <c r="J99" s="28">
        <v>-4.975E-7</v>
      </c>
      <c r="K99" s="43" t="s">
        <v>913</v>
      </c>
      <c r="L99" s="43" t="s">
        <v>65</v>
      </c>
      <c r="N99" s="43" t="s">
        <v>183</v>
      </c>
      <c r="O99" s="43">
        <v>285</v>
      </c>
      <c r="P99" s="43" t="s">
        <v>514</v>
      </c>
      <c r="Q99" s="43" t="s">
        <v>379</v>
      </c>
      <c r="R99" s="43" t="s">
        <v>516</v>
      </c>
      <c r="S99" s="43" t="s">
        <v>385</v>
      </c>
      <c r="T99" s="43">
        <v>10</v>
      </c>
      <c r="U99" s="43">
        <v>-73.795500000000004</v>
      </c>
      <c r="V99" s="28">
        <v>-4.9760000000000001E-7</v>
      </c>
      <c r="W99" s="43" t="s">
        <v>913</v>
      </c>
      <c r="X99" s="43" t="s">
        <v>65</v>
      </c>
    </row>
    <row r="100" spans="2:24" x14ac:dyDescent="0.2">
      <c r="B100" s="43" t="s">
        <v>183</v>
      </c>
      <c r="C100" s="43">
        <v>288</v>
      </c>
      <c r="D100" s="43" t="s">
        <v>517</v>
      </c>
      <c r="E100" s="43" t="s">
        <v>106</v>
      </c>
      <c r="F100" s="43" t="s">
        <v>518</v>
      </c>
      <c r="G100" s="43" t="s">
        <v>383</v>
      </c>
      <c r="H100" s="43">
        <v>60</v>
      </c>
      <c r="I100" s="43">
        <v>-47.334600000000002</v>
      </c>
      <c r="J100" s="28">
        <v>-4.4789999999999998E-7</v>
      </c>
      <c r="K100" s="43" t="s">
        <v>913</v>
      </c>
      <c r="L100" s="43" t="s">
        <v>65</v>
      </c>
      <c r="N100" s="43" t="s">
        <v>183</v>
      </c>
      <c r="O100" s="43">
        <v>288</v>
      </c>
      <c r="P100" s="43" t="s">
        <v>517</v>
      </c>
      <c r="Q100" s="43" t="s">
        <v>379</v>
      </c>
      <c r="R100" s="43" t="s">
        <v>518</v>
      </c>
      <c r="S100" s="43" t="s">
        <v>383</v>
      </c>
      <c r="T100" s="43">
        <v>10</v>
      </c>
      <c r="U100" s="43">
        <v>-47.325800000000001</v>
      </c>
      <c r="V100" s="28">
        <v>-4.4780000000000003E-7</v>
      </c>
      <c r="W100" s="43" t="s">
        <v>913</v>
      </c>
      <c r="X100" s="43" t="s">
        <v>65</v>
      </c>
    </row>
    <row r="101" spans="2:24" x14ac:dyDescent="0.2">
      <c r="B101" s="43" t="s">
        <v>183</v>
      </c>
      <c r="C101" s="43">
        <v>288</v>
      </c>
      <c r="D101" s="43" t="s">
        <v>517</v>
      </c>
      <c r="E101" s="43" t="s">
        <v>106</v>
      </c>
      <c r="F101" s="43" t="s">
        <v>519</v>
      </c>
      <c r="G101" s="43" t="s">
        <v>385</v>
      </c>
      <c r="H101" s="43">
        <v>60</v>
      </c>
      <c r="I101" s="43">
        <v>-45.345799999999997</v>
      </c>
      <c r="J101" s="28">
        <v>-4.291E-7</v>
      </c>
      <c r="K101" s="43" t="s">
        <v>913</v>
      </c>
      <c r="L101" s="43" t="s">
        <v>65</v>
      </c>
      <c r="N101" s="43" t="s">
        <v>183</v>
      </c>
      <c r="O101" s="43">
        <v>288</v>
      </c>
      <c r="P101" s="43" t="s">
        <v>517</v>
      </c>
      <c r="Q101" s="43" t="s">
        <v>379</v>
      </c>
      <c r="R101" s="43" t="s">
        <v>519</v>
      </c>
      <c r="S101" s="43" t="s">
        <v>385</v>
      </c>
      <c r="T101" s="43">
        <v>10</v>
      </c>
      <c r="U101" s="43">
        <v>-45.360399999999998</v>
      </c>
      <c r="V101" s="28">
        <v>-4.2920000000000001E-7</v>
      </c>
      <c r="W101" s="43" t="s">
        <v>913</v>
      </c>
      <c r="X101" s="43" t="s">
        <v>65</v>
      </c>
    </row>
    <row r="102" spans="2:24" x14ac:dyDescent="0.2">
      <c r="B102" s="43" t="s">
        <v>183</v>
      </c>
      <c r="C102" s="43">
        <v>296</v>
      </c>
      <c r="D102" s="43" t="s">
        <v>520</v>
      </c>
      <c r="E102" s="43" t="s">
        <v>106</v>
      </c>
      <c r="F102" s="43" t="s">
        <v>521</v>
      </c>
      <c r="G102" s="43" t="s">
        <v>383</v>
      </c>
      <c r="H102" s="43">
        <v>60</v>
      </c>
      <c r="I102" s="43">
        <v>-55.6982</v>
      </c>
      <c r="J102" s="28">
        <v>-4.1590000000000001E-7</v>
      </c>
      <c r="K102" s="43" t="s">
        <v>913</v>
      </c>
      <c r="L102" s="43" t="s">
        <v>65</v>
      </c>
      <c r="N102" s="43" t="s">
        <v>183</v>
      </c>
      <c r="O102" s="43">
        <v>296</v>
      </c>
      <c r="P102" s="43" t="s">
        <v>520</v>
      </c>
      <c r="Q102" s="43" t="s">
        <v>379</v>
      </c>
      <c r="R102" s="43" t="s">
        <v>521</v>
      </c>
      <c r="S102" s="43" t="s">
        <v>383</v>
      </c>
      <c r="T102" s="43">
        <v>10</v>
      </c>
      <c r="U102" s="43">
        <v>-55.659500000000001</v>
      </c>
      <c r="V102" s="28">
        <v>-4.1559999999999999E-7</v>
      </c>
      <c r="W102" s="43" t="s">
        <v>913</v>
      </c>
      <c r="X102" s="43" t="s">
        <v>65</v>
      </c>
    </row>
    <row r="103" spans="2:24" x14ac:dyDescent="0.2">
      <c r="B103" s="43" t="s">
        <v>183</v>
      </c>
      <c r="C103" s="43">
        <v>296</v>
      </c>
      <c r="D103" s="43" t="s">
        <v>520</v>
      </c>
      <c r="E103" s="43" t="s">
        <v>106</v>
      </c>
      <c r="F103" s="43" t="s">
        <v>522</v>
      </c>
      <c r="G103" s="43" t="s">
        <v>385</v>
      </c>
      <c r="H103" s="43">
        <v>60</v>
      </c>
      <c r="I103" s="43">
        <v>7.7092999999999998</v>
      </c>
      <c r="J103" s="28">
        <v>5.7560000000000001E-8</v>
      </c>
      <c r="K103" s="43" t="s">
        <v>913</v>
      </c>
      <c r="L103" s="43" t="s">
        <v>65</v>
      </c>
      <c r="N103" s="43" t="s">
        <v>183</v>
      </c>
      <c r="O103" s="43">
        <v>296</v>
      </c>
      <c r="P103" s="43" t="s">
        <v>520</v>
      </c>
      <c r="Q103" s="43" t="s">
        <v>379</v>
      </c>
      <c r="R103" s="43" t="s">
        <v>522</v>
      </c>
      <c r="S103" s="43" t="s">
        <v>385</v>
      </c>
      <c r="T103" s="43">
        <v>10</v>
      </c>
      <c r="U103" s="43">
        <v>7.6737000000000002</v>
      </c>
      <c r="V103" s="28">
        <v>5.7299999999999997E-8</v>
      </c>
      <c r="W103" s="43" t="s">
        <v>913</v>
      </c>
      <c r="X103" s="43" t="s">
        <v>65</v>
      </c>
    </row>
    <row r="104" spans="2:24" x14ac:dyDescent="0.2">
      <c r="B104" s="43" t="s">
        <v>183</v>
      </c>
      <c r="C104" s="43">
        <v>297</v>
      </c>
      <c r="D104" s="43" t="s">
        <v>523</v>
      </c>
      <c r="E104" s="43" t="s">
        <v>106</v>
      </c>
      <c r="F104" s="43" t="s">
        <v>524</v>
      </c>
      <c r="G104" s="43" t="s">
        <v>383</v>
      </c>
      <c r="H104" s="43">
        <v>60</v>
      </c>
      <c r="I104" s="43">
        <v>-44.2883</v>
      </c>
      <c r="J104" s="28">
        <v>-3.3070000000000002E-7</v>
      </c>
      <c r="K104" s="43" t="s">
        <v>913</v>
      </c>
      <c r="L104" s="43" t="s">
        <v>65</v>
      </c>
      <c r="N104" s="43" t="s">
        <v>183</v>
      </c>
      <c r="O104" s="43">
        <v>297</v>
      </c>
      <c r="P104" s="43" t="s">
        <v>523</v>
      </c>
      <c r="Q104" s="43" t="s">
        <v>379</v>
      </c>
      <c r="R104" s="43" t="s">
        <v>524</v>
      </c>
      <c r="S104" s="43" t="s">
        <v>383</v>
      </c>
      <c r="T104" s="43">
        <v>10</v>
      </c>
      <c r="U104" s="43">
        <v>-44.255000000000003</v>
      </c>
      <c r="V104" s="28">
        <v>-3.3039999999999999E-7</v>
      </c>
      <c r="W104" s="43" t="s">
        <v>913</v>
      </c>
      <c r="X104" s="43" t="s">
        <v>65</v>
      </c>
    </row>
    <row r="105" spans="2:24" x14ac:dyDescent="0.2">
      <c r="B105" s="43" t="s">
        <v>183</v>
      </c>
      <c r="C105" s="43">
        <v>297</v>
      </c>
      <c r="D105" s="43" t="s">
        <v>523</v>
      </c>
      <c r="E105" s="43" t="s">
        <v>106</v>
      </c>
      <c r="F105" s="43" t="s">
        <v>525</v>
      </c>
      <c r="G105" s="43" t="s">
        <v>385</v>
      </c>
      <c r="H105" s="43">
        <v>60</v>
      </c>
      <c r="I105" s="43">
        <v>-1.08</v>
      </c>
      <c r="J105" s="28">
        <v>-8.0640000000000003E-9</v>
      </c>
      <c r="K105" s="43" t="s">
        <v>913</v>
      </c>
      <c r="L105" s="43" t="s">
        <v>65</v>
      </c>
      <c r="N105" s="43" t="s">
        <v>183</v>
      </c>
      <c r="O105" s="43">
        <v>297</v>
      </c>
      <c r="P105" s="43" t="s">
        <v>523</v>
      </c>
      <c r="Q105" s="43" t="s">
        <v>379</v>
      </c>
      <c r="R105" s="43" t="s">
        <v>525</v>
      </c>
      <c r="S105" s="43" t="s">
        <v>385</v>
      </c>
      <c r="T105" s="43">
        <v>10</v>
      </c>
      <c r="U105" s="43">
        <v>-1.1148</v>
      </c>
      <c r="V105" s="28">
        <v>-8.3240000000000006E-9</v>
      </c>
      <c r="W105" s="43" t="s">
        <v>913</v>
      </c>
      <c r="X105" s="43" t="s">
        <v>65</v>
      </c>
    </row>
    <row r="106" spans="2:24" x14ac:dyDescent="0.2">
      <c r="B106" s="43" t="s">
        <v>183</v>
      </c>
      <c r="C106" s="43">
        <v>298</v>
      </c>
      <c r="D106" s="43" t="s">
        <v>523</v>
      </c>
      <c r="E106" s="43" t="s">
        <v>106</v>
      </c>
      <c r="F106" s="43" t="s">
        <v>526</v>
      </c>
      <c r="G106" s="43" t="s">
        <v>383</v>
      </c>
      <c r="H106" s="43">
        <v>60</v>
      </c>
      <c r="I106" s="43">
        <v>-54.096699999999998</v>
      </c>
      <c r="J106" s="28">
        <v>-4.27E-7</v>
      </c>
      <c r="K106" s="43" t="s">
        <v>913</v>
      </c>
      <c r="L106" s="43" t="s">
        <v>65</v>
      </c>
      <c r="N106" s="43" t="s">
        <v>183</v>
      </c>
      <c r="O106" s="43">
        <v>298</v>
      </c>
      <c r="P106" s="43" t="s">
        <v>523</v>
      </c>
      <c r="Q106" s="43" t="s">
        <v>379</v>
      </c>
      <c r="R106" s="43" t="s">
        <v>526</v>
      </c>
      <c r="S106" s="43" t="s">
        <v>383</v>
      </c>
      <c r="T106" s="43">
        <v>10</v>
      </c>
      <c r="U106" s="43">
        <v>-54.0627</v>
      </c>
      <c r="V106" s="28">
        <v>-4.2669999999999998E-7</v>
      </c>
      <c r="W106" s="43" t="s">
        <v>913</v>
      </c>
      <c r="X106" s="43" t="s">
        <v>65</v>
      </c>
    </row>
    <row r="107" spans="2:24" x14ac:dyDescent="0.2">
      <c r="B107" s="43" t="s">
        <v>183</v>
      </c>
      <c r="C107" s="43">
        <v>298</v>
      </c>
      <c r="D107" s="43" t="s">
        <v>523</v>
      </c>
      <c r="E107" s="43" t="s">
        <v>106</v>
      </c>
      <c r="F107" s="43" t="s">
        <v>527</v>
      </c>
      <c r="G107" s="43" t="s">
        <v>385</v>
      </c>
      <c r="H107" s="43">
        <v>60</v>
      </c>
      <c r="I107" s="43">
        <v>-2.8641999999999999</v>
      </c>
      <c r="J107" s="28">
        <v>-2.2609999999999999E-8</v>
      </c>
      <c r="K107" s="43" t="s">
        <v>913</v>
      </c>
      <c r="L107" s="43" t="s">
        <v>65</v>
      </c>
      <c r="N107" s="43" t="s">
        <v>183</v>
      </c>
      <c r="O107" s="43">
        <v>298</v>
      </c>
      <c r="P107" s="43" t="s">
        <v>523</v>
      </c>
      <c r="Q107" s="43" t="s">
        <v>379</v>
      </c>
      <c r="R107" s="43" t="s">
        <v>527</v>
      </c>
      <c r="S107" s="43" t="s">
        <v>385</v>
      </c>
      <c r="T107" s="43">
        <v>10</v>
      </c>
      <c r="U107" s="43">
        <v>-2.8982000000000001</v>
      </c>
      <c r="V107" s="28">
        <v>-2.288E-8</v>
      </c>
      <c r="W107" s="43" t="s">
        <v>913</v>
      </c>
      <c r="X107" s="43" t="s">
        <v>65</v>
      </c>
    </row>
    <row r="108" spans="2:24" x14ac:dyDescent="0.2">
      <c r="B108" s="43" t="s">
        <v>183</v>
      </c>
      <c r="C108" s="43">
        <v>299</v>
      </c>
      <c r="D108" s="43" t="s">
        <v>523</v>
      </c>
      <c r="E108" s="43" t="s">
        <v>106</v>
      </c>
      <c r="F108" s="43" t="s">
        <v>528</v>
      </c>
      <c r="G108" s="43" t="s">
        <v>383</v>
      </c>
      <c r="H108" s="43">
        <v>60</v>
      </c>
      <c r="I108" s="43">
        <v>-54.631100000000004</v>
      </c>
      <c r="J108" s="28">
        <v>-4.0789999999999999E-7</v>
      </c>
      <c r="K108" s="43" t="s">
        <v>913</v>
      </c>
      <c r="L108" s="43" t="s">
        <v>65</v>
      </c>
      <c r="N108" s="43" t="s">
        <v>183</v>
      </c>
      <c r="O108" s="43">
        <v>299</v>
      </c>
      <c r="P108" s="43" t="s">
        <v>523</v>
      </c>
      <c r="Q108" s="43" t="s">
        <v>379</v>
      </c>
      <c r="R108" s="43" t="s">
        <v>528</v>
      </c>
      <c r="S108" s="43" t="s">
        <v>383</v>
      </c>
      <c r="T108" s="43">
        <v>10</v>
      </c>
      <c r="U108" s="43">
        <v>-54.594700000000003</v>
      </c>
      <c r="V108" s="28">
        <v>-4.0760000000000002E-7</v>
      </c>
      <c r="W108" s="43" t="s">
        <v>913</v>
      </c>
      <c r="X108" s="43" t="s">
        <v>65</v>
      </c>
    </row>
    <row r="109" spans="2:24" x14ac:dyDescent="0.2">
      <c r="B109" s="43" t="s">
        <v>183</v>
      </c>
      <c r="C109" s="43">
        <v>299</v>
      </c>
      <c r="D109" s="43" t="s">
        <v>523</v>
      </c>
      <c r="E109" s="43" t="s">
        <v>106</v>
      </c>
      <c r="F109" s="43" t="s">
        <v>529</v>
      </c>
      <c r="G109" s="43" t="s">
        <v>385</v>
      </c>
      <c r="H109" s="43">
        <v>60</v>
      </c>
      <c r="I109" s="43">
        <v>6.9477000000000002</v>
      </c>
      <c r="J109" s="28">
        <v>5.1879999999999999E-8</v>
      </c>
      <c r="K109" s="43" t="s">
        <v>913</v>
      </c>
      <c r="L109" s="43" t="s">
        <v>65</v>
      </c>
      <c r="N109" s="43" t="s">
        <v>183</v>
      </c>
      <c r="O109" s="43">
        <v>299</v>
      </c>
      <c r="P109" s="43" t="s">
        <v>523</v>
      </c>
      <c r="Q109" s="43" t="s">
        <v>379</v>
      </c>
      <c r="R109" s="43" t="s">
        <v>529</v>
      </c>
      <c r="S109" s="43" t="s">
        <v>385</v>
      </c>
      <c r="T109" s="43">
        <v>10</v>
      </c>
      <c r="U109" s="43">
        <v>6.9127999999999998</v>
      </c>
      <c r="V109" s="28">
        <v>5.1620000000000002E-8</v>
      </c>
      <c r="W109" s="43" t="s">
        <v>913</v>
      </c>
      <c r="X109" s="43" t="s">
        <v>65</v>
      </c>
    </row>
    <row r="110" spans="2:24" x14ac:dyDescent="0.2">
      <c r="B110" s="43" t="s">
        <v>183</v>
      </c>
      <c r="C110" s="43">
        <v>300</v>
      </c>
      <c r="D110" s="43" t="s">
        <v>530</v>
      </c>
      <c r="E110" s="43" t="s">
        <v>106</v>
      </c>
      <c r="F110" s="43" t="s">
        <v>531</v>
      </c>
      <c r="G110" s="43" t="s">
        <v>383</v>
      </c>
      <c r="H110" s="43">
        <v>60</v>
      </c>
      <c r="I110" s="43">
        <v>-44.783700000000003</v>
      </c>
      <c r="J110" s="28">
        <v>-3.3439999999999998E-7</v>
      </c>
      <c r="K110" s="43" t="s">
        <v>913</v>
      </c>
      <c r="L110" s="43" t="s">
        <v>65</v>
      </c>
      <c r="N110" s="43" t="s">
        <v>183</v>
      </c>
      <c r="O110" s="43">
        <v>300</v>
      </c>
      <c r="P110" s="43" t="s">
        <v>530</v>
      </c>
      <c r="Q110" s="43" t="s">
        <v>379</v>
      </c>
      <c r="R110" s="43" t="s">
        <v>531</v>
      </c>
      <c r="S110" s="43" t="s">
        <v>383</v>
      </c>
      <c r="T110" s="43">
        <v>10</v>
      </c>
      <c r="U110" s="43">
        <v>-44.749600000000001</v>
      </c>
      <c r="V110" s="28">
        <v>-3.3410000000000001E-7</v>
      </c>
      <c r="W110" s="43" t="s">
        <v>913</v>
      </c>
      <c r="X110" s="43" t="s">
        <v>65</v>
      </c>
    </row>
    <row r="111" spans="2:24" x14ac:dyDescent="0.2">
      <c r="B111" s="43" t="s">
        <v>183</v>
      </c>
      <c r="C111" s="43">
        <v>300</v>
      </c>
      <c r="D111" s="43" t="s">
        <v>530</v>
      </c>
      <c r="E111" s="43" t="s">
        <v>106</v>
      </c>
      <c r="F111" s="43" t="s">
        <v>532</v>
      </c>
      <c r="G111" s="43" t="s">
        <v>385</v>
      </c>
      <c r="H111" s="43">
        <v>60</v>
      </c>
      <c r="I111" s="43">
        <v>-0.39579999999999999</v>
      </c>
      <c r="J111" s="28">
        <v>-2.9549999999999998E-9</v>
      </c>
      <c r="K111" s="43" t="s">
        <v>913</v>
      </c>
      <c r="L111" s="43" t="s">
        <v>65</v>
      </c>
      <c r="N111" s="43" t="s">
        <v>183</v>
      </c>
      <c r="O111" s="43">
        <v>300</v>
      </c>
      <c r="P111" s="43" t="s">
        <v>530</v>
      </c>
      <c r="Q111" s="43" t="s">
        <v>379</v>
      </c>
      <c r="R111" s="43" t="s">
        <v>532</v>
      </c>
      <c r="S111" s="43" t="s">
        <v>385</v>
      </c>
      <c r="T111" s="43">
        <v>10</v>
      </c>
      <c r="U111" s="43">
        <v>-0.43280000000000002</v>
      </c>
      <c r="V111" s="28">
        <v>-3.232E-9</v>
      </c>
      <c r="W111" s="43" t="s">
        <v>913</v>
      </c>
      <c r="X111" s="43" t="s">
        <v>65</v>
      </c>
    </row>
    <row r="112" spans="2:24" x14ac:dyDescent="0.2">
      <c r="B112" s="43" t="s">
        <v>183</v>
      </c>
      <c r="C112" s="43">
        <v>274</v>
      </c>
      <c r="D112" s="43" t="s">
        <v>533</v>
      </c>
      <c r="E112" s="43" t="s">
        <v>106</v>
      </c>
      <c r="F112" s="43" t="s">
        <v>534</v>
      </c>
      <c r="G112" s="43" t="s">
        <v>383</v>
      </c>
      <c r="H112" s="43">
        <v>60</v>
      </c>
      <c r="I112" s="43">
        <v>-45.532200000000003</v>
      </c>
      <c r="J112" s="28">
        <v>-3.9000000000000002E-7</v>
      </c>
      <c r="K112" s="43" t="s">
        <v>913</v>
      </c>
      <c r="L112" s="43" t="s">
        <v>65</v>
      </c>
      <c r="N112" s="43" t="s">
        <v>183</v>
      </c>
      <c r="O112" s="43">
        <v>274</v>
      </c>
      <c r="P112" s="43" t="s">
        <v>533</v>
      </c>
      <c r="Q112" s="43" t="s">
        <v>379</v>
      </c>
      <c r="R112" s="43" t="s">
        <v>534</v>
      </c>
      <c r="S112" s="43" t="s">
        <v>383</v>
      </c>
      <c r="T112" s="43">
        <v>10</v>
      </c>
      <c r="U112" s="43">
        <v>-45.515099999999997</v>
      </c>
      <c r="V112" s="28">
        <v>-3.8990000000000002E-7</v>
      </c>
      <c r="W112" s="43" t="s">
        <v>913</v>
      </c>
      <c r="X112" s="43" t="s">
        <v>65</v>
      </c>
    </row>
    <row r="113" spans="2:24" x14ac:dyDescent="0.2">
      <c r="B113" s="43" t="s">
        <v>183</v>
      </c>
      <c r="C113" s="43">
        <v>274</v>
      </c>
      <c r="D113" s="43" t="s">
        <v>533</v>
      </c>
      <c r="E113" s="43" t="s">
        <v>106</v>
      </c>
      <c r="F113" s="43" t="s">
        <v>535</v>
      </c>
      <c r="G113" s="43" t="s">
        <v>385</v>
      </c>
      <c r="H113" s="43">
        <v>60</v>
      </c>
      <c r="I113" s="43">
        <v>-45.440600000000003</v>
      </c>
      <c r="J113" s="28">
        <v>-3.8920000000000002E-7</v>
      </c>
      <c r="K113" s="43" t="s">
        <v>913</v>
      </c>
      <c r="L113" s="43" t="s">
        <v>65</v>
      </c>
      <c r="N113" s="43" t="s">
        <v>183</v>
      </c>
      <c r="O113" s="43">
        <v>274</v>
      </c>
      <c r="P113" s="43" t="s">
        <v>533</v>
      </c>
      <c r="Q113" s="43" t="s">
        <v>379</v>
      </c>
      <c r="R113" s="43" t="s">
        <v>535</v>
      </c>
      <c r="S113" s="43" t="s">
        <v>385</v>
      </c>
      <c r="T113" s="43">
        <v>10</v>
      </c>
      <c r="U113" s="43">
        <v>-45.451500000000003</v>
      </c>
      <c r="V113" s="28">
        <v>-3.8930000000000003E-7</v>
      </c>
      <c r="W113" s="43" t="s">
        <v>913</v>
      </c>
      <c r="X113" s="43" t="s">
        <v>65</v>
      </c>
    </row>
    <row r="114" spans="2:24" x14ac:dyDescent="0.2">
      <c r="B114" s="43" t="s">
        <v>183</v>
      </c>
      <c r="C114" s="43">
        <v>277</v>
      </c>
      <c r="D114" s="43" t="s">
        <v>536</v>
      </c>
      <c r="E114" s="43" t="s">
        <v>106</v>
      </c>
      <c r="F114" s="43" t="s">
        <v>537</v>
      </c>
      <c r="G114" s="43" t="s">
        <v>383</v>
      </c>
      <c r="H114" s="43">
        <v>60</v>
      </c>
      <c r="I114" s="43">
        <v>-72.888499999999993</v>
      </c>
      <c r="J114" s="28">
        <v>-4.8699999999999995E-7</v>
      </c>
      <c r="K114" s="43" t="s">
        <v>913</v>
      </c>
      <c r="L114" s="43" t="s">
        <v>65</v>
      </c>
      <c r="N114" s="43" t="s">
        <v>183</v>
      </c>
      <c r="O114" s="43">
        <v>277</v>
      </c>
      <c r="P114" s="43" t="s">
        <v>536</v>
      </c>
      <c r="Q114" s="43" t="s">
        <v>379</v>
      </c>
      <c r="R114" s="43" t="s">
        <v>537</v>
      </c>
      <c r="S114" s="43" t="s">
        <v>383</v>
      </c>
      <c r="T114" s="43">
        <v>10</v>
      </c>
      <c r="U114" s="43">
        <v>-72.871300000000005</v>
      </c>
      <c r="V114" s="28">
        <v>-4.8690000000000005E-7</v>
      </c>
      <c r="W114" s="43" t="s">
        <v>913</v>
      </c>
      <c r="X114" s="43" t="s">
        <v>65</v>
      </c>
    </row>
    <row r="115" spans="2:24" x14ac:dyDescent="0.2">
      <c r="B115" s="43" t="s">
        <v>183</v>
      </c>
      <c r="C115" s="43">
        <v>277</v>
      </c>
      <c r="D115" s="43" t="s">
        <v>536</v>
      </c>
      <c r="E115" s="43" t="s">
        <v>106</v>
      </c>
      <c r="F115" s="43" t="s">
        <v>538</v>
      </c>
      <c r="G115" s="43" t="s">
        <v>385</v>
      </c>
      <c r="H115" s="43">
        <v>60</v>
      </c>
      <c r="I115" s="43">
        <v>-72.825100000000006</v>
      </c>
      <c r="J115" s="28">
        <v>-4.8660000000000003E-7</v>
      </c>
      <c r="K115" s="43" t="s">
        <v>913</v>
      </c>
      <c r="L115" s="43" t="s">
        <v>65</v>
      </c>
      <c r="N115" s="43" t="s">
        <v>183</v>
      </c>
      <c r="O115" s="43">
        <v>277</v>
      </c>
      <c r="P115" s="43" t="s">
        <v>536</v>
      </c>
      <c r="Q115" s="43" t="s">
        <v>379</v>
      </c>
      <c r="R115" s="43" t="s">
        <v>538</v>
      </c>
      <c r="S115" s="43" t="s">
        <v>385</v>
      </c>
      <c r="T115" s="43">
        <v>10</v>
      </c>
      <c r="U115" s="43">
        <v>-72.842600000000004</v>
      </c>
      <c r="V115" s="28">
        <v>-4.8670000000000004E-7</v>
      </c>
      <c r="W115" s="43" t="s">
        <v>913</v>
      </c>
      <c r="X115" s="43" t="s">
        <v>65</v>
      </c>
    </row>
    <row r="116" spans="2:24" x14ac:dyDescent="0.2">
      <c r="B116" s="43" t="s">
        <v>183</v>
      </c>
      <c r="C116" s="43">
        <v>280</v>
      </c>
      <c r="D116" s="43" t="s">
        <v>539</v>
      </c>
      <c r="E116" s="43" t="s">
        <v>106</v>
      </c>
      <c r="F116" s="43" t="s">
        <v>540</v>
      </c>
      <c r="G116" s="43" t="s">
        <v>383</v>
      </c>
      <c r="H116" s="43">
        <v>60</v>
      </c>
      <c r="I116" s="43">
        <v>-56.926600000000001</v>
      </c>
      <c r="J116" s="28">
        <v>-3.8770000000000001E-7</v>
      </c>
      <c r="K116" s="43" t="s">
        <v>913</v>
      </c>
      <c r="L116" s="43" t="s">
        <v>65</v>
      </c>
      <c r="N116" s="43" t="s">
        <v>183</v>
      </c>
      <c r="O116" s="43">
        <v>280</v>
      </c>
      <c r="P116" s="43" t="s">
        <v>539</v>
      </c>
      <c r="Q116" s="43" t="s">
        <v>379</v>
      </c>
      <c r="R116" s="43" t="s">
        <v>540</v>
      </c>
      <c r="S116" s="43" t="s">
        <v>383</v>
      </c>
      <c r="T116" s="43">
        <v>10</v>
      </c>
      <c r="U116" s="43">
        <v>-56.91</v>
      </c>
      <c r="V116" s="28">
        <v>-3.876E-7</v>
      </c>
      <c r="W116" s="43" t="s">
        <v>913</v>
      </c>
      <c r="X116" s="43" t="s">
        <v>65</v>
      </c>
    </row>
    <row r="117" spans="2:24" x14ac:dyDescent="0.2">
      <c r="B117" s="43" t="s">
        <v>183</v>
      </c>
      <c r="C117" s="43">
        <v>280</v>
      </c>
      <c r="D117" s="43" t="s">
        <v>539</v>
      </c>
      <c r="E117" s="43" t="s">
        <v>106</v>
      </c>
      <c r="F117" s="43" t="s">
        <v>541</v>
      </c>
      <c r="G117" s="43" t="s">
        <v>385</v>
      </c>
      <c r="H117" s="43">
        <v>60</v>
      </c>
      <c r="I117" s="43">
        <v>-56.913600000000002</v>
      </c>
      <c r="J117" s="28">
        <v>-3.8770000000000001E-7</v>
      </c>
      <c r="K117" s="43" t="s">
        <v>913</v>
      </c>
      <c r="L117" s="43" t="s">
        <v>65</v>
      </c>
      <c r="N117" s="43" t="s">
        <v>183</v>
      </c>
      <c r="O117" s="43">
        <v>280</v>
      </c>
      <c r="P117" s="43" t="s">
        <v>539</v>
      </c>
      <c r="Q117" s="43" t="s">
        <v>379</v>
      </c>
      <c r="R117" s="43" t="s">
        <v>541</v>
      </c>
      <c r="S117" s="43" t="s">
        <v>385</v>
      </c>
      <c r="T117" s="43">
        <v>10</v>
      </c>
      <c r="U117" s="43">
        <v>-56.930500000000002</v>
      </c>
      <c r="V117" s="28">
        <v>-3.8780000000000002E-7</v>
      </c>
      <c r="W117" s="43" t="s">
        <v>913</v>
      </c>
      <c r="X117" s="43" t="s">
        <v>65</v>
      </c>
    </row>
    <row r="118" spans="2:24" x14ac:dyDescent="0.2">
      <c r="B118" s="43" t="s">
        <v>183</v>
      </c>
      <c r="C118" s="43">
        <v>283</v>
      </c>
      <c r="D118" s="43" t="s">
        <v>542</v>
      </c>
      <c r="E118" s="43" t="s">
        <v>106</v>
      </c>
      <c r="F118" s="43" t="s">
        <v>543</v>
      </c>
      <c r="G118" s="43" t="s">
        <v>383</v>
      </c>
      <c r="H118" s="43">
        <v>60</v>
      </c>
      <c r="I118" s="43">
        <v>-57.197499999999998</v>
      </c>
      <c r="J118" s="28">
        <v>-3.8959999999999999E-7</v>
      </c>
      <c r="K118" s="43" t="s">
        <v>913</v>
      </c>
      <c r="L118" s="43" t="s">
        <v>65</v>
      </c>
      <c r="N118" s="43" t="s">
        <v>183</v>
      </c>
      <c r="O118" s="43">
        <v>283</v>
      </c>
      <c r="P118" s="43" t="s">
        <v>542</v>
      </c>
      <c r="Q118" s="43" t="s">
        <v>379</v>
      </c>
      <c r="R118" s="43" t="s">
        <v>543</v>
      </c>
      <c r="S118" s="43" t="s">
        <v>383</v>
      </c>
      <c r="T118" s="43">
        <v>10</v>
      </c>
      <c r="U118" s="43">
        <v>-57.180799999999998</v>
      </c>
      <c r="V118" s="28">
        <v>-3.8949999999999999E-7</v>
      </c>
      <c r="W118" s="43" t="s">
        <v>913</v>
      </c>
      <c r="X118" s="43" t="s">
        <v>65</v>
      </c>
    </row>
    <row r="119" spans="2:24" x14ac:dyDescent="0.2">
      <c r="B119" s="43" t="s">
        <v>183</v>
      </c>
      <c r="C119" s="43">
        <v>283</v>
      </c>
      <c r="D119" s="43" t="s">
        <v>542</v>
      </c>
      <c r="E119" s="43" t="s">
        <v>106</v>
      </c>
      <c r="F119" s="43" t="s">
        <v>544</v>
      </c>
      <c r="G119" s="43" t="s">
        <v>385</v>
      </c>
      <c r="H119" s="43">
        <v>60</v>
      </c>
      <c r="I119" s="43">
        <v>-57.224499999999999</v>
      </c>
      <c r="J119" s="28">
        <v>-3.8980000000000001E-7</v>
      </c>
      <c r="K119" s="43" t="s">
        <v>913</v>
      </c>
      <c r="L119" s="43" t="s">
        <v>65</v>
      </c>
      <c r="N119" s="43" t="s">
        <v>183</v>
      </c>
      <c r="O119" s="43">
        <v>283</v>
      </c>
      <c r="P119" s="43" t="s">
        <v>542</v>
      </c>
      <c r="Q119" s="43" t="s">
        <v>379</v>
      </c>
      <c r="R119" s="43" t="s">
        <v>544</v>
      </c>
      <c r="S119" s="43" t="s">
        <v>385</v>
      </c>
      <c r="T119" s="43">
        <v>10</v>
      </c>
      <c r="U119" s="43">
        <v>-57.240699999999997</v>
      </c>
      <c r="V119" s="28">
        <v>-3.8990000000000002E-7</v>
      </c>
      <c r="W119" s="43" t="s">
        <v>913</v>
      </c>
      <c r="X119" s="43" t="s">
        <v>65</v>
      </c>
    </row>
    <row r="120" spans="2:24" x14ac:dyDescent="0.2">
      <c r="B120" s="43" t="s">
        <v>183</v>
      </c>
      <c r="C120" s="43">
        <v>286</v>
      </c>
      <c r="D120" s="43" t="s">
        <v>545</v>
      </c>
      <c r="E120" s="43" t="s">
        <v>106</v>
      </c>
      <c r="F120" s="43" t="s">
        <v>546</v>
      </c>
      <c r="G120" s="43" t="s">
        <v>383</v>
      </c>
      <c r="H120" s="43">
        <v>60</v>
      </c>
      <c r="I120" s="43">
        <v>-72.995999999999995</v>
      </c>
      <c r="J120" s="28">
        <v>-4.8770000000000001E-7</v>
      </c>
      <c r="K120" s="43" t="s">
        <v>913</v>
      </c>
      <c r="L120" s="43" t="s">
        <v>65</v>
      </c>
      <c r="N120" s="43" t="s">
        <v>183</v>
      </c>
      <c r="O120" s="43">
        <v>286</v>
      </c>
      <c r="P120" s="43" t="s">
        <v>545</v>
      </c>
      <c r="Q120" s="43" t="s">
        <v>379</v>
      </c>
      <c r="R120" s="43" t="s">
        <v>546</v>
      </c>
      <c r="S120" s="43" t="s">
        <v>383</v>
      </c>
      <c r="T120" s="43">
        <v>10</v>
      </c>
      <c r="U120" s="43">
        <v>-72.98</v>
      </c>
      <c r="V120" s="28">
        <v>-4.876E-7</v>
      </c>
      <c r="W120" s="43" t="s">
        <v>913</v>
      </c>
      <c r="X120" s="43" t="s">
        <v>65</v>
      </c>
    </row>
    <row r="121" spans="2:24" x14ac:dyDescent="0.2">
      <c r="B121" s="43" t="s">
        <v>183</v>
      </c>
      <c r="C121" s="43">
        <v>286</v>
      </c>
      <c r="D121" s="43" t="s">
        <v>545</v>
      </c>
      <c r="E121" s="43" t="s">
        <v>106</v>
      </c>
      <c r="F121" s="43" t="s">
        <v>547</v>
      </c>
      <c r="G121" s="43" t="s">
        <v>385</v>
      </c>
      <c r="H121" s="43">
        <v>60</v>
      </c>
      <c r="I121" s="43">
        <v>-72.521600000000007</v>
      </c>
      <c r="J121" s="28">
        <v>-4.8449999999999998E-7</v>
      </c>
      <c r="K121" s="43" t="s">
        <v>913</v>
      </c>
      <c r="L121" s="43" t="s">
        <v>65</v>
      </c>
      <c r="N121" s="43" t="s">
        <v>183</v>
      </c>
      <c r="O121" s="43">
        <v>286</v>
      </c>
      <c r="P121" s="43" t="s">
        <v>545</v>
      </c>
      <c r="Q121" s="43" t="s">
        <v>379</v>
      </c>
      <c r="R121" s="43" t="s">
        <v>547</v>
      </c>
      <c r="S121" s="43" t="s">
        <v>385</v>
      </c>
      <c r="T121" s="43">
        <v>10</v>
      </c>
      <c r="U121" s="43">
        <v>-72.538300000000007</v>
      </c>
      <c r="V121" s="28">
        <v>-4.8469999999999999E-7</v>
      </c>
      <c r="W121" s="43" t="s">
        <v>913</v>
      </c>
      <c r="X121" s="43" t="s">
        <v>65</v>
      </c>
    </row>
    <row r="122" spans="2:24" x14ac:dyDescent="0.2">
      <c r="B122" s="43" t="s">
        <v>183</v>
      </c>
      <c r="C122" s="43">
        <v>289</v>
      </c>
      <c r="D122" s="43" t="s">
        <v>548</v>
      </c>
      <c r="E122" s="43" t="s">
        <v>106</v>
      </c>
      <c r="F122" s="43" t="s">
        <v>549</v>
      </c>
      <c r="G122" s="43" t="s">
        <v>383</v>
      </c>
      <c r="H122" s="43">
        <v>60</v>
      </c>
      <c r="I122" s="43">
        <v>-40.9163</v>
      </c>
      <c r="J122" s="28">
        <v>-3.5050000000000002E-7</v>
      </c>
      <c r="K122" s="43" t="s">
        <v>913</v>
      </c>
      <c r="L122" s="43" t="s">
        <v>65</v>
      </c>
      <c r="N122" s="43" t="s">
        <v>183</v>
      </c>
      <c r="O122" s="43">
        <v>289</v>
      </c>
      <c r="P122" s="43" t="s">
        <v>548</v>
      </c>
      <c r="Q122" s="43" t="s">
        <v>379</v>
      </c>
      <c r="R122" s="43" t="s">
        <v>549</v>
      </c>
      <c r="S122" s="43" t="s">
        <v>383</v>
      </c>
      <c r="T122" s="43">
        <v>10</v>
      </c>
      <c r="U122" s="43">
        <v>-40.906700000000001</v>
      </c>
      <c r="V122" s="28">
        <v>-3.5040000000000001E-7</v>
      </c>
      <c r="W122" s="43" t="s">
        <v>913</v>
      </c>
      <c r="X122" s="43" t="s">
        <v>65</v>
      </c>
    </row>
    <row r="123" spans="2:24" x14ac:dyDescent="0.2">
      <c r="B123" s="43" t="s">
        <v>183</v>
      </c>
      <c r="C123" s="43">
        <v>289</v>
      </c>
      <c r="D123" s="43" t="s">
        <v>548</v>
      </c>
      <c r="E123" s="43" t="s">
        <v>106</v>
      </c>
      <c r="F123" s="43" t="s">
        <v>550</v>
      </c>
      <c r="G123" s="43" t="s">
        <v>385</v>
      </c>
      <c r="H123" s="43">
        <v>60</v>
      </c>
      <c r="I123" s="43">
        <v>-40.893099999999997</v>
      </c>
      <c r="J123" s="28">
        <v>-3.5030000000000001E-7</v>
      </c>
      <c r="K123" s="43" t="s">
        <v>913</v>
      </c>
      <c r="L123" s="43" t="s">
        <v>65</v>
      </c>
      <c r="N123" s="43" t="s">
        <v>183</v>
      </c>
      <c r="O123" s="43">
        <v>289</v>
      </c>
      <c r="P123" s="43" t="s">
        <v>548</v>
      </c>
      <c r="Q123" s="43" t="s">
        <v>379</v>
      </c>
      <c r="R123" s="43" t="s">
        <v>550</v>
      </c>
      <c r="S123" s="43" t="s">
        <v>385</v>
      </c>
      <c r="T123" s="43">
        <v>10</v>
      </c>
      <c r="U123" s="43">
        <v>-40.908799999999999</v>
      </c>
      <c r="V123" s="28">
        <v>-3.5040000000000001E-7</v>
      </c>
      <c r="W123" s="43" t="s">
        <v>913</v>
      </c>
      <c r="X123" s="43" t="s">
        <v>65</v>
      </c>
    </row>
    <row r="124" spans="2:24" x14ac:dyDescent="0.2">
      <c r="B124" s="43" t="s">
        <v>183</v>
      </c>
      <c r="C124" s="43">
        <v>301</v>
      </c>
      <c r="D124" s="43" t="s">
        <v>551</v>
      </c>
      <c r="E124" s="43" t="s">
        <v>106</v>
      </c>
      <c r="F124" s="43" t="s">
        <v>552</v>
      </c>
      <c r="G124" s="43" t="s">
        <v>383</v>
      </c>
      <c r="H124" s="43">
        <v>60</v>
      </c>
      <c r="I124" s="43">
        <v>-55.7316</v>
      </c>
      <c r="J124" s="28">
        <v>-4.1609999999999997E-7</v>
      </c>
      <c r="K124" s="43" t="s">
        <v>913</v>
      </c>
      <c r="L124" s="43" t="s">
        <v>65</v>
      </c>
      <c r="N124" s="43" t="s">
        <v>183</v>
      </c>
      <c r="O124" s="43">
        <v>301</v>
      </c>
      <c r="P124" s="43" t="s">
        <v>551</v>
      </c>
      <c r="Q124" s="43" t="s">
        <v>379</v>
      </c>
      <c r="R124" s="43" t="s">
        <v>552</v>
      </c>
      <c r="S124" s="43" t="s">
        <v>383</v>
      </c>
      <c r="T124" s="43">
        <v>10</v>
      </c>
      <c r="U124" s="43">
        <v>-55.692399999999999</v>
      </c>
      <c r="V124" s="28">
        <v>-4.158E-7</v>
      </c>
      <c r="W124" s="43" t="s">
        <v>913</v>
      </c>
      <c r="X124" s="43" t="s">
        <v>65</v>
      </c>
    </row>
    <row r="125" spans="2:24" x14ac:dyDescent="0.2">
      <c r="B125" s="43" t="s">
        <v>183</v>
      </c>
      <c r="C125" s="43">
        <v>301</v>
      </c>
      <c r="D125" s="43" t="s">
        <v>551</v>
      </c>
      <c r="E125" s="43" t="s">
        <v>106</v>
      </c>
      <c r="F125" s="43" t="s">
        <v>553</v>
      </c>
      <c r="G125" s="43" t="s">
        <v>385</v>
      </c>
      <c r="H125" s="43">
        <v>60</v>
      </c>
      <c r="I125" s="43">
        <v>7.7404999999999999</v>
      </c>
      <c r="J125" s="28">
        <v>5.7800000000000001E-8</v>
      </c>
      <c r="K125" s="43" t="s">
        <v>913</v>
      </c>
      <c r="L125" s="43" t="s">
        <v>65</v>
      </c>
      <c r="N125" s="43" t="s">
        <v>183</v>
      </c>
      <c r="O125" s="43">
        <v>301</v>
      </c>
      <c r="P125" s="43" t="s">
        <v>551</v>
      </c>
      <c r="Q125" s="43" t="s">
        <v>379</v>
      </c>
      <c r="R125" s="43" t="s">
        <v>553</v>
      </c>
      <c r="S125" s="43" t="s">
        <v>385</v>
      </c>
      <c r="T125" s="43">
        <v>10</v>
      </c>
      <c r="U125" s="43">
        <v>7.7045000000000003</v>
      </c>
      <c r="V125" s="28">
        <v>5.753E-8</v>
      </c>
      <c r="W125" s="43" t="s">
        <v>913</v>
      </c>
      <c r="X125" s="43" t="s">
        <v>65</v>
      </c>
    </row>
    <row r="126" spans="2:24" x14ac:dyDescent="0.2">
      <c r="B126" s="43" t="s">
        <v>183</v>
      </c>
      <c r="C126" s="43">
        <v>302</v>
      </c>
      <c r="D126" s="43" t="s">
        <v>554</v>
      </c>
      <c r="E126" s="43" t="s">
        <v>106</v>
      </c>
      <c r="F126" s="43" t="s">
        <v>555</v>
      </c>
      <c r="G126" s="43" t="s">
        <v>383</v>
      </c>
      <c r="H126" s="43">
        <v>60</v>
      </c>
      <c r="I126" s="43">
        <v>-44.319800000000001</v>
      </c>
      <c r="J126" s="28">
        <v>-3.3089999999999998E-7</v>
      </c>
      <c r="K126" s="43" t="s">
        <v>913</v>
      </c>
      <c r="L126" s="43" t="s">
        <v>65</v>
      </c>
      <c r="N126" s="43" t="s">
        <v>183</v>
      </c>
      <c r="O126" s="43">
        <v>302</v>
      </c>
      <c r="P126" s="43" t="s">
        <v>554</v>
      </c>
      <c r="Q126" s="43" t="s">
        <v>379</v>
      </c>
      <c r="R126" s="43" t="s">
        <v>555</v>
      </c>
      <c r="S126" s="43" t="s">
        <v>383</v>
      </c>
      <c r="T126" s="43">
        <v>10</v>
      </c>
      <c r="U126" s="43">
        <v>-44.286099999999998</v>
      </c>
      <c r="V126" s="28">
        <v>-3.3070000000000002E-7</v>
      </c>
      <c r="W126" s="43" t="s">
        <v>913</v>
      </c>
      <c r="X126" s="43" t="s">
        <v>65</v>
      </c>
    </row>
    <row r="127" spans="2:24" x14ac:dyDescent="0.2">
      <c r="B127" s="43" t="s">
        <v>183</v>
      </c>
      <c r="C127" s="43">
        <v>302</v>
      </c>
      <c r="D127" s="43" t="s">
        <v>554</v>
      </c>
      <c r="E127" s="43" t="s">
        <v>106</v>
      </c>
      <c r="F127" s="43" t="s">
        <v>556</v>
      </c>
      <c r="G127" s="43" t="s">
        <v>385</v>
      </c>
      <c r="H127" s="43">
        <v>60</v>
      </c>
      <c r="I127" s="43">
        <v>-1.0466</v>
      </c>
      <c r="J127" s="28">
        <v>-7.8150000000000008E-9</v>
      </c>
      <c r="K127" s="43" t="s">
        <v>913</v>
      </c>
      <c r="L127" s="43" t="s">
        <v>65</v>
      </c>
      <c r="N127" s="43" t="s">
        <v>183</v>
      </c>
      <c r="O127" s="43">
        <v>302</v>
      </c>
      <c r="P127" s="43" t="s">
        <v>554</v>
      </c>
      <c r="Q127" s="43" t="s">
        <v>379</v>
      </c>
      <c r="R127" s="43" t="s">
        <v>556</v>
      </c>
      <c r="S127" s="43" t="s">
        <v>385</v>
      </c>
      <c r="T127" s="43">
        <v>10</v>
      </c>
      <c r="U127" s="43">
        <v>-1.0819000000000001</v>
      </c>
      <c r="V127" s="28">
        <v>-8.0779999999999996E-9</v>
      </c>
      <c r="W127" s="43" t="s">
        <v>913</v>
      </c>
      <c r="X127" s="43" t="s">
        <v>65</v>
      </c>
    </row>
    <row r="128" spans="2:24" x14ac:dyDescent="0.2">
      <c r="B128" s="43" t="s">
        <v>183</v>
      </c>
      <c r="C128" s="43">
        <v>303</v>
      </c>
      <c r="D128" s="43" t="s">
        <v>554</v>
      </c>
      <c r="E128" s="43" t="s">
        <v>106</v>
      </c>
      <c r="F128" s="43" t="s">
        <v>557</v>
      </c>
      <c r="G128" s="43" t="s">
        <v>383</v>
      </c>
      <c r="H128" s="43">
        <v>60</v>
      </c>
      <c r="I128" s="43">
        <v>-54.130699999999997</v>
      </c>
      <c r="J128" s="28">
        <v>-4.2730000000000002E-7</v>
      </c>
      <c r="K128" s="43" t="s">
        <v>913</v>
      </c>
      <c r="L128" s="43" t="s">
        <v>65</v>
      </c>
      <c r="N128" s="43" t="s">
        <v>183</v>
      </c>
      <c r="O128" s="43">
        <v>303</v>
      </c>
      <c r="P128" s="43" t="s">
        <v>554</v>
      </c>
      <c r="Q128" s="43" t="s">
        <v>379</v>
      </c>
      <c r="R128" s="43" t="s">
        <v>557</v>
      </c>
      <c r="S128" s="43" t="s">
        <v>383</v>
      </c>
      <c r="T128" s="43">
        <v>10</v>
      </c>
      <c r="U128" s="43">
        <v>-54.096400000000003</v>
      </c>
      <c r="V128" s="28">
        <v>-4.27E-7</v>
      </c>
      <c r="W128" s="43" t="s">
        <v>913</v>
      </c>
      <c r="X128" s="43" t="s">
        <v>65</v>
      </c>
    </row>
    <row r="129" spans="2:24" x14ac:dyDescent="0.2">
      <c r="B129" s="43" t="s">
        <v>183</v>
      </c>
      <c r="C129" s="43">
        <v>303</v>
      </c>
      <c r="D129" s="43" t="s">
        <v>554</v>
      </c>
      <c r="E129" s="43" t="s">
        <v>106</v>
      </c>
      <c r="F129" s="43" t="s">
        <v>558</v>
      </c>
      <c r="G129" s="43" t="s">
        <v>385</v>
      </c>
      <c r="H129" s="43">
        <v>60</v>
      </c>
      <c r="I129" s="43">
        <v>-2.8277999999999999</v>
      </c>
      <c r="J129" s="28">
        <v>-2.2320000000000001E-8</v>
      </c>
      <c r="K129" s="43" t="s">
        <v>913</v>
      </c>
      <c r="L129" s="43" t="s">
        <v>65</v>
      </c>
      <c r="N129" s="43" t="s">
        <v>183</v>
      </c>
      <c r="O129" s="43">
        <v>303</v>
      </c>
      <c r="P129" s="43" t="s">
        <v>554</v>
      </c>
      <c r="Q129" s="43" t="s">
        <v>379</v>
      </c>
      <c r="R129" s="43" t="s">
        <v>558</v>
      </c>
      <c r="S129" s="43" t="s">
        <v>385</v>
      </c>
      <c r="T129" s="43">
        <v>10</v>
      </c>
      <c r="U129" s="43">
        <v>-2.8622000000000001</v>
      </c>
      <c r="V129" s="28">
        <v>-2.2589999999999999E-8</v>
      </c>
      <c r="W129" s="43" t="s">
        <v>913</v>
      </c>
      <c r="X129" s="43" t="s">
        <v>65</v>
      </c>
    </row>
    <row r="130" spans="2:24" x14ac:dyDescent="0.2">
      <c r="B130" s="43" t="s">
        <v>183</v>
      </c>
      <c r="C130" s="43">
        <v>304</v>
      </c>
      <c r="D130" s="43" t="s">
        <v>554</v>
      </c>
      <c r="E130" s="43" t="s">
        <v>106</v>
      </c>
      <c r="F130" s="43" t="s">
        <v>559</v>
      </c>
      <c r="G130" s="43" t="s">
        <v>383</v>
      </c>
      <c r="H130" s="43">
        <v>60</v>
      </c>
      <c r="I130" s="43">
        <v>-54.701099999999997</v>
      </c>
      <c r="J130" s="28">
        <v>-4.0839999999999998E-7</v>
      </c>
      <c r="K130" s="43" t="s">
        <v>913</v>
      </c>
      <c r="L130" s="43" t="s">
        <v>65</v>
      </c>
      <c r="N130" s="43" t="s">
        <v>183</v>
      </c>
      <c r="O130" s="43">
        <v>304</v>
      </c>
      <c r="P130" s="43" t="s">
        <v>554</v>
      </c>
      <c r="Q130" s="43" t="s">
        <v>379</v>
      </c>
      <c r="R130" s="43" t="s">
        <v>559</v>
      </c>
      <c r="S130" s="43" t="s">
        <v>383</v>
      </c>
      <c r="T130" s="43">
        <v>10</v>
      </c>
      <c r="U130" s="43">
        <v>-54.664299999999997</v>
      </c>
      <c r="V130" s="28">
        <v>-4.0820000000000002E-7</v>
      </c>
      <c r="W130" s="43" t="s">
        <v>913</v>
      </c>
      <c r="X130" s="43" t="s">
        <v>65</v>
      </c>
    </row>
    <row r="131" spans="2:24" x14ac:dyDescent="0.2">
      <c r="B131" s="43" t="s">
        <v>183</v>
      </c>
      <c r="C131" s="43">
        <v>304</v>
      </c>
      <c r="D131" s="43" t="s">
        <v>554</v>
      </c>
      <c r="E131" s="43" t="s">
        <v>106</v>
      </c>
      <c r="F131" s="43" t="s">
        <v>560</v>
      </c>
      <c r="G131" s="43" t="s">
        <v>385</v>
      </c>
      <c r="H131" s="43">
        <v>60</v>
      </c>
      <c r="I131" s="43">
        <v>7.0480999999999998</v>
      </c>
      <c r="J131" s="28">
        <v>5.2630000000000002E-8</v>
      </c>
      <c r="K131" s="43" t="s">
        <v>913</v>
      </c>
      <c r="L131" s="43" t="s">
        <v>65</v>
      </c>
      <c r="N131" s="43" t="s">
        <v>183</v>
      </c>
      <c r="O131" s="43">
        <v>304</v>
      </c>
      <c r="P131" s="43" t="s">
        <v>554</v>
      </c>
      <c r="Q131" s="43" t="s">
        <v>379</v>
      </c>
      <c r="R131" s="43" t="s">
        <v>560</v>
      </c>
      <c r="S131" s="43" t="s">
        <v>385</v>
      </c>
      <c r="T131" s="43">
        <v>10</v>
      </c>
      <c r="U131" s="43">
        <v>7.0128000000000004</v>
      </c>
      <c r="V131" s="28">
        <v>5.236E-8</v>
      </c>
      <c r="W131" s="43" t="s">
        <v>913</v>
      </c>
      <c r="X131" s="43" t="s">
        <v>65</v>
      </c>
    </row>
    <row r="132" spans="2:24" x14ac:dyDescent="0.2">
      <c r="B132" s="43" t="s">
        <v>183</v>
      </c>
      <c r="C132" s="43">
        <v>305</v>
      </c>
      <c r="D132" s="43" t="s">
        <v>561</v>
      </c>
      <c r="E132" s="43" t="s">
        <v>106</v>
      </c>
      <c r="F132" s="43" t="s">
        <v>562</v>
      </c>
      <c r="G132" s="43" t="s">
        <v>383</v>
      </c>
      <c r="H132" s="43">
        <v>60</v>
      </c>
      <c r="I132" s="43">
        <v>-44.131300000000003</v>
      </c>
      <c r="J132" s="28">
        <v>-3.2949999999999998E-7</v>
      </c>
      <c r="K132" s="43" t="s">
        <v>913</v>
      </c>
      <c r="L132" s="43" t="s">
        <v>65</v>
      </c>
      <c r="N132" s="43" t="s">
        <v>183</v>
      </c>
      <c r="O132" s="43">
        <v>305</v>
      </c>
      <c r="P132" s="43" t="s">
        <v>561</v>
      </c>
      <c r="Q132" s="43" t="s">
        <v>379</v>
      </c>
      <c r="R132" s="43" t="s">
        <v>562</v>
      </c>
      <c r="S132" s="43" t="s">
        <v>383</v>
      </c>
      <c r="T132" s="43">
        <v>10</v>
      </c>
      <c r="U132" s="43">
        <v>-44.096800000000002</v>
      </c>
      <c r="V132" s="28">
        <v>-3.2930000000000002E-7</v>
      </c>
      <c r="W132" s="43" t="s">
        <v>913</v>
      </c>
      <c r="X132" s="43" t="s">
        <v>65</v>
      </c>
    </row>
    <row r="133" spans="2:24" x14ac:dyDescent="0.2">
      <c r="B133" s="43" t="s">
        <v>183</v>
      </c>
      <c r="C133" s="43">
        <v>305</v>
      </c>
      <c r="D133" s="43" t="s">
        <v>561</v>
      </c>
      <c r="E133" s="43" t="s">
        <v>106</v>
      </c>
      <c r="F133" s="43" t="s">
        <v>563</v>
      </c>
      <c r="G133" s="43" t="s">
        <v>385</v>
      </c>
      <c r="H133" s="43">
        <v>60</v>
      </c>
      <c r="I133" s="43">
        <v>0.38919999999999999</v>
      </c>
      <c r="J133" s="28">
        <v>2.9060000000000001E-9</v>
      </c>
      <c r="K133" s="43" t="s">
        <v>913</v>
      </c>
      <c r="L133" s="43" t="s">
        <v>65</v>
      </c>
      <c r="N133" s="43" t="s">
        <v>183</v>
      </c>
      <c r="O133" s="43">
        <v>305</v>
      </c>
      <c r="P133" s="43" t="s">
        <v>561</v>
      </c>
      <c r="Q133" s="43" t="s">
        <v>379</v>
      </c>
      <c r="R133" s="43" t="s">
        <v>563</v>
      </c>
      <c r="S133" s="43" t="s">
        <v>385</v>
      </c>
      <c r="T133" s="43">
        <v>10</v>
      </c>
      <c r="U133" s="43">
        <v>0.35170000000000001</v>
      </c>
      <c r="V133" s="28">
        <v>2.6259999999999998E-9</v>
      </c>
      <c r="W133" s="43" t="s">
        <v>913</v>
      </c>
      <c r="X133" s="43" t="s">
        <v>65</v>
      </c>
    </row>
    <row r="134" spans="2:24" x14ac:dyDescent="0.2">
      <c r="B134" s="43" t="s">
        <v>183</v>
      </c>
      <c r="C134" s="43">
        <v>275</v>
      </c>
      <c r="D134" s="43" t="s">
        <v>564</v>
      </c>
      <c r="E134" s="43" t="s">
        <v>106</v>
      </c>
      <c r="F134" s="43" t="s">
        <v>565</v>
      </c>
      <c r="G134" s="43" t="s">
        <v>383</v>
      </c>
      <c r="H134" s="43">
        <v>60</v>
      </c>
      <c r="I134" s="43">
        <v>-47.9604</v>
      </c>
      <c r="J134" s="28">
        <v>-4.538E-7</v>
      </c>
      <c r="K134" s="43" t="s">
        <v>913</v>
      </c>
      <c r="L134" s="43" t="s">
        <v>65</v>
      </c>
      <c r="N134" s="43" t="s">
        <v>183</v>
      </c>
      <c r="O134" s="43">
        <v>275</v>
      </c>
      <c r="P134" s="43" t="s">
        <v>564</v>
      </c>
      <c r="Q134" s="43" t="s">
        <v>379</v>
      </c>
      <c r="R134" s="43" t="s">
        <v>565</v>
      </c>
      <c r="S134" s="43" t="s">
        <v>383</v>
      </c>
      <c r="T134" s="43">
        <v>10</v>
      </c>
      <c r="U134" s="43">
        <v>-47.944200000000002</v>
      </c>
      <c r="V134" s="28">
        <v>-4.5369999999999999E-7</v>
      </c>
      <c r="W134" s="43" t="s">
        <v>913</v>
      </c>
      <c r="X134" s="43" t="s">
        <v>65</v>
      </c>
    </row>
    <row r="135" spans="2:24" x14ac:dyDescent="0.2">
      <c r="B135" s="43" t="s">
        <v>183</v>
      </c>
      <c r="C135" s="43">
        <v>275</v>
      </c>
      <c r="D135" s="43" t="s">
        <v>564</v>
      </c>
      <c r="E135" s="43" t="s">
        <v>106</v>
      </c>
      <c r="F135" s="43" t="s">
        <v>566</v>
      </c>
      <c r="G135" s="43" t="s">
        <v>385</v>
      </c>
      <c r="H135" s="43">
        <v>60</v>
      </c>
      <c r="I135" s="43">
        <v>-49.549100000000003</v>
      </c>
      <c r="J135" s="28">
        <v>-4.6890000000000002E-7</v>
      </c>
      <c r="K135" s="43" t="s">
        <v>913</v>
      </c>
      <c r="L135" s="43" t="s">
        <v>65</v>
      </c>
      <c r="N135" s="43" t="s">
        <v>183</v>
      </c>
      <c r="O135" s="43">
        <v>275</v>
      </c>
      <c r="P135" s="43" t="s">
        <v>564</v>
      </c>
      <c r="Q135" s="43" t="s">
        <v>379</v>
      </c>
      <c r="R135" s="43" t="s">
        <v>566</v>
      </c>
      <c r="S135" s="43" t="s">
        <v>385</v>
      </c>
      <c r="T135" s="43">
        <v>10</v>
      </c>
      <c r="U135" s="43">
        <v>-49.559600000000003</v>
      </c>
      <c r="V135" s="28">
        <v>-4.6899999999999998E-7</v>
      </c>
      <c r="W135" s="43" t="s">
        <v>913</v>
      </c>
      <c r="X135" s="43" t="s">
        <v>65</v>
      </c>
    </row>
    <row r="136" spans="2:24" x14ac:dyDescent="0.2">
      <c r="B136" s="43" t="s">
        <v>183</v>
      </c>
      <c r="C136" s="43">
        <v>278</v>
      </c>
      <c r="D136" s="43" t="s">
        <v>567</v>
      </c>
      <c r="E136" s="43" t="s">
        <v>106</v>
      </c>
      <c r="F136" s="43" t="s">
        <v>568</v>
      </c>
      <c r="G136" s="43" t="s">
        <v>383</v>
      </c>
      <c r="H136" s="43">
        <v>60</v>
      </c>
      <c r="I136" s="43">
        <v>-72.0197</v>
      </c>
      <c r="J136" s="28">
        <v>-4.8559999999999995E-7</v>
      </c>
      <c r="K136" s="43" t="s">
        <v>913</v>
      </c>
      <c r="L136" s="43" t="s">
        <v>65</v>
      </c>
      <c r="N136" s="43" t="s">
        <v>183</v>
      </c>
      <c r="O136" s="43">
        <v>278</v>
      </c>
      <c r="P136" s="43" t="s">
        <v>567</v>
      </c>
      <c r="Q136" s="43" t="s">
        <v>379</v>
      </c>
      <c r="R136" s="43" t="s">
        <v>568</v>
      </c>
      <c r="S136" s="43" t="s">
        <v>383</v>
      </c>
      <c r="T136" s="43">
        <v>10</v>
      </c>
      <c r="U136" s="43">
        <v>-72.002899999999997</v>
      </c>
      <c r="V136" s="28">
        <v>-4.8550000000000005E-7</v>
      </c>
      <c r="W136" s="43" t="s">
        <v>913</v>
      </c>
      <c r="X136" s="43" t="s">
        <v>65</v>
      </c>
    </row>
    <row r="137" spans="2:24" x14ac:dyDescent="0.2">
      <c r="B137" s="43" t="s">
        <v>183</v>
      </c>
      <c r="C137" s="43">
        <v>278</v>
      </c>
      <c r="D137" s="43" t="s">
        <v>567</v>
      </c>
      <c r="E137" s="43" t="s">
        <v>106</v>
      </c>
      <c r="F137" s="43" t="s">
        <v>569</v>
      </c>
      <c r="G137" s="43" t="s">
        <v>385</v>
      </c>
      <c r="H137" s="43">
        <v>60</v>
      </c>
      <c r="I137" s="43">
        <v>-58.4679</v>
      </c>
      <c r="J137" s="28">
        <v>-3.9429999999999998E-7</v>
      </c>
      <c r="K137" s="43" t="s">
        <v>913</v>
      </c>
      <c r="L137" s="43" t="s">
        <v>65</v>
      </c>
      <c r="N137" s="43" t="s">
        <v>183</v>
      </c>
      <c r="O137" s="43">
        <v>278</v>
      </c>
      <c r="P137" s="43" t="s">
        <v>567</v>
      </c>
      <c r="Q137" s="43" t="s">
        <v>379</v>
      </c>
      <c r="R137" s="43" t="s">
        <v>569</v>
      </c>
      <c r="S137" s="43" t="s">
        <v>385</v>
      </c>
      <c r="T137" s="43">
        <v>10</v>
      </c>
      <c r="U137" s="43">
        <v>-58.484400000000001</v>
      </c>
      <c r="V137" s="28">
        <v>-3.9439999999999998E-7</v>
      </c>
      <c r="W137" s="43" t="s">
        <v>913</v>
      </c>
      <c r="X137" s="43" t="s">
        <v>65</v>
      </c>
    </row>
    <row r="138" spans="2:24" x14ac:dyDescent="0.2">
      <c r="B138" s="43" t="s">
        <v>183</v>
      </c>
      <c r="C138" s="43">
        <v>281</v>
      </c>
      <c r="D138" s="43" t="s">
        <v>570</v>
      </c>
      <c r="E138" s="43" t="s">
        <v>106</v>
      </c>
      <c r="F138" s="43" t="s">
        <v>571</v>
      </c>
      <c r="G138" s="43" t="s">
        <v>383</v>
      </c>
      <c r="H138" s="43">
        <v>60</v>
      </c>
      <c r="I138" s="43">
        <v>-56.4664</v>
      </c>
      <c r="J138" s="28">
        <v>-3.9910000000000002E-7</v>
      </c>
      <c r="K138" s="43" t="s">
        <v>913</v>
      </c>
      <c r="L138" s="43" t="s">
        <v>65</v>
      </c>
      <c r="N138" s="43" t="s">
        <v>183</v>
      </c>
      <c r="O138" s="43">
        <v>281</v>
      </c>
      <c r="P138" s="43" t="s">
        <v>570</v>
      </c>
      <c r="Q138" s="43" t="s">
        <v>379</v>
      </c>
      <c r="R138" s="43" t="s">
        <v>571</v>
      </c>
      <c r="S138" s="43" t="s">
        <v>383</v>
      </c>
      <c r="T138" s="43">
        <v>10</v>
      </c>
      <c r="U138" s="43">
        <v>-56.450299999999999</v>
      </c>
      <c r="V138" s="28">
        <v>-3.9900000000000001E-7</v>
      </c>
      <c r="W138" s="43" t="s">
        <v>913</v>
      </c>
      <c r="X138" s="43" t="s">
        <v>65</v>
      </c>
    </row>
    <row r="139" spans="2:24" x14ac:dyDescent="0.2">
      <c r="B139" s="43" t="s">
        <v>183</v>
      </c>
      <c r="C139" s="43">
        <v>281</v>
      </c>
      <c r="D139" s="43" t="s">
        <v>570</v>
      </c>
      <c r="E139" s="43" t="s">
        <v>106</v>
      </c>
      <c r="F139" s="43" t="s">
        <v>572</v>
      </c>
      <c r="G139" s="43" t="s">
        <v>385</v>
      </c>
      <c r="H139" s="43">
        <v>60</v>
      </c>
      <c r="I139" s="43">
        <v>-67.730999999999995</v>
      </c>
      <c r="J139" s="28">
        <v>-4.7869999999999997E-7</v>
      </c>
      <c r="K139" s="43" t="s">
        <v>913</v>
      </c>
      <c r="L139" s="43" t="s">
        <v>65</v>
      </c>
      <c r="N139" s="43" t="s">
        <v>183</v>
      </c>
      <c r="O139" s="43">
        <v>281</v>
      </c>
      <c r="P139" s="43" t="s">
        <v>570</v>
      </c>
      <c r="Q139" s="43" t="s">
        <v>379</v>
      </c>
      <c r="R139" s="43" t="s">
        <v>572</v>
      </c>
      <c r="S139" s="43" t="s">
        <v>385</v>
      </c>
      <c r="T139" s="43">
        <v>10</v>
      </c>
      <c r="U139" s="43">
        <v>-67.747500000000002</v>
      </c>
      <c r="V139" s="28">
        <v>-4.7889999999999998E-7</v>
      </c>
      <c r="W139" s="43" t="s">
        <v>913</v>
      </c>
      <c r="X139" s="43" t="s">
        <v>65</v>
      </c>
    </row>
    <row r="140" spans="2:24" x14ac:dyDescent="0.2">
      <c r="B140" s="43" t="s">
        <v>183</v>
      </c>
      <c r="C140" s="43">
        <v>284</v>
      </c>
      <c r="D140" s="43" t="s">
        <v>573</v>
      </c>
      <c r="E140" s="43" t="s">
        <v>106</v>
      </c>
      <c r="F140" s="43" t="s">
        <v>574</v>
      </c>
      <c r="G140" s="43" t="s">
        <v>383</v>
      </c>
      <c r="H140" s="43">
        <v>60</v>
      </c>
      <c r="I140" s="43">
        <v>-56.431100000000001</v>
      </c>
      <c r="J140" s="28">
        <v>-3.9890000000000001E-7</v>
      </c>
      <c r="K140" s="43" t="s">
        <v>913</v>
      </c>
      <c r="L140" s="43" t="s">
        <v>65</v>
      </c>
      <c r="N140" s="43" t="s">
        <v>183</v>
      </c>
      <c r="O140" s="43">
        <v>284</v>
      </c>
      <c r="P140" s="43" t="s">
        <v>573</v>
      </c>
      <c r="Q140" s="43" t="s">
        <v>379</v>
      </c>
      <c r="R140" s="43" t="s">
        <v>574</v>
      </c>
      <c r="S140" s="43" t="s">
        <v>383</v>
      </c>
      <c r="T140" s="43">
        <v>10</v>
      </c>
      <c r="U140" s="43">
        <v>-56.415399999999998</v>
      </c>
      <c r="V140" s="28">
        <v>-3.988E-7</v>
      </c>
      <c r="W140" s="43" t="s">
        <v>913</v>
      </c>
      <c r="X140" s="43" t="s">
        <v>65</v>
      </c>
    </row>
    <row r="141" spans="2:24" x14ac:dyDescent="0.2">
      <c r="B141" s="43" t="s">
        <v>183</v>
      </c>
      <c r="C141" s="43">
        <v>284</v>
      </c>
      <c r="D141" s="43" t="s">
        <v>573</v>
      </c>
      <c r="E141" s="43" t="s">
        <v>106</v>
      </c>
      <c r="F141" s="43" t="s">
        <v>575</v>
      </c>
      <c r="G141" s="43" t="s">
        <v>385</v>
      </c>
      <c r="H141" s="43">
        <v>60</v>
      </c>
      <c r="I141" s="43">
        <v>-67.671999999999997</v>
      </c>
      <c r="J141" s="28">
        <v>-4.7830000000000004E-7</v>
      </c>
      <c r="K141" s="43" t="s">
        <v>913</v>
      </c>
      <c r="L141" s="43" t="s">
        <v>65</v>
      </c>
      <c r="N141" s="43" t="s">
        <v>183</v>
      </c>
      <c r="O141" s="43">
        <v>284</v>
      </c>
      <c r="P141" s="43" t="s">
        <v>573</v>
      </c>
      <c r="Q141" s="43" t="s">
        <v>379</v>
      </c>
      <c r="R141" s="43" t="s">
        <v>575</v>
      </c>
      <c r="S141" s="43" t="s">
        <v>385</v>
      </c>
      <c r="T141" s="43">
        <v>10</v>
      </c>
      <c r="U141" s="43">
        <v>-67.688000000000002</v>
      </c>
      <c r="V141" s="28">
        <v>-4.7840000000000005E-7</v>
      </c>
      <c r="W141" s="43" t="s">
        <v>913</v>
      </c>
      <c r="X141" s="43" t="s">
        <v>65</v>
      </c>
    </row>
    <row r="142" spans="2:24" x14ac:dyDescent="0.2">
      <c r="B142" s="43" t="s">
        <v>183</v>
      </c>
      <c r="C142" s="43">
        <v>287</v>
      </c>
      <c r="D142" s="43" t="s">
        <v>576</v>
      </c>
      <c r="E142" s="43" t="s">
        <v>106</v>
      </c>
      <c r="F142" s="43" t="s">
        <v>577</v>
      </c>
      <c r="G142" s="43" t="s">
        <v>383</v>
      </c>
      <c r="H142" s="43">
        <v>60</v>
      </c>
      <c r="I142" s="43">
        <v>-71.4054</v>
      </c>
      <c r="J142" s="28">
        <v>-4.8149999999999996E-7</v>
      </c>
      <c r="K142" s="43" t="s">
        <v>913</v>
      </c>
      <c r="L142" s="43" t="s">
        <v>65</v>
      </c>
      <c r="N142" s="43" t="s">
        <v>183</v>
      </c>
      <c r="O142" s="43">
        <v>287</v>
      </c>
      <c r="P142" s="43" t="s">
        <v>576</v>
      </c>
      <c r="Q142" s="43" t="s">
        <v>379</v>
      </c>
      <c r="R142" s="43" t="s">
        <v>577</v>
      </c>
      <c r="S142" s="43" t="s">
        <v>383</v>
      </c>
      <c r="T142" s="43">
        <v>10</v>
      </c>
      <c r="U142" s="43">
        <v>-71.390299999999996</v>
      </c>
      <c r="V142" s="28">
        <v>-4.8139999999999996E-7</v>
      </c>
      <c r="W142" s="43" t="s">
        <v>913</v>
      </c>
      <c r="X142" s="43" t="s">
        <v>65</v>
      </c>
    </row>
    <row r="143" spans="2:24" x14ac:dyDescent="0.2">
      <c r="B143" s="43" t="s">
        <v>183</v>
      </c>
      <c r="C143" s="43">
        <v>287</v>
      </c>
      <c r="D143" s="43" t="s">
        <v>576</v>
      </c>
      <c r="E143" s="43" t="s">
        <v>106</v>
      </c>
      <c r="F143" s="43" t="s">
        <v>578</v>
      </c>
      <c r="G143" s="43" t="s">
        <v>385</v>
      </c>
      <c r="H143" s="43">
        <v>60</v>
      </c>
      <c r="I143" s="43">
        <v>-58.226700000000001</v>
      </c>
      <c r="J143" s="28">
        <v>-3.9260000000000001E-7</v>
      </c>
      <c r="K143" s="43" t="s">
        <v>913</v>
      </c>
      <c r="L143" s="43" t="s">
        <v>65</v>
      </c>
      <c r="N143" s="43" t="s">
        <v>183</v>
      </c>
      <c r="O143" s="43">
        <v>287</v>
      </c>
      <c r="P143" s="43" t="s">
        <v>576</v>
      </c>
      <c r="Q143" s="43" t="s">
        <v>379</v>
      </c>
      <c r="R143" s="43" t="s">
        <v>578</v>
      </c>
      <c r="S143" s="43" t="s">
        <v>385</v>
      </c>
      <c r="T143" s="43">
        <v>10</v>
      </c>
      <c r="U143" s="43">
        <v>-58.242600000000003</v>
      </c>
      <c r="V143" s="28">
        <v>-3.9270000000000002E-7</v>
      </c>
      <c r="W143" s="43" t="s">
        <v>913</v>
      </c>
      <c r="X143" s="43" t="s">
        <v>65</v>
      </c>
    </row>
    <row r="144" spans="2:24" x14ac:dyDescent="0.2">
      <c r="B144" s="43" t="s">
        <v>183</v>
      </c>
      <c r="C144" s="43">
        <v>290</v>
      </c>
      <c r="D144" s="43" t="s">
        <v>579</v>
      </c>
      <c r="E144" s="43" t="s">
        <v>106</v>
      </c>
      <c r="F144" s="43" t="s">
        <v>580</v>
      </c>
      <c r="G144" s="43" t="s">
        <v>383</v>
      </c>
      <c r="H144" s="43">
        <v>60</v>
      </c>
      <c r="I144" s="43">
        <v>-42.936900000000001</v>
      </c>
      <c r="J144" s="28">
        <v>-4.0629999999999998E-7</v>
      </c>
      <c r="K144" s="43" t="s">
        <v>913</v>
      </c>
      <c r="L144" s="43" t="s">
        <v>65</v>
      </c>
      <c r="N144" s="43" t="s">
        <v>183</v>
      </c>
      <c r="O144" s="43">
        <v>290</v>
      </c>
      <c r="P144" s="43" t="s">
        <v>579</v>
      </c>
      <c r="Q144" s="43" t="s">
        <v>379</v>
      </c>
      <c r="R144" s="43" t="s">
        <v>580</v>
      </c>
      <c r="S144" s="43" t="s">
        <v>383</v>
      </c>
      <c r="T144" s="43">
        <v>10</v>
      </c>
      <c r="U144" s="43">
        <v>-42.928600000000003</v>
      </c>
      <c r="V144" s="28">
        <v>-4.0620000000000002E-7</v>
      </c>
      <c r="W144" s="43" t="s">
        <v>913</v>
      </c>
      <c r="X144" s="43" t="s">
        <v>65</v>
      </c>
    </row>
    <row r="145" spans="2:24" x14ac:dyDescent="0.2">
      <c r="B145" s="43" t="s">
        <v>183</v>
      </c>
      <c r="C145" s="43">
        <v>290</v>
      </c>
      <c r="D145" s="43" t="s">
        <v>579</v>
      </c>
      <c r="E145" s="43" t="s">
        <v>106</v>
      </c>
      <c r="F145" s="43" t="s">
        <v>581</v>
      </c>
      <c r="G145" s="43" t="s">
        <v>385</v>
      </c>
      <c r="H145" s="43">
        <v>60</v>
      </c>
      <c r="I145" s="43">
        <v>-45.418199999999999</v>
      </c>
      <c r="J145" s="28">
        <v>-4.298E-7</v>
      </c>
      <c r="K145" s="43" t="s">
        <v>913</v>
      </c>
      <c r="L145" s="43" t="s">
        <v>65</v>
      </c>
      <c r="N145" s="43" t="s">
        <v>183</v>
      </c>
      <c r="O145" s="43">
        <v>290</v>
      </c>
      <c r="P145" s="43" t="s">
        <v>579</v>
      </c>
      <c r="Q145" s="43" t="s">
        <v>379</v>
      </c>
      <c r="R145" s="43" t="s">
        <v>581</v>
      </c>
      <c r="S145" s="43" t="s">
        <v>385</v>
      </c>
      <c r="T145" s="43">
        <v>10</v>
      </c>
      <c r="U145" s="43">
        <v>-45.4328</v>
      </c>
      <c r="V145" s="28">
        <v>-4.299E-7</v>
      </c>
      <c r="W145" s="43" t="s">
        <v>913</v>
      </c>
      <c r="X145" s="43" t="s">
        <v>65</v>
      </c>
    </row>
    <row r="146" spans="2:24" x14ac:dyDescent="0.2">
      <c r="B146" s="43" t="s">
        <v>183</v>
      </c>
      <c r="C146" s="43">
        <v>306</v>
      </c>
      <c r="D146" s="43" t="s">
        <v>582</v>
      </c>
      <c r="E146" s="43" t="s">
        <v>106</v>
      </c>
      <c r="F146" s="43" t="s">
        <v>583</v>
      </c>
      <c r="G146" s="43" t="s">
        <v>383</v>
      </c>
      <c r="H146" s="43">
        <v>60</v>
      </c>
      <c r="I146" s="43">
        <v>-38.537399999999998</v>
      </c>
      <c r="J146" s="28">
        <v>-3.9509999999999998E-7</v>
      </c>
      <c r="K146" s="43" t="s">
        <v>913</v>
      </c>
      <c r="L146" s="43" t="s">
        <v>65</v>
      </c>
      <c r="N146" s="43" t="s">
        <v>183</v>
      </c>
      <c r="O146" s="43">
        <v>306</v>
      </c>
      <c r="P146" s="43" t="s">
        <v>582</v>
      </c>
      <c r="Q146" s="43" t="s">
        <v>379</v>
      </c>
      <c r="R146" s="43" t="s">
        <v>583</v>
      </c>
      <c r="S146" s="43" t="s">
        <v>383</v>
      </c>
      <c r="T146" s="43">
        <v>10</v>
      </c>
      <c r="U146" s="43">
        <v>-38.510199999999998</v>
      </c>
      <c r="V146" s="28">
        <v>-3.9480000000000001E-7</v>
      </c>
      <c r="W146" s="43" t="s">
        <v>913</v>
      </c>
      <c r="X146" s="43" t="s">
        <v>65</v>
      </c>
    </row>
    <row r="147" spans="2:24" x14ac:dyDescent="0.2">
      <c r="B147" s="43" t="s">
        <v>183</v>
      </c>
      <c r="C147" s="43">
        <v>306</v>
      </c>
      <c r="D147" s="43" t="s">
        <v>582</v>
      </c>
      <c r="E147" s="43" t="s">
        <v>106</v>
      </c>
      <c r="F147" s="43" t="s">
        <v>584</v>
      </c>
      <c r="G147" s="43" t="s">
        <v>385</v>
      </c>
      <c r="H147" s="43">
        <v>60</v>
      </c>
      <c r="I147" s="43">
        <v>-3.5507</v>
      </c>
      <c r="J147" s="28">
        <v>-3.6400000000000002E-8</v>
      </c>
      <c r="K147" s="43" t="s">
        <v>913</v>
      </c>
      <c r="L147" s="43" t="s">
        <v>65</v>
      </c>
      <c r="N147" s="43" t="s">
        <v>183</v>
      </c>
      <c r="O147" s="43">
        <v>306</v>
      </c>
      <c r="P147" s="43" t="s">
        <v>582</v>
      </c>
      <c r="Q147" s="43" t="s">
        <v>379</v>
      </c>
      <c r="R147" s="43" t="s">
        <v>584</v>
      </c>
      <c r="S147" s="43" t="s">
        <v>385</v>
      </c>
      <c r="T147" s="43">
        <v>10</v>
      </c>
      <c r="U147" s="43">
        <v>-3.5790999999999999</v>
      </c>
      <c r="V147" s="28">
        <v>-3.669E-8</v>
      </c>
      <c r="W147" s="43" t="s">
        <v>913</v>
      </c>
      <c r="X147" s="43" t="s">
        <v>65</v>
      </c>
    </row>
    <row r="148" spans="2:24" x14ac:dyDescent="0.2">
      <c r="B148" s="43" t="s">
        <v>183</v>
      </c>
      <c r="C148" s="43">
        <v>307</v>
      </c>
      <c r="D148" s="43" t="s">
        <v>585</v>
      </c>
      <c r="E148" s="43" t="s">
        <v>106</v>
      </c>
      <c r="F148" s="43" t="s">
        <v>586</v>
      </c>
      <c r="G148" s="43" t="s">
        <v>383</v>
      </c>
      <c r="H148" s="43">
        <v>60</v>
      </c>
      <c r="I148" s="43">
        <v>-45.691000000000003</v>
      </c>
      <c r="J148" s="28">
        <v>-4.0610000000000002E-7</v>
      </c>
      <c r="K148" s="43" t="s">
        <v>913</v>
      </c>
      <c r="L148" s="43" t="s">
        <v>65</v>
      </c>
      <c r="N148" s="43" t="s">
        <v>183</v>
      </c>
      <c r="O148" s="43">
        <v>307</v>
      </c>
      <c r="P148" s="43" t="s">
        <v>585</v>
      </c>
      <c r="Q148" s="43" t="s">
        <v>379</v>
      </c>
      <c r="R148" s="43" t="s">
        <v>586</v>
      </c>
      <c r="S148" s="43" t="s">
        <v>383</v>
      </c>
      <c r="T148" s="43">
        <v>10</v>
      </c>
      <c r="U148" s="43">
        <v>-45.659500000000001</v>
      </c>
      <c r="V148" s="28">
        <v>-4.059E-7</v>
      </c>
      <c r="W148" s="43" t="s">
        <v>913</v>
      </c>
      <c r="X148" s="43" t="s">
        <v>65</v>
      </c>
    </row>
    <row r="149" spans="2:24" x14ac:dyDescent="0.2">
      <c r="B149" s="43" t="s">
        <v>183</v>
      </c>
      <c r="C149" s="43">
        <v>307</v>
      </c>
      <c r="D149" s="43" t="s">
        <v>585</v>
      </c>
      <c r="E149" s="43" t="s">
        <v>106</v>
      </c>
      <c r="F149" s="43" t="s">
        <v>587</v>
      </c>
      <c r="G149" s="43" t="s">
        <v>385</v>
      </c>
      <c r="H149" s="43">
        <v>60</v>
      </c>
      <c r="I149" s="43">
        <v>7.1452999999999998</v>
      </c>
      <c r="J149" s="28">
        <v>6.3510000000000004E-8</v>
      </c>
      <c r="K149" s="43" t="s">
        <v>913</v>
      </c>
      <c r="L149" s="43" t="s">
        <v>65</v>
      </c>
      <c r="N149" s="43" t="s">
        <v>183</v>
      </c>
      <c r="O149" s="43">
        <v>307</v>
      </c>
      <c r="P149" s="43" t="s">
        <v>585</v>
      </c>
      <c r="Q149" s="43" t="s">
        <v>379</v>
      </c>
      <c r="R149" s="43" t="s">
        <v>587</v>
      </c>
      <c r="S149" s="43" t="s">
        <v>385</v>
      </c>
      <c r="T149" s="43">
        <v>10</v>
      </c>
      <c r="U149" s="43">
        <v>7.1151999999999997</v>
      </c>
      <c r="V149" s="28">
        <v>6.3250000000000001E-8</v>
      </c>
      <c r="W149" s="43" t="s">
        <v>913</v>
      </c>
      <c r="X149" s="43" t="s">
        <v>65</v>
      </c>
    </row>
    <row r="150" spans="2:24" x14ac:dyDescent="0.2">
      <c r="B150" s="43" t="s">
        <v>183</v>
      </c>
      <c r="C150" s="43">
        <v>308</v>
      </c>
      <c r="D150" s="43" t="s">
        <v>585</v>
      </c>
      <c r="E150" s="43" t="s">
        <v>106</v>
      </c>
      <c r="F150" s="43" t="s">
        <v>588</v>
      </c>
      <c r="G150" s="43" t="s">
        <v>383</v>
      </c>
      <c r="H150" s="43">
        <v>60</v>
      </c>
      <c r="I150" s="43">
        <v>-37.707999999999998</v>
      </c>
      <c r="J150" s="28">
        <v>-3.1600000000000002E-7</v>
      </c>
      <c r="K150" s="43" t="s">
        <v>913</v>
      </c>
      <c r="L150" s="43" t="s">
        <v>65</v>
      </c>
      <c r="N150" s="43" t="s">
        <v>183</v>
      </c>
      <c r="O150" s="43">
        <v>308</v>
      </c>
      <c r="P150" s="43" t="s">
        <v>585</v>
      </c>
      <c r="Q150" s="43" t="s">
        <v>379</v>
      </c>
      <c r="R150" s="43" t="s">
        <v>588</v>
      </c>
      <c r="S150" s="43" t="s">
        <v>383</v>
      </c>
      <c r="T150" s="43">
        <v>10</v>
      </c>
      <c r="U150" s="43">
        <v>-37.677500000000002</v>
      </c>
      <c r="V150" s="28">
        <v>-3.1580000000000001E-7</v>
      </c>
      <c r="W150" s="43" t="s">
        <v>913</v>
      </c>
      <c r="X150" s="43" t="s">
        <v>65</v>
      </c>
    </row>
    <row r="151" spans="2:24" x14ac:dyDescent="0.2">
      <c r="B151" s="43" t="s">
        <v>183</v>
      </c>
      <c r="C151" s="43">
        <v>308</v>
      </c>
      <c r="D151" s="43" t="s">
        <v>585</v>
      </c>
      <c r="E151" s="43" t="s">
        <v>106</v>
      </c>
      <c r="F151" s="43" t="s">
        <v>589</v>
      </c>
      <c r="G151" s="43" t="s">
        <v>385</v>
      </c>
      <c r="H151" s="43">
        <v>60</v>
      </c>
      <c r="I151" s="43">
        <v>7.9736000000000002</v>
      </c>
      <c r="J151" s="28">
        <v>6.6829999999999997E-8</v>
      </c>
      <c r="K151" s="43" t="s">
        <v>913</v>
      </c>
      <c r="L151" s="43" t="s">
        <v>65</v>
      </c>
      <c r="N151" s="43" t="s">
        <v>183</v>
      </c>
      <c r="O151" s="43">
        <v>308</v>
      </c>
      <c r="P151" s="43" t="s">
        <v>585</v>
      </c>
      <c r="Q151" s="43" t="s">
        <v>379</v>
      </c>
      <c r="R151" s="43" t="s">
        <v>589</v>
      </c>
      <c r="S151" s="43" t="s">
        <v>385</v>
      </c>
      <c r="T151" s="43">
        <v>10</v>
      </c>
      <c r="U151" s="43">
        <v>7.9428000000000001</v>
      </c>
      <c r="V151" s="28">
        <v>6.6570000000000006E-8</v>
      </c>
      <c r="W151" s="43" t="s">
        <v>913</v>
      </c>
      <c r="X151" s="43" t="s">
        <v>65</v>
      </c>
    </row>
    <row r="152" spans="2:24" x14ac:dyDescent="0.2">
      <c r="B152" s="43" t="s">
        <v>183</v>
      </c>
      <c r="C152" s="43">
        <v>309</v>
      </c>
      <c r="D152" s="43" t="s">
        <v>585</v>
      </c>
      <c r="E152" s="43" t="s">
        <v>106</v>
      </c>
      <c r="F152" s="43" t="s">
        <v>590</v>
      </c>
      <c r="G152" s="43" t="s">
        <v>383</v>
      </c>
      <c r="H152" s="43">
        <v>60</v>
      </c>
      <c r="I152" s="43">
        <v>-37.216900000000003</v>
      </c>
      <c r="J152" s="28">
        <v>-3.3080000000000002E-7</v>
      </c>
      <c r="K152" s="43" t="s">
        <v>913</v>
      </c>
      <c r="L152" s="43" t="s">
        <v>65</v>
      </c>
      <c r="N152" s="43" t="s">
        <v>183</v>
      </c>
      <c r="O152" s="43">
        <v>309</v>
      </c>
      <c r="P152" s="43" t="s">
        <v>585</v>
      </c>
      <c r="Q152" s="43" t="s">
        <v>379</v>
      </c>
      <c r="R152" s="43" t="s">
        <v>590</v>
      </c>
      <c r="S152" s="43" t="s">
        <v>383</v>
      </c>
      <c r="T152" s="43">
        <v>10</v>
      </c>
      <c r="U152" s="43">
        <v>-37.186700000000002</v>
      </c>
      <c r="V152" s="28">
        <v>-3.305E-7</v>
      </c>
      <c r="W152" s="43" t="s">
        <v>913</v>
      </c>
      <c r="X152" s="43" t="s">
        <v>65</v>
      </c>
    </row>
    <row r="153" spans="2:24" x14ac:dyDescent="0.2">
      <c r="B153" s="43" t="s">
        <v>183</v>
      </c>
      <c r="C153" s="43">
        <v>309</v>
      </c>
      <c r="D153" s="43" t="s">
        <v>585</v>
      </c>
      <c r="E153" s="43" t="s">
        <v>106</v>
      </c>
      <c r="F153" s="43" t="s">
        <v>591</v>
      </c>
      <c r="G153" s="43" t="s">
        <v>385</v>
      </c>
      <c r="H153" s="43">
        <v>60</v>
      </c>
      <c r="I153" s="43">
        <v>1.4832000000000001</v>
      </c>
      <c r="J153" s="28">
        <v>1.318E-8</v>
      </c>
      <c r="K153" s="43" t="s">
        <v>913</v>
      </c>
      <c r="L153" s="43" t="s">
        <v>65</v>
      </c>
      <c r="N153" s="43" t="s">
        <v>183</v>
      </c>
      <c r="O153" s="43">
        <v>309</v>
      </c>
      <c r="P153" s="43" t="s">
        <v>585</v>
      </c>
      <c r="Q153" s="43" t="s">
        <v>379</v>
      </c>
      <c r="R153" s="43" t="s">
        <v>591</v>
      </c>
      <c r="S153" s="43" t="s">
        <v>385</v>
      </c>
      <c r="T153" s="43">
        <v>10</v>
      </c>
      <c r="U153" s="43">
        <v>1.4505999999999999</v>
      </c>
      <c r="V153" s="28">
        <v>1.289E-8</v>
      </c>
      <c r="W153" s="43" t="s">
        <v>913</v>
      </c>
      <c r="X153" s="43" t="s">
        <v>65</v>
      </c>
    </row>
    <row r="154" spans="2:24" x14ac:dyDescent="0.2">
      <c r="B154" s="43" t="s">
        <v>183</v>
      </c>
      <c r="C154" s="43">
        <v>310</v>
      </c>
      <c r="D154" s="43" t="s">
        <v>592</v>
      </c>
      <c r="E154" s="43" t="s">
        <v>106</v>
      </c>
      <c r="F154" s="43" t="s">
        <v>593</v>
      </c>
      <c r="G154" s="43" t="s">
        <v>383</v>
      </c>
      <c r="H154" s="43">
        <v>60</v>
      </c>
      <c r="I154" s="43">
        <v>-44.369500000000002</v>
      </c>
      <c r="J154" s="28">
        <v>-4.5480000000000002E-7</v>
      </c>
      <c r="K154" s="43" t="s">
        <v>913</v>
      </c>
      <c r="L154" s="43" t="s">
        <v>65</v>
      </c>
      <c r="N154" s="43" t="s">
        <v>183</v>
      </c>
      <c r="O154" s="43">
        <v>310</v>
      </c>
      <c r="P154" s="43" t="s">
        <v>592</v>
      </c>
      <c r="Q154" s="43" t="s">
        <v>379</v>
      </c>
      <c r="R154" s="43" t="s">
        <v>593</v>
      </c>
      <c r="S154" s="43" t="s">
        <v>383</v>
      </c>
      <c r="T154" s="43">
        <v>10</v>
      </c>
      <c r="U154" s="43">
        <v>-44.341700000000003</v>
      </c>
      <c r="V154" s="28">
        <v>-4.5460000000000001E-7</v>
      </c>
      <c r="W154" s="43" t="s">
        <v>913</v>
      </c>
      <c r="X154" s="43" t="s">
        <v>65</v>
      </c>
    </row>
    <row r="155" spans="2:24" x14ac:dyDescent="0.2">
      <c r="B155" s="43" t="s">
        <v>183</v>
      </c>
      <c r="C155" s="43">
        <v>310</v>
      </c>
      <c r="D155" s="43" t="s">
        <v>592</v>
      </c>
      <c r="E155" s="43" t="s">
        <v>106</v>
      </c>
      <c r="F155" s="43" t="s">
        <v>594</v>
      </c>
      <c r="G155" s="43" t="s">
        <v>385</v>
      </c>
      <c r="H155" s="43">
        <v>60</v>
      </c>
      <c r="I155" s="43">
        <v>1.9240999999999999</v>
      </c>
      <c r="J155" s="28">
        <v>1.9720000000000001E-8</v>
      </c>
      <c r="K155" s="43" t="s">
        <v>913</v>
      </c>
      <c r="L155" s="43" t="s">
        <v>65</v>
      </c>
      <c r="N155" s="43" t="s">
        <v>183</v>
      </c>
      <c r="O155" s="43">
        <v>310</v>
      </c>
      <c r="P155" s="43" t="s">
        <v>592</v>
      </c>
      <c r="Q155" s="43" t="s">
        <v>379</v>
      </c>
      <c r="R155" s="43" t="s">
        <v>594</v>
      </c>
      <c r="S155" s="43" t="s">
        <v>385</v>
      </c>
      <c r="T155" s="43">
        <v>10</v>
      </c>
      <c r="U155" s="43">
        <v>1.8958999999999999</v>
      </c>
      <c r="V155" s="28">
        <v>1.9429999999999999E-8</v>
      </c>
      <c r="W155" s="43" t="s">
        <v>913</v>
      </c>
      <c r="X155" s="43" t="s">
        <v>65</v>
      </c>
    </row>
    <row r="156" spans="2:24" x14ac:dyDescent="0.2">
      <c r="B156" s="43" t="s">
        <v>232</v>
      </c>
      <c r="C156" s="43">
        <v>105</v>
      </c>
      <c r="D156" s="43" t="s">
        <v>595</v>
      </c>
      <c r="E156" s="43" t="s">
        <v>106</v>
      </c>
      <c r="F156" s="43" t="s">
        <v>596</v>
      </c>
      <c r="G156" s="43" t="s">
        <v>383</v>
      </c>
      <c r="H156" s="43">
        <v>60</v>
      </c>
      <c r="I156" s="43">
        <v>-44.602400000000003</v>
      </c>
      <c r="J156" s="28">
        <v>-4.5719999999999999E-7</v>
      </c>
      <c r="K156" s="43" t="s">
        <v>913</v>
      </c>
      <c r="L156" s="43" t="s">
        <v>65</v>
      </c>
      <c r="N156" s="43" t="s">
        <v>232</v>
      </c>
      <c r="O156" s="43">
        <v>105</v>
      </c>
      <c r="P156" s="43" t="s">
        <v>595</v>
      </c>
      <c r="Q156" s="43" t="s">
        <v>379</v>
      </c>
      <c r="R156" s="43" t="s">
        <v>596</v>
      </c>
      <c r="S156" s="43" t="s">
        <v>383</v>
      </c>
      <c r="T156" s="43">
        <v>10</v>
      </c>
      <c r="U156" s="43">
        <v>-44.589100000000002</v>
      </c>
      <c r="V156" s="28">
        <v>-4.5709999999999998E-7</v>
      </c>
      <c r="W156" s="43" t="s">
        <v>913</v>
      </c>
      <c r="X156" s="43" t="s">
        <v>65</v>
      </c>
    </row>
    <row r="157" spans="2:24" x14ac:dyDescent="0.2">
      <c r="B157" s="43" t="s">
        <v>232</v>
      </c>
      <c r="C157" s="43">
        <v>105</v>
      </c>
      <c r="D157" s="43" t="s">
        <v>595</v>
      </c>
      <c r="E157" s="43" t="s">
        <v>106</v>
      </c>
      <c r="F157" s="43" t="s">
        <v>597</v>
      </c>
      <c r="G157" s="43" t="s">
        <v>385</v>
      </c>
      <c r="H157" s="43">
        <v>60</v>
      </c>
      <c r="I157" s="43">
        <v>2.7719</v>
      </c>
      <c r="J157" s="28">
        <v>2.8419999999999999E-8</v>
      </c>
      <c r="K157" s="43" t="s">
        <v>913</v>
      </c>
      <c r="L157" s="43" t="s">
        <v>65</v>
      </c>
      <c r="N157" s="43" t="s">
        <v>232</v>
      </c>
      <c r="O157" s="43">
        <v>105</v>
      </c>
      <c r="P157" s="43" t="s">
        <v>595</v>
      </c>
      <c r="Q157" s="43" t="s">
        <v>379</v>
      </c>
      <c r="R157" s="43" t="s">
        <v>597</v>
      </c>
      <c r="S157" s="43" t="s">
        <v>385</v>
      </c>
      <c r="T157" s="43">
        <v>10</v>
      </c>
      <c r="U157" s="43">
        <v>2.7583000000000002</v>
      </c>
      <c r="V157" s="28">
        <v>2.8279999999999999E-8</v>
      </c>
      <c r="W157" s="43" t="s">
        <v>913</v>
      </c>
      <c r="X157" s="43" t="s">
        <v>65</v>
      </c>
    </row>
    <row r="158" spans="2:24" x14ac:dyDescent="0.2">
      <c r="B158" s="43" t="s">
        <v>232</v>
      </c>
      <c r="C158" s="43">
        <v>106</v>
      </c>
      <c r="D158" s="43" t="s">
        <v>598</v>
      </c>
      <c r="E158" s="43" t="s">
        <v>106</v>
      </c>
      <c r="F158" s="43" t="s">
        <v>599</v>
      </c>
      <c r="G158" s="43" t="s">
        <v>383</v>
      </c>
      <c r="H158" s="43">
        <v>60</v>
      </c>
      <c r="I158" s="43">
        <v>-53.021299999999997</v>
      </c>
      <c r="J158" s="28">
        <v>-4.7129999999999999E-7</v>
      </c>
      <c r="K158" s="43" t="s">
        <v>913</v>
      </c>
      <c r="L158" s="43" t="s">
        <v>65</v>
      </c>
      <c r="N158" s="43" t="s">
        <v>232</v>
      </c>
      <c r="O158" s="43">
        <v>106</v>
      </c>
      <c r="P158" s="43" t="s">
        <v>598</v>
      </c>
      <c r="Q158" s="43" t="s">
        <v>379</v>
      </c>
      <c r="R158" s="43" t="s">
        <v>599</v>
      </c>
      <c r="S158" s="43" t="s">
        <v>383</v>
      </c>
      <c r="T158" s="43">
        <v>10</v>
      </c>
      <c r="U158" s="43">
        <v>-53.004199999999997</v>
      </c>
      <c r="V158" s="28">
        <v>-4.7109999999999998E-7</v>
      </c>
      <c r="W158" s="43" t="s">
        <v>913</v>
      </c>
      <c r="X158" s="43" t="s">
        <v>65</v>
      </c>
    </row>
    <row r="159" spans="2:24" x14ac:dyDescent="0.2">
      <c r="B159" s="43" t="s">
        <v>232</v>
      </c>
      <c r="C159" s="43">
        <v>106</v>
      </c>
      <c r="D159" s="43" t="s">
        <v>598</v>
      </c>
      <c r="E159" s="43" t="s">
        <v>106</v>
      </c>
      <c r="F159" s="43" t="s">
        <v>600</v>
      </c>
      <c r="G159" s="43" t="s">
        <v>385</v>
      </c>
      <c r="H159" s="43">
        <v>60</v>
      </c>
      <c r="I159" s="43">
        <v>14.218400000000001</v>
      </c>
      <c r="J159" s="28">
        <v>1.2639999999999999E-7</v>
      </c>
      <c r="K159" s="43" t="s">
        <v>913</v>
      </c>
      <c r="L159" s="43" t="s">
        <v>65</v>
      </c>
      <c r="N159" s="43" t="s">
        <v>232</v>
      </c>
      <c r="O159" s="43">
        <v>106</v>
      </c>
      <c r="P159" s="43" t="s">
        <v>598</v>
      </c>
      <c r="Q159" s="43" t="s">
        <v>379</v>
      </c>
      <c r="R159" s="43" t="s">
        <v>600</v>
      </c>
      <c r="S159" s="43" t="s">
        <v>385</v>
      </c>
      <c r="T159" s="43">
        <v>10</v>
      </c>
      <c r="U159" s="43">
        <v>14.2026</v>
      </c>
      <c r="V159" s="28">
        <v>1.2620000000000001E-7</v>
      </c>
      <c r="W159" s="43" t="s">
        <v>913</v>
      </c>
      <c r="X159" s="43" t="s">
        <v>65</v>
      </c>
    </row>
    <row r="160" spans="2:24" x14ac:dyDescent="0.2">
      <c r="B160" s="43" t="s">
        <v>232</v>
      </c>
      <c r="C160" s="43">
        <v>107</v>
      </c>
      <c r="D160" s="43" t="s">
        <v>598</v>
      </c>
      <c r="E160" s="43" t="s">
        <v>106</v>
      </c>
      <c r="F160" s="43" t="s">
        <v>601</v>
      </c>
      <c r="G160" s="43" t="s">
        <v>383</v>
      </c>
      <c r="H160" s="43">
        <v>60</v>
      </c>
      <c r="I160" s="43">
        <v>-45.067100000000003</v>
      </c>
      <c r="J160" s="28">
        <v>-3.777E-7</v>
      </c>
      <c r="K160" s="43" t="s">
        <v>913</v>
      </c>
      <c r="L160" s="43" t="s">
        <v>65</v>
      </c>
      <c r="N160" s="43" t="s">
        <v>232</v>
      </c>
      <c r="O160" s="43">
        <v>107</v>
      </c>
      <c r="P160" s="43" t="s">
        <v>598</v>
      </c>
      <c r="Q160" s="43" t="s">
        <v>379</v>
      </c>
      <c r="R160" s="43" t="s">
        <v>601</v>
      </c>
      <c r="S160" s="43" t="s">
        <v>383</v>
      </c>
      <c r="T160" s="43">
        <v>10</v>
      </c>
      <c r="U160" s="43">
        <v>-45.0505</v>
      </c>
      <c r="V160" s="28">
        <v>-3.7759999999999999E-7</v>
      </c>
      <c r="W160" s="43" t="s">
        <v>913</v>
      </c>
      <c r="X160" s="43" t="s">
        <v>65</v>
      </c>
    </row>
    <row r="161" spans="2:24" x14ac:dyDescent="0.2">
      <c r="B161" s="43" t="s">
        <v>232</v>
      </c>
      <c r="C161" s="43">
        <v>107</v>
      </c>
      <c r="D161" s="43" t="s">
        <v>598</v>
      </c>
      <c r="E161" s="43" t="s">
        <v>106</v>
      </c>
      <c r="F161" s="43" t="s">
        <v>602</v>
      </c>
      <c r="G161" s="43" t="s">
        <v>385</v>
      </c>
      <c r="H161" s="43">
        <v>60</v>
      </c>
      <c r="I161" s="43">
        <v>15.3544</v>
      </c>
      <c r="J161" s="28">
        <v>1.2870000000000001E-7</v>
      </c>
      <c r="K161" s="43" t="s">
        <v>913</v>
      </c>
      <c r="L161" s="43" t="s">
        <v>65</v>
      </c>
      <c r="N161" s="43" t="s">
        <v>232</v>
      </c>
      <c r="O161" s="43">
        <v>107</v>
      </c>
      <c r="P161" s="43" t="s">
        <v>598</v>
      </c>
      <c r="Q161" s="43" t="s">
        <v>379</v>
      </c>
      <c r="R161" s="43" t="s">
        <v>602</v>
      </c>
      <c r="S161" s="43" t="s">
        <v>385</v>
      </c>
      <c r="T161" s="43">
        <v>10</v>
      </c>
      <c r="U161" s="43">
        <v>15.3383</v>
      </c>
      <c r="V161" s="28">
        <v>1.2849999999999999E-7</v>
      </c>
      <c r="W161" s="43" t="s">
        <v>913</v>
      </c>
      <c r="X161" s="43" t="s">
        <v>65</v>
      </c>
    </row>
    <row r="162" spans="2:24" x14ac:dyDescent="0.2">
      <c r="B162" s="43" t="s">
        <v>232</v>
      </c>
      <c r="C162" s="43">
        <v>108</v>
      </c>
      <c r="D162" s="43" t="s">
        <v>598</v>
      </c>
      <c r="E162" s="43" t="s">
        <v>106</v>
      </c>
      <c r="F162" s="43" t="s">
        <v>603</v>
      </c>
      <c r="G162" s="43" t="s">
        <v>383</v>
      </c>
      <c r="H162" s="43">
        <v>60</v>
      </c>
      <c r="I162" s="43">
        <v>-44.212699999999998</v>
      </c>
      <c r="J162" s="28">
        <v>-3.9299999999999999E-7</v>
      </c>
      <c r="K162" s="43" t="s">
        <v>913</v>
      </c>
      <c r="L162" s="43" t="s">
        <v>65</v>
      </c>
      <c r="N162" s="43" t="s">
        <v>232</v>
      </c>
      <c r="O162" s="43">
        <v>108</v>
      </c>
      <c r="P162" s="43" t="s">
        <v>598</v>
      </c>
      <c r="Q162" s="43" t="s">
        <v>379</v>
      </c>
      <c r="R162" s="43" t="s">
        <v>603</v>
      </c>
      <c r="S162" s="43" t="s">
        <v>383</v>
      </c>
      <c r="T162" s="43">
        <v>10</v>
      </c>
      <c r="U162" s="43">
        <v>-44.196199999999997</v>
      </c>
      <c r="V162" s="28">
        <v>-3.9289999999999998E-7</v>
      </c>
      <c r="W162" s="43" t="s">
        <v>913</v>
      </c>
      <c r="X162" s="43" t="s">
        <v>65</v>
      </c>
    </row>
    <row r="163" spans="2:24" x14ac:dyDescent="0.2">
      <c r="B163" s="43" t="s">
        <v>232</v>
      </c>
      <c r="C163" s="43">
        <v>108</v>
      </c>
      <c r="D163" s="43" t="s">
        <v>598</v>
      </c>
      <c r="E163" s="43" t="s">
        <v>106</v>
      </c>
      <c r="F163" s="43" t="s">
        <v>604</v>
      </c>
      <c r="G163" s="43" t="s">
        <v>385</v>
      </c>
      <c r="H163" s="43">
        <v>60</v>
      </c>
      <c r="I163" s="43">
        <v>8.6975999999999996</v>
      </c>
      <c r="J163" s="28">
        <v>7.7309999999999995E-8</v>
      </c>
      <c r="K163" s="43" t="s">
        <v>913</v>
      </c>
      <c r="L163" s="43" t="s">
        <v>65</v>
      </c>
      <c r="N163" s="43" t="s">
        <v>232</v>
      </c>
      <c r="O163" s="43">
        <v>108</v>
      </c>
      <c r="P163" s="43" t="s">
        <v>598</v>
      </c>
      <c r="Q163" s="43" t="s">
        <v>379</v>
      </c>
      <c r="R163" s="43" t="s">
        <v>604</v>
      </c>
      <c r="S163" s="43" t="s">
        <v>385</v>
      </c>
      <c r="T163" s="43">
        <v>10</v>
      </c>
      <c r="U163" s="43">
        <v>8.6807999999999996</v>
      </c>
      <c r="V163" s="28">
        <v>7.7159999999999997E-8</v>
      </c>
      <c r="W163" s="43" t="s">
        <v>913</v>
      </c>
      <c r="X163" s="43" t="s">
        <v>65</v>
      </c>
    </row>
    <row r="164" spans="2:24" x14ac:dyDescent="0.2">
      <c r="B164" s="43" t="s">
        <v>232</v>
      </c>
      <c r="C164" s="43">
        <v>109</v>
      </c>
      <c r="D164" s="43" t="s">
        <v>605</v>
      </c>
      <c r="E164" s="43" t="s">
        <v>106</v>
      </c>
      <c r="F164" s="43" t="s">
        <v>606</v>
      </c>
      <c r="G164" s="43" t="s">
        <v>383</v>
      </c>
      <c r="H164" s="43">
        <v>60</v>
      </c>
      <c r="I164" s="43">
        <v>-50.756900000000002</v>
      </c>
      <c r="J164" s="28">
        <v>-9.9999999999999995E-7</v>
      </c>
      <c r="K164" s="43" t="s">
        <v>913</v>
      </c>
      <c r="L164" s="43" t="s">
        <v>65</v>
      </c>
      <c r="N164" s="43" t="s">
        <v>232</v>
      </c>
      <c r="O164" s="43">
        <v>109</v>
      </c>
      <c r="P164" s="43" t="s">
        <v>605</v>
      </c>
      <c r="Q164" s="43" t="s">
        <v>379</v>
      </c>
      <c r="R164" s="43" t="s">
        <v>606</v>
      </c>
      <c r="S164" s="43" t="s">
        <v>383</v>
      </c>
      <c r="T164" s="43">
        <v>10</v>
      </c>
      <c r="U164" s="43">
        <v>-50.741999999999997</v>
      </c>
      <c r="V164" s="28">
        <v>-9.9999999999999995E-7</v>
      </c>
      <c r="W164" s="43" t="s">
        <v>913</v>
      </c>
      <c r="X164" s="43" t="s">
        <v>65</v>
      </c>
    </row>
    <row r="165" spans="2:24" x14ac:dyDescent="0.2">
      <c r="B165" s="43" t="s">
        <v>232</v>
      </c>
      <c r="C165" s="43">
        <v>109</v>
      </c>
      <c r="D165" s="43" t="s">
        <v>605</v>
      </c>
      <c r="E165" s="43" t="s">
        <v>106</v>
      </c>
      <c r="F165" s="43" t="s">
        <v>607</v>
      </c>
      <c r="G165" s="43" t="s">
        <v>385</v>
      </c>
      <c r="H165" s="43">
        <v>60</v>
      </c>
      <c r="I165" s="43">
        <v>8.4747000000000003</v>
      </c>
      <c r="J165" s="28">
        <v>8.6879999999999994E-8</v>
      </c>
      <c r="K165" s="43" t="s">
        <v>913</v>
      </c>
      <c r="L165" s="43" t="s">
        <v>65</v>
      </c>
      <c r="N165" s="43" t="s">
        <v>232</v>
      </c>
      <c r="O165" s="43">
        <v>109</v>
      </c>
      <c r="P165" s="43" t="s">
        <v>605</v>
      </c>
      <c r="Q165" s="43" t="s">
        <v>379</v>
      </c>
      <c r="R165" s="43" t="s">
        <v>607</v>
      </c>
      <c r="S165" s="43" t="s">
        <v>385</v>
      </c>
      <c r="T165" s="43">
        <v>10</v>
      </c>
      <c r="U165" s="43">
        <v>8.4606999999999992</v>
      </c>
      <c r="V165" s="28">
        <v>8.6729999999999996E-8</v>
      </c>
      <c r="W165" s="43" t="s">
        <v>913</v>
      </c>
      <c r="X165" s="43" t="s">
        <v>65</v>
      </c>
    </row>
    <row r="166" spans="2:24" x14ac:dyDescent="0.2">
      <c r="B166" s="43" t="s">
        <v>232</v>
      </c>
      <c r="C166" s="43">
        <v>87</v>
      </c>
      <c r="D166" s="43" t="s">
        <v>608</v>
      </c>
      <c r="E166" s="43" t="s">
        <v>106</v>
      </c>
      <c r="F166" s="43" t="s">
        <v>609</v>
      </c>
      <c r="G166" s="43" t="s">
        <v>383</v>
      </c>
      <c r="H166" s="43">
        <v>60</v>
      </c>
      <c r="I166" s="43">
        <v>-50.081800000000001</v>
      </c>
      <c r="J166" s="28">
        <v>-4.7389999999999998E-7</v>
      </c>
      <c r="K166" s="43" t="s">
        <v>913</v>
      </c>
      <c r="L166" s="43" t="s">
        <v>65</v>
      </c>
      <c r="N166" s="43" t="s">
        <v>232</v>
      </c>
      <c r="O166" s="43">
        <v>87</v>
      </c>
      <c r="P166" s="43" t="s">
        <v>608</v>
      </c>
      <c r="Q166" s="43" t="s">
        <v>379</v>
      </c>
      <c r="R166" s="43" t="s">
        <v>609</v>
      </c>
      <c r="S166" s="43" t="s">
        <v>383</v>
      </c>
      <c r="T166" s="43">
        <v>10</v>
      </c>
      <c r="U166" s="43">
        <v>-50.065800000000003</v>
      </c>
      <c r="V166" s="28">
        <v>-4.7370000000000001E-7</v>
      </c>
      <c r="W166" s="43" t="s">
        <v>913</v>
      </c>
      <c r="X166" s="43" t="s">
        <v>65</v>
      </c>
    </row>
    <row r="167" spans="2:24" x14ac:dyDescent="0.2">
      <c r="B167" s="43" t="s">
        <v>232</v>
      </c>
      <c r="C167" s="43">
        <v>87</v>
      </c>
      <c r="D167" s="43" t="s">
        <v>608</v>
      </c>
      <c r="E167" s="43" t="s">
        <v>106</v>
      </c>
      <c r="F167" s="43" t="s">
        <v>610</v>
      </c>
      <c r="G167" s="43" t="s">
        <v>385</v>
      </c>
      <c r="H167" s="43">
        <v>60</v>
      </c>
      <c r="I167" s="43">
        <v>-48.635899999999999</v>
      </c>
      <c r="J167" s="28">
        <v>-4.602E-7</v>
      </c>
      <c r="K167" s="43" t="s">
        <v>913</v>
      </c>
      <c r="L167" s="43" t="s">
        <v>65</v>
      </c>
      <c r="N167" s="43" t="s">
        <v>232</v>
      </c>
      <c r="O167" s="43">
        <v>87</v>
      </c>
      <c r="P167" s="43" t="s">
        <v>608</v>
      </c>
      <c r="Q167" s="43" t="s">
        <v>379</v>
      </c>
      <c r="R167" s="43" t="s">
        <v>610</v>
      </c>
      <c r="S167" s="43" t="s">
        <v>385</v>
      </c>
      <c r="T167" s="43">
        <v>10</v>
      </c>
      <c r="U167" s="43">
        <v>-48.649299999999997</v>
      </c>
      <c r="V167" s="28">
        <v>-4.6030000000000001E-7</v>
      </c>
      <c r="W167" s="43" t="s">
        <v>913</v>
      </c>
      <c r="X167" s="43" t="s">
        <v>65</v>
      </c>
    </row>
    <row r="168" spans="2:24" x14ac:dyDescent="0.2">
      <c r="B168" s="43" t="s">
        <v>232</v>
      </c>
      <c r="C168" s="43">
        <v>90</v>
      </c>
      <c r="D168" s="43" t="s">
        <v>611</v>
      </c>
      <c r="E168" s="43" t="s">
        <v>106</v>
      </c>
      <c r="F168" s="43" t="s">
        <v>612</v>
      </c>
      <c r="G168" s="43" t="s">
        <v>383</v>
      </c>
      <c r="H168" s="43">
        <v>60</v>
      </c>
      <c r="I168" s="43">
        <v>-57.9726</v>
      </c>
      <c r="J168" s="28">
        <v>-3.9089999999999999E-7</v>
      </c>
      <c r="K168" s="43" t="s">
        <v>913</v>
      </c>
      <c r="L168" s="43" t="s">
        <v>65</v>
      </c>
      <c r="N168" s="43" t="s">
        <v>232</v>
      </c>
      <c r="O168" s="43">
        <v>90</v>
      </c>
      <c r="P168" s="43" t="s">
        <v>611</v>
      </c>
      <c r="Q168" s="43" t="s">
        <v>379</v>
      </c>
      <c r="R168" s="43" t="s">
        <v>612</v>
      </c>
      <c r="S168" s="43" t="s">
        <v>383</v>
      </c>
      <c r="T168" s="43">
        <v>10</v>
      </c>
      <c r="U168" s="43">
        <v>-57.950499999999998</v>
      </c>
      <c r="V168" s="28">
        <v>-3.9079999999999998E-7</v>
      </c>
      <c r="W168" s="43" t="s">
        <v>913</v>
      </c>
      <c r="X168" s="43" t="s">
        <v>65</v>
      </c>
    </row>
    <row r="169" spans="2:24" x14ac:dyDescent="0.2">
      <c r="B169" s="43" t="s">
        <v>232</v>
      </c>
      <c r="C169" s="43">
        <v>90</v>
      </c>
      <c r="D169" s="43" t="s">
        <v>611</v>
      </c>
      <c r="E169" s="43" t="s">
        <v>106</v>
      </c>
      <c r="F169" s="43" t="s">
        <v>613</v>
      </c>
      <c r="G169" s="43" t="s">
        <v>385</v>
      </c>
      <c r="H169" s="43">
        <v>60</v>
      </c>
      <c r="I169" s="43">
        <v>-72.452200000000005</v>
      </c>
      <c r="J169" s="28">
        <v>-4.8859999999999997E-7</v>
      </c>
      <c r="K169" s="43" t="s">
        <v>913</v>
      </c>
      <c r="L169" s="43" t="s">
        <v>65</v>
      </c>
      <c r="N169" s="43" t="s">
        <v>232</v>
      </c>
      <c r="O169" s="43">
        <v>90</v>
      </c>
      <c r="P169" s="43" t="s">
        <v>611</v>
      </c>
      <c r="Q169" s="43" t="s">
        <v>379</v>
      </c>
      <c r="R169" s="43" t="s">
        <v>613</v>
      </c>
      <c r="S169" s="43" t="s">
        <v>385</v>
      </c>
      <c r="T169" s="43">
        <v>10</v>
      </c>
      <c r="U169" s="43">
        <v>-72.473600000000005</v>
      </c>
      <c r="V169" s="28">
        <v>-4.8869999999999998E-7</v>
      </c>
      <c r="W169" s="43" t="s">
        <v>913</v>
      </c>
      <c r="X169" s="43" t="s">
        <v>65</v>
      </c>
    </row>
    <row r="170" spans="2:24" x14ac:dyDescent="0.2">
      <c r="B170" s="43" t="s">
        <v>232</v>
      </c>
      <c r="C170" s="43">
        <v>93</v>
      </c>
      <c r="D170" s="43" t="s">
        <v>614</v>
      </c>
      <c r="E170" s="43" t="s">
        <v>106</v>
      </c>
      <c r="F170" s="43" t="s">
        <v>615</v>
      </c>
      <c r="G170" s="43" t="s">
        <v>383</v>
      </c>
      <c r="H170" s="43">
        <v>60</v>
      </c>
      <c r="I170" s="43">
        <v>-66.398600000000002</v>
      </c>
      <c r="J170" s="28">
        <v>-4.693E-7</v>
      </c>
      <c r="K170" s="43" t="s">
        <v>913</v>
      </c>
      <c r="L170" s="43" t="s">
        <v>65</v>
      </c>
      <c r="N170" s="43" t="s">
        <v>232</v>
      </c>
      <c r="O170" s="43">
        <v>93</v>
      </c>
      <c r="P170" s="43" t="s">
        <v>614</v>
      </c>
      <c r="Q170" s="43" t="s">
        <v>379</v>
      </c>
      <c r="R170" s="43" t="s">
        <v>615</v>
      </c>
      <c r="S170" s="43" t="s">
        <v>383</v>
      </c>
      <c r="T170" s="43">
        <v>10</v>
      </c>
      <c r="U170" s="43">
        <v>-66.377899999999997</v>
      </c>
      <c r="V170" s="28">
        <v>-4.6919999999999999E-7</v>
      </c>
      <c r="W170" s="43" t="s">
        <v>913</v>
      </c>
      <c r="X170" s="43" t="s">
        <v>65</v>
      </c>
    </row>
    <row r="171" spans="2:24" x14ac:dyDescent="0.2">
      <c r="B171" s="43" t="s">
        <v>232</v>
      </c>
      <c r="C171" s="43">
        <v>93</v>
      </c>
      <c r="D171" s="43" t="s">
        <v>614</v>
      </c>
      <c r="E171" s="43" t="s">
        <v>106</v>
      </c>
      <c r="F171" s="43" t="s">
        <v>616</v>
      </c>
      <c r="G171" s="43" t="s">
        <v>385</v>
      </c>
      <c r="H171" s="43">
        <v>60</v>
      </c>
      <c r="I171" s="43">
        <v>-57.042700000000004</v>
      </c>
      <c r="J171" s="28">
        <v>-4.0320000000000001E-7</v>
      </c>
      <c r="K171" s="43" t="s">
        <v>913</v>
      </c>
      <c r="L171" s="43" t="s">
        <v>65</v>
      </c>
      <c r="N171" s="43" t="s">
        <v>232</v>
      </c>
      <c r="O171" s="43">
        <v>93</v>
      </c>
      <c r="P171" s="43" t="s">
        <v>614</v>
      </c>
      <c r="Q171" s="43" t="s">
        <v>379</v>
      </c>
      <c r="R171" s="43" t="s">
        <v>616</v>
      </c>
      <c r="S171" s="43" t="s">
        <v>385</v>
      </c>
      <c r="T171" s="43">
        <v>10</v>
      </c>
      <c r="U171" s="43">
        <v>-57.0627</v>
      </c>
      <c r="V171" s="28">
        <v>-4.0330000000000002E-7</v>
      </c>
      <c r="W171" s="43" t="s">
        <v>913</v>
      </c>
      <c r="X171" s="43" t="s">
        <v>65</v>
      </c>
    </row>
    <row r="172" spans="2:24" x14ac:dyDescent="0.2">
      <c r="B172" s="43" t="s">
        <v>232</v>
      </c>
      <c r="C172" s="43">
        <v>96</v>
      </c>
      <c r="D172" s="43" t="s">
        <v>617</v>
      </c>
      <c r="E172" s="43" t="s">
        <v>106</v>
      </c>
      <c r="F172" s="43" t="s">
        <v>618</v>
      </c>
      <c r="G172" s="43" t="s">
        <v>383</v>
      </c>
      <c r="H172" s="43">
        <v>60</v>
      </c>
      <c r="I172" s="43">
        <v>-66.1999</v>
      </c>
      <c r="J172" s="28">
        <v>-4.679E-7</v>
      </c>
      <c r="K172" s="43" t="s">
        <v>913</v>
      </c>
      <c r="L172" s="43" t="s">
        <v>65</v>
      </c>
      <c r="N172" s="43" t="s">
        <v>232</v>
      </c>
      <c r="O172" s="43">
        <v>96</v>
      </c>
      <c r="P172" s="43" t="s">
        <v>617</v>
      </c>
      <c r="Q172" s="43" t="s">
        <v>379</v>
      </c>
      <c r="R172" s="43" t="s">
        <v>618</v>
      </c>
      <c r="S172" s="43" t="s">
        <v>383</v>
      </c>
      <c r="T172" s="43">
        <v>10</v>
      </c>
      <c r="U172" s="43">
        <v>-66.179299999999998</v>
      </c>
      <c r="V172" s="28">
        <v>-4.6779999999999999E-7</v>
      </c>
      <c r="W172" s="43" t="s">
        <v>913</v>
      </c>
      <c r="X172" s="43" t="s">
        <v>65</v>
      </c>
    </row>
    <row r="173" spans="2:24" x14ac:dyDescent="0.2">
      <c r="B173" s="43" t="s">
        <v>232</v>
      </c>
      <c r="C173" s="43">
        <v>96</v>
      </c>
      <c r="D173" s="43" t="s">
        <v>617</v>
      </c>
      <c r="E173" s="43" t="s">
        <v>106</v>
      </c>
      <c r="F173" s="43" t="s">
        <v>619</v>
      </c>
      <c r="G173" s="43" t="s">
        <v>385</v>
      </c>
      <c r="H173" s="43">
        <v>60</v>
      </c>
      <c r="I173" s="43">
        <v>-57.150799999999997</v>
      </c>
      <c r="J173" s="28">
        <v>-4.0400000000000002E-7</v>
      </c>
      <c r="K173" s="43" t="s">
        <v>913</v>
      </c>
      <c r="L173" s="43" t="s">
        <v>65</v>
      </c>
      <c r="N173" s="43" t="s">
        <v>232</v>
      </c>
      <c r="O173" s="43">
        <v>96</v>
      </c>
      <c r="P173" s="43" t="s">
        <v>617</v>
      </c>
      <c r="Q173" s="43" t="s">
        <v>379</v>
      </c>
      <c r="R173" s="43" t="s">
        <v>619</v>
      </c>
      <c r="S173" s="43" t="s">
        <v>385</v>
      </c>
      <c r="T173" s="43">
        <v>10</v>
      </c>
      <c r="U173" s="43">
        <v>-57.1706</v>
      </c>
      <c r="V173" s="28">
        <v>-4.0410000000000003E-7</v>
      </c>
      <c r="W173" s="43" t="s">
        <v>913</v>
      </c>
      <c r="X173" s="43" t="s">
        <v>65</v>
      </c>
    </row>
    <row r="174" spans="2:24" x14ac:dyDescent="0.2">
      <c r="B174" s="43" t="s">
        <v>232</v>
      </c>
      <c r="C174" s="43">
        <v>99</v>
      </c>
      <c r="D174" s="43" t="s">
        <v>620</v>
      </c>
      <c r="E174" s="43" t="s">
        <v>106</v>
      </c>
      <c r="F174" s="43" t="s">
        <v>621</v>
      </c>
      <c r="G174" s="43" t="s">
        <v>383</v>
      </c>
      <c r="H174" s="43">
        <v>60</v>
      </c>
      <c r="I174" s="43">
        <v>-57.443899999999999</v>
      </c>
      <c r="J174" s="28">
        <v>-3.8739999999999999E-7</v>
      </c>
      <c r="K174" s="43" t="s">
        <v>913</v>
      </c>
      <c r="L174" s="43" t="s">
        <v>65</v>
      </c>
      <c r="N174" s="43" t="s">
        <v>232</v>
      </c>
      <c r="O174" s="43">
        <v>99</v>
      </c>
      <c r="P174" s="43" t="s">
        <v>620</v>
      </c>
      <c r="Q174" s="43" t="s">
        <v>379</v>
      </c>
      <c r="R174" s="43" t="s">
        <v>621</v>
      </c>
      <c r="S174" s="43" t="s">
        <v>383</v>
      </c>
      <c r="T174" s="43">
        <v>10</v>
      </c>
      <c r="U174" s="43">
        <v>-57.423299999999998</v>
      </c>
      <c r="V174" s="28">
        <v>-3.8720000000000003E-7</v>
      </c>
      <c r="W174" s="43" t="s">
        <v>913</v>
      </c>
      <c r="X174" s="43" t="s">
        <v>65</v>
      </c>
    </row>
    <row r="175" spans="2:24" x14ac:dyDescent="0.2">
      <c r="B175" s="43" t="s">
        <v>232</v>
      </c>
      <c r="C175" s="43">
        <v>99</v>
      </c>
      <c r="D175" s="43" t="s">
        <v>620</v>
      </c>
      <c r="E175" s="43" t="s">
        <v>106</v>
      </c>
      <c r="F175" s="43" t="s">
        <v>622</v>
      </c>
      <c r="G175" s="43" t="s">
        <v>385</v>
      </c>
      <c r="H175" s="43">
        <v>60</v>
      </c>
      <c r="I175" s="43">
        <v>-72.025000000000006</v>
      </c>
      <c r="J175" s="28">
        <v>-4.8569999999999996E-7</v>
      </c>
      <c r="K175" s="43" t="s">
        <v>913</v>
      </c>
      <c r="L175" s="43" t="s">
        <v>65</v>
      </c>
      <c r="N175" s="43" t="s">
        <v>232</v>
      </c>
      <c r="O175" s="43">
        <v>99</v>
      </c>
      <c r="P175" s="43" t="s">
        <v>620</v>
      </c>
      <c r="Q175" s="43" t="s">
        <v>379</v>
      </c>
      <c r="R175" s="43" t="s">
        <v>622</v>
      </c>
      <c r="S175" s="43" t="s">
        <v>385</v>
      </c>
      <c r="T175" s="43">
        <v>10</v>
      </c>
      <c r="U175" s="43">
        <v>-72.045599999999993</v>
      </c>
      <c r="V175" s="28">
        <v>-4.8579999999999997E-7</v>
      </c>
      <c r="W175" s="43" t="s">
        <v>913</v>
      </c>
      <c r="X175" s="43" t="s">
        <v>65</v>
      </c>
    </row>
    <row r="176" spans="2:24" x14ac:dyDescent="0.2">
      <c r="B176" s="43" t="s">
        <v>232</v>
      </c>
      <c r="C176" s="43">
        <v>102</v>
      </c>
      <c r="D176" s="43" t="s">
        <v>623</v>
      </c>
      <c r="E176" s="43" t="s">
        <v>106</v>
      </c>
      <c r="F176" s="43" t="s">
        <v>624</v>
      </c>
      <c r="G176" s="43" t="s">
        <v>383</v>
      </c>
      <c r="H176" s="43">
        <v>60</v>
      </c>
      <c r="I176" s="43">
        <v>-44.430300000000003</v>
      </c>
      <c r="J176" s="28">
        <v>-4.2039999999999998E-7</v>
      </c>
      <c r="K176" s="43" t="s">
        <v>913</v>
      </c>
      <c r="L176" s="43" t="s">
        <v>65</v>
      </c>
      <c r="N176" s="43" t="s">
        <v>232</v>
      </c>
      <c r="O176" s="43">
        <v>102</v>
      </c>
      <c r="P176" s="43" t="s">
        <v>623</v>
      </c>
      <c r="Q176" s="43" t="s">
        <v>379</v>
      </c>
      <c r="R176" s="43" t="s">
        <v>624</v>
      </c>
      <c r="S176" s="43" t="s">
        <v>383</v>
      </c>
      <c r="T176" s="43">
        <v>10</v>
      </c>
      <c r="U176" s="43">
        <v>-44.417700000000004</v>
      </c>
      <c r="V176" s="28">
        <v>-4.2030000000000002E-7</v>
      </c>
      <c r="W176" s="43" t="s">
        <v>913</v>
      </c>
      <c r="X176" s="43" t="s">
        <v>65</v>
      </c>
    </row>
    <row r="177" spans="2:24" x14ac:dyDescent="0.2">
      <c r="B177" s="43" t="s">
        <v>232</v>
      </c>
      <c r="C177" s="43">
        <v>102</v>
      </c>
      <c r="D177" s="43" t="s">
        <v>623</v>
      </c>
      <c r="E177" s="43" t="s">
        <v>106</v>
      </c>
      <c r="F177" s="43" t="s">
        <v>625</v>
      </c>
      <c r="G177" s="43" t="s">
        <v>385</v>
      </c>
      <c r="H177" s="43">
        <v>60</v>
      </c>
      <c r="I177" s="43">
        <v>-42.295099999999998</v>
      </c>
      <c r="J177" s="28">
        <v>-4.002E-7</v>
      </c>
      <c r="K177" s="43" t="s">
        <v>913</v>
      </c>
      <c r="L177" s="43" t="s">
        <v>65</v>
      </c>
      <c r="N177" s="43" t="s">
        <v>232</v>
      </c>
      <c r="O177" s="43">
        <v>102</v>
      </c>
      <c r="P177" s="43" t="s">
        <v>623</v>
      </c>
      <c r="Q177" s="43" t="s">
        <v>379</v>
      </c>
      <c r="R177" s="43" t="s">
        <v>625</v>
      </c>
      <c r="S177" s="43" t="s">
        <v>385</v>
      </c>
      <c r="T177" s="43">
        <v>10</v>
      </c>
      <c r="U177" s="43">
        <v>-42.310899999999997</v>
      </c>
      <c r="V177" s="28">
        <v>-4.0040000000000001E-7</v>
      </c>
      <c r="W177" s="43" t="s">
        <v>913</v>
      </c>
      <c r="X177" s="43" t="s">
        <v>65</v>
      </c>
    </row>
    <row r="178" spans="2:24" x14ac:dyDescent="0.2">
      <c r="B178" s="43" t="s">
        <v>232</v>
      </c>
      <c r="C178" s="43">
        <v>110</v>
      </c>
      <c r="D178" s="43" t="s">
        <v>626</v>
      </c>
      <c r="E178" s="43" t="s">
        <v>106</v>
      </c>
      <c r="F178" s="43" t="s">
        <v>627</v>
      </c>
      <c r="G178" s="43" t="s">
        <v>383</v>
      </c>
      <c r="H178" s="43">
        <v>60</v>
      </c>
      <c r="I178" s="43">
        <v>-63.466799999999999</v>
      </c>
      <c r="J178" s="28">
        <v>-4.7389999999999998E-7</v>
      </c>
      <c r="K178" s="43" t="s">
        <v>913</v>
      </c>
      <c r="L178" s="43" t="s">
        <v>65</v>
      </c>
      <c r="N178" s="43" t="s">
        <v>232</v>
      </c>
      <c r="O178" s="43">
        <v>110</v>
      </c>
      <c r="P178" s="43" t="s">
        <v>626</v>
      </c>
      <c r="Q178" s="43" t="s">
        <v>379</v>
      </c>
      <c r="R178" s="43" t="s">
        <v>627</v>
      </c>
      <c r="S178" s="43" t="s">
        <v>383</v>
      </c>
      <c r="T178" s="43">
        <v>10</v>
      </c>
      <c r="U178" s="43">
        <v>-63.445300000000003</v>
      </c>
      <c r="V178" s="28">
        <v>-4.7370000000000001E-7</v>
      </c>
      <c r="W178" s="43" t="s">
        <v>913</v>
      </c>
      <c r="X178" s="43" t="s">
        <v>65</v>
      </c>
    </row>
    <row r="179" spans="2:24" x14ac:dyDescent="0.2">
      <c r="B179" s="43" t="s">
        <v>232</v>
      </c>
      <c r="C179" s="43">
        <v>110</v>
      </c>
      <c r="D179" s="43" t="s">
        <v>626</v>
      </c>
      <c r="E179" s="43" t="s">
        <v>106</v>
      </c>
      <c r="F179" s="43" t="s">
        <v>628</v>
      </c>
      <c r="G179" s="43" t="s">
        <v>385</v>
      </c>
      <c r="H179" s="43">
        <v>60</v>
      </c>
      <c r="I179" s="43">
        <v>15.6183</v>
      </c>
      <c r="J179" s="28">
        <v>1.166E-7</v>
      </c>
      <c r="K179" s="43" t="s">
        <v>913</v>
      </c>
      <c r="L179" s="43" t="s">
        <v>65</v>
      </c>
      <c r="N179" s="43" t="s">
        <v>232</v>
      </c>
      <c r="O179" s="43">
        <v>110</v>
      </c>
      <c r="P179" s="43" t="s">
        <v>626</v>
      </c>
      <c r="Q179" s="43" t="s">
        <v>379</v>
      </c>
      <c r="R179" s="43" t="s">
        <v>628</v>
      </c>
      <c r="S179" s="43" t="s">
        <v>385</v>
      </c>
      <c r="T179" s="43">
        <v>10</v>
      </c>
      <c r="U179" s="43">
        <v>15.5982</v>
      </c>
      <c r="V179" s="28">
        <v>1.165E-7</v>
      </c>
      <c r="W179" s="43" t="s">
        <v>913</v>
      </c>
      <c r="X179" s="43" t="s">
        <v>65</v>
      </c>
    </row>
    <row r="180" spans="2:24" x14ac:dyDescent="0.2">
      <c r="B180" s="43" t="s">
        <v>232</v>
      </c>
      <c r="C180" s="43">
        <v>111</v>
      </c>
      <c r="D180" s="43" t="s">
        <v>629</v>
      </c>
      <c r="E180" s="43" t="s">
        <v>106</v>
      </c>
      <c r="F180" s="43" t="s">
        <v>630</v>
      </c>
      <c r="G180" s="43" t="s">
        <v>383</v>
      </c>
      <c r="H180" s="43">
        <v>60</v>
      </c>
      <c r="I180" s="43">
        <v>-52.4236</v>
      </c>
      <c r="J180" s="28">
        <v>-3.9140000000000002E-7</v>
      </c>
      <c r="K180" s="43" t="s">
        <v>913</v>
      </c>
      <c r="L180" s="43" t="s">
        <v>65</v>
      </c>
      <c r="N180" s="43" t="s">
        <v>232</v>
      </c>
      <c r="O180" s="43">
        <v>111</v>
      </c>
      <c r="P180" s="43" t="s">
        <v>629</v>
      </c>
      <c r="Q180" s="43" t="s">
        <v>379</v>
      </c>
      <c r="R180" s="43" t="s">
        <v>630</v>
      </c>
      <c r="S180" s="43" t="s">
        <v>383</v>
      </c>
      <c r="T180" s="43">
        <v>10</v>
      </c>
      <c r="U180" s="43">
        <v>-52.405500000000004</v>
      </c>
      <c r="V180" s="28">
        <v>-3.9130000000000002E-7</v>
      </c>
      <c r="W180" s="43" t="s">
        <v>913</v>
      </c>
      <c r="X180" s="43" t="s">
        <v>65</v>
      </c>
    </row>
    <row r="181" spans="2:24" x14ac:dyDescent="0.2">
      <c r="B181" s="43" t="s">
        <v>232</v>
      </c>
      <c r="C181" s="43">
        <v>111</v>
      </c>
      <c r="D181" s="43" t="s">
        <v>629</v>
      </c>
      <c r="E181" s="43" t="s">
        <v>106</v>
      </c>
      <c r="F181" s="43" t="s">
        <v>631</v>
      </c>
      <c r="G181" s="43" t="s">
        <v>385</v>
      </c>
      <c r="H181" s="43">
        <v>60</v>
      </c>
      <c r="I181" s="43">
        <v>6.9714999999999998</v>
      </c>
      <c r="J181" s="28">
        <v>5.205E-8</v>
      </c>
      <c r="K181" s="43" t="s">
        <v>913</v>
      </c>
      <c r="L181" s="43" t="s">
        <v>65</v>
      </c>
      <c r="N181" s="43" t="s">
        <v>232</v>
      </c>
      <c r="O181" s="43">
        <v>111</v>
      </c>
      <c r="P181" s="43" t="s">
        <v>629</v>
      </c>
      <c r="Q181" s="43" t="s">
        <v>379</v>
      </c>
      <c r="R181" s="43" t="s">
        <v>631</v>
      </c>
      <c r="S181" s="43" t="s">
        <v>385</v>
      </c>
      <c r="T181" s="43">
        <v>10</v>
      </c>
      <c r="U181" s="43">
        <v>6.9530000000000003</v>
      </c>
      <c r="V181" s="28">
        <v>5.1919999999999998E-8</v>
      </c>
      <c r="W181" s="43" t="s">
        <v>913</v>
      </c>
      <c r="X181" s="43" t="s">
        <v>65</v>
      </c>
    </row>
    <row r="182" spans="2:24" x14ac:dyDescent="0.2">
      <c r="B182" s="43" t="s">
        <v>232</v>
      </c>
      <c r="C182" s="43">
        <v>112</v>
      </c>
      <c r="D182" s="43" t="s">
        <v>629</v>
      </c>
      <c r="E182" s="43" t="s">
        <v>106</v>
      </c>
      <c r="F182" s="43" t="s">
        <v>632</v>
      </c>
      <c r="G182" s="43" t="s">
        <v>383</v>
      </c>
      <c r="H182" s="43">
        <v>60</v>
      </c>
      <c r="I182" s="43">
        <v>-61.434899999999999</v>
      </c>
      <c r="J182" s="28">
        <v>-4.8490000000000001E-7</v>
      </c>
      <c r="K182" s="43" t="s">
        <v>913</v>
      </c>
      <c r="L182" s="43" t="s">
        <v>65</v>
      </c>
      <c r="N182" s="43" t="s">
        <v>232</v>
      </c>
      <c r="O182" s="43">
        <v>112</v>
      </c>
      <c r="P182" s="43" t="s">
        <v>629</v>
      </c>
      <c r="Q182" s="43" t="s">
        <v>379</v>
      </c>
      <c r="R182" s="43" t="s">
        <v>632</v>
      </c>
      <c r="S182" s="43" t="s">
        <v>383</v>
      </c>
      <c r="T182" s="43">
        <v>10</v>
      </c>
      <c r="U182" s="43">
        <v>-61.416699999999999</v>
      </c>
      <c r="V182" s="28">
        <v>-4.848E-7</v>
      </c>
      <c r="W182" s="43" t="s">
        <v>913</v>
      </c>
      <c r="X182" s="43" t="s">
        <v>65</v>
      </c>
    </row>
    <row r="183" spans="2:24" x14ac:dyDescent="0.2">
      <c r="B183" s="43" t="s">
        <v>232</v>
      </c>
      <c r="C183" s="43">
        <v>112</v>
      </c>
      <c r="D183" s="43" t="s">
        <v>629</v>
      </c>
      <c r="E183" s="43" t="s">
        <v>106</v>
      </c>
      <c r="F183" s="43" t="s">
        <v>633</v>
      </c>
      <c r="G183" s="43" t="s">
        <v>385</v>
      </c>
      <c r="H183" s="43">
        <v>60</v>
      </c>
      <c r="I183" s="43">
        <v>4.4288999999999996</v>
      </c>
      <c r="J183" s="28">
        <v>3.4959999999999997E-8</v>
      </c>
      <c r="K183" s="43" t="s">
        <v>913</v>
      </c>
      <c r="L183" s="43" t="s">
        <v>65</v>
      </c>
      <c r="N183" s="43" t="s">
        <v>232</v>
      </c>
      <c r="O183" s="43">
        <v>112</v>
      </c>
      <c r="P183" s="43" t="s">
        <v>629</v>
      </c>
      <c r="Q183" s="43" t="s">
        <v>379</v>
      </c>
      <c r="R183" s="43" t="s">
        <v>633</v>
      </c>
      <c r="S183" s="43" t="s">
        <v>385</v>
      </c>
      <c r="T183" s="43">
        <v>10</v>
      </c>
      <c r="U183" s="43">
        <v>4.4108999999999998</v>
      </c>
      <c r="V183" s="28">
        <v>3.4819999999999997E-8</v>
      </c>
      <c r="W183" s="43" t="s">
        <v>913</v>
      </c>
      <c r="X183" s="43" t="s">
        <v>65</v>
      </c>
    </row>
    <row r="184" spans="2:24" x14ac:dyDescent="0.2">
      <c r="B184" s="43" t="s">
        <v>232</v>
      </c>
      <c r="C184" s="43">
        <v>113</v>
      </c>
      <c r="D184" s="43" t="s">
        <v>629</v>
      </c>
      <c r="E184" s="43" t="s">
        <v>106</v>
      </c>
      <c r="F184" s="43" t="s">
        <v>634</v>
      </c>
      <c r="G184" s="43" t="s">
        <v>383</v>
      </c>
      <c r="H184" s="43">
        <v>60</v>
      </c>
      <c r="I184" s="43">
        <v>-62.702300000000001</v>
      </c>
      <c r="J184" s="28">
        <v>-4.6820000000000002E-7</v>
      </c>
      <c r="K184" s="43" t="s">
        <v>913</v>
      </c>
      <c r="L184" s="43" t="s">
        <v>65</v>
      </c>
      <c r="N184" s="43" t="s">
        <v>232</v>
      </c>
      <c r="O184" s="43">
        <v>113</v>
      </c>
      <c r="P184" s="43" t="s">
        <v>629</v>
      </c>
      <c r="Q184" s="43" t="s">
        <v>379</v>
      </c>
      <c r="R184" s="43" t="s">
        <v>634</v>
      </c>
      <c r="S184" s="43" t="s">
        <v>383</v>
      </c>
      <c r="T184" s="43">
        <v>10</v>
      </c>
      <c r="U184" s="43">
        <v>-62.682099999999998</v>
      </c>
      <c r="V184" s="28">
        <v>-4.6800000000000001E-7</v>
      </c>
      <c r="W184" s="43" t="s">
        <v>913</v>
      </c>
      <c r="X184" s="43" t="s">
        <v>65</v>
      </c>
    </row>
    <row r="185" spans="2:24" x14ac:dyDescent="0.2">
      <c r="B185" s="43" t="s">
        <v>232</v>
      </c>
      <c r="C185" s="43">
        <v>113</v>
      </c>
      <c r="D185" s="43" t="s">
        <v>629</v>
      </c>
      <c r="E185" s="43" t="s">
        <v>106</v>
      </c>
      <c r="F185" s="43" t="s">
        <v>635</v>
      </c>
      <c r="G185" s="43" t="s">
        <v>385</v>
      </c>
      <c r="H185" s="43">
        <v>60</v>
      </c>
      <c r="I185" s="43">
        <v>15.0837</v>
      </c>
      <c r="J185" s="28">
        <v>1.126E-7</v>
      </c>
      <c r="K185" s="43" t="s">
        <v>913</v>
      </c>
      <c r="L185" s="43" t="s">
        <v>65</v>
      </c>
      <c r="N185" s="43" t="s">
        <v>232</v>
      </c>
      <c r="O185" s="43">
        <v>113</v>
      </c>
      <c r="P185" s="43" t="s">
        <v>629</v>
      </c>
      <c r="Q185" s="43" t="s">
        <v>379</v>
      </c>
      <c r="R185" s="43" t="s">
        <v>635</v>
      </c>
      <c r="S185" s="43" t="s">
        <v>385</v>
      </c>
      <c r="T185" s="43">
        <v>10</v>
      </c>
      <c r="U185" s="43">
        <v>15.064</v>
      </c>
      <c r="V185" s="28">
        <v>1.1249999999999999E-7</v>
      </c>
      <c r="W185" s="43" t="s">
        <v>913</v>
      </c>
      <c r="X185" s="43" t="s">
        <v>65</v>
      </c>
    </row>
    <row r="186" spans="2:24" x14ac:dyDescent="0.2">
      <c r="B186" s="43" t="s">
        <v>232</v>
      </c>
      <c r="C186" s="43">
        <v>114</v>
      </c>
      <c r="D186" s="43" t="s">
        <v>636</v>
      </c>
      <c r="E186" s="43" t="s">
        <v>106</v>
      </c>
      <c r="F186" s="43" t="s">
        <v>637</v>
      </c>
      <c r="G186" s="43" t="s">
        <v>383</v>
      </c>
      <c r="H186" s="43">
        <v>60</v>
      </c>
      <c r="I186" s="43">
        <v>-53.099299999999999</v>
      </c>
      <c r="J186" s="28">
        <v>-3.9649999999999998E-7</v>
      </c>
      <c r="K186" s="43" t="s">
        <v>913</v>
      </c>
      <c r="L186" s="43" t="s">
        <v>65</v>
      </c>
      <c r="N186" s="43" t="s">
        <v>232</v>
      </c>
      <c r="O186" s="43">
        <v>114</v>
      </c>
      <c r="P186" s="43" t="s">
        <v>636</v>
      </c>
      <c r="Q186" s="43" t="s">
        <v>379</v>
      </c>
      <c r="R186" s="43" t="s">
        <v>637</v>
      </c>
      <c r="S186" s="43" t="s">
        <v>383</v>
      </c>
      <c r="T186" s="43">
        <v>10</v>
      </c>
      <c r="U186" s="43">
        <v>-53.0807</v>
      </c>
      <c r="V186" s="28">
        <v>-3.9630000000000002E-7</v>
      </c>
      <c r="W186" s="43" t="s">
        <v>913</v>
      </c>
      <c r="X186" s="43" t="s">
        <v>65</v>
      </c>
    </row>
    <row r="187" spans="2:24" x14ac:dyDescent="0.2">
      <c r="B187" s="43" t="s">
        <v>232</v>
      </c>
      <c r="C187" s="43">
        <v>114</v>
      </c>
      <c r="D187" s="43" t="s">
        <v>636</v>
      </c>
      <c r="E187" s="43" t="s">
        <v>106</v>
      </c>
      <c r="F187" s="43" t="s">
        <v>638</v>
      </c>
      <c r="G187" s="43" t="s">
        <v>385</v>
      </c>
      <c r="H187" s="43">
        <v>60</v>
      </c>
      <c r="I187" s="43">
        <v>10.4221</v>
      </c>
      <c r="J187" s="28">
        <v>7.7820000000000005E-8</v>
      </c>
      <c r="K187" s="43" t="s">
        <v>913</v>
      </c>
      <c r="L187" s="43" t="s">
        <v>65</v>
      </c>
      <c r="N187" s="43" t="s">
        <v>232</v>
      </c>
      <c r="O187" s="43">
        <v>114</v>
      </c>
      <c r="P187" s="43" t="s">
        <v>636</v>
      </c>
      <c r="Q187" s="43" t="s">
        <v>379</v>
      </c>
      <c r="R187" s="43" t="s">
        <v>638</v>
      </c>
      <c r="S187" s="43" t="s">
        <v>385</v>
      </c>
      <c r="T187" s="43">
        <v>10</v>
      </c>
      <c r="U187" s="43">
        <v>10.402200000000001</v>
      </c>
      <c r="V187" s="28">
        <v>7.7670000000000007E-8</v>
      </c>
      <c r="W187" s="43" t="s">
        <v>913</v>
      </c>
      <c r="X187" s="43" t="s">
        <v>65</v>
      </c>
    </row>
    <row r="188" spans="2:24" x14ac:dyDescent="0.2">
      <c r="B188" s="43" t="s">
        <v>232</v>
      </c>
      <c r="C188" s="43">
        <v>88</v>
      </c>
      <c r="D188" s="43" t="s">
        <v>639</v>
      </c>
      <c r="E188" s="43" t="s">
        <v>106</v>
      </c>
      <c r="F188" s="43" t="s">
        <v>640</v>
      </c>
      <c r="G188" s="43" t="s">
        <v>383</v>
      </c>
      <c r="H188" s="43">
        <v>60</v>
      </c>
      <c r="I188" s="43">
        <v>-46.209200000000003</v>
      </c>
      <c r="J188" s="28">
        <v>-3.9579999999999998E-7</v>
      </c>
      <c r="K188" s="43" t="s">
        <v>913</v>
      </c>
      <c r="L188" s="43" t="s">
        <v>65</v>
      </c>
      <c r="N188" s="43" t="s">
        <v>232</v>
      </c>
      <c r="O188" s="43">
        <v>88</v>
      </c>
      <c r="P188" s="43" t="s">
        <v>639</v>
      </c>
      <c r="Q188" s="43" t="s">
        <v>379</v>
      </c>
      <c r="R188" s="43" t="s">
        <v>640</v>
      </c>
      <c r="S188" s="43" t="s">
        <v>383</v>
      </c>
      <c r="T188" s="43">
        <v>10</v>
      </c>
      <c r="U188" s="43">
        <v>-46.190300000000001</v>
      </c>
      <c r="V188" s="28">
        <v>-3.9569999999999998E-7</v>
      </c>
      <c r="W188" s="43" t="s">
        <v>913</v>
      </c>
      <c r="X188" s="43" t="s">
        <v>65</v>
      </c>
    </row>
    <row r="189" spans="2:24" x14ac:dyDescent="0.2">
      <c r="B189" s="43" t="s">
        <v>232</v>
      </c>
      <c r="C189" s="43">
        <v>88</v>
      </c>
      <c r="D189" s="43" t="s">
        <v>639</v>
      </c>
      <c r="E189" s="43" t="s">
        <v>106</v>
      </c>
      <c r="F189" s="43" t="s">
        <v>641</v>
      </c>
      <c r="G189" s="43" t="s">
        <v>385</v>
      </c>
      <c r="H189" s="43">
        <v>60</v>
      </c>
      <c r="I189" s="43">
        <v>-46.121600000000001</v>
      </c>
      <c r="J189" s="28">
        <v>-3.9509999999999998E-7</v>
      </c>
      <c r="K189" s="43" t="s">
        <v>913</v>
      </c>
      <c r="L189" s="43" t="s">
        <v>65</v>
      </c>
      <c r="N189" s="43" t="s">
        <v>232</v>
      </c>
      <c r="O189" s="43">
        <v>88</v>
      </c>
      <c r="P189" s="43" t="s">
        <v>639</v>
      </c>
      <c r="Q189" s="43" t="s">
        <v>379</v>
      </c>
      <c r="R189" s="43" t="s">
        <v>641</v>
      </c>
      <c r="S189" s="43" t="s">
        <v>385</v>
      </c>
      <c r="T189" s="43">
        <v>10</v>
      </c>
      <c r="U189" s="43">
        <v>-46.136899999999997</v>
      </c>
      <c r="V189" s="28">
        <v>-3.9519999999999999E-7</v>
      </c>
      <c r="W189" s="43" t="s">
        <v>913</v>
      </c>
      <c r="X189" s="43" t="s">
        <v>65</v>
      </c>
    </row>
    <row r="190" spans="2:24" x14ac:dyDescent="0.2">
      <c r="B190" s="43" t="s">
        <v>232</v>
      </c>
      <c r="C190" s="43">
        <v>91</v>
      </c>
      <c r="D190" s="43" t="s">
        <v>642</v>
      </c>
      <c r="E190" s="43" t="s">
        <v>106</v>
      </c>
      <c r="F190" s="43" t="s">
        <v>643</v>
      </c>
      <c r="G190" s="43" t="s">
        <v>383</v>
      </c>
      <c r="H190" s="43">
        <v>60</v>
      </c>
      <c r="I190" s="43">
        <v>-73.032300000000006</v>
      </c>
      <c r="J190" s="28">
        <v>-4.8800000000000003E-7</v>
      </c>
      <c r="K190" s="43" t="s">
        <v>913</v>
      </c>
      <c r="L190" s="43" t="s">
        <v>65</v>
      </c>
      <c r="N190" s="43" t="s">
        <v>232</v>
      </c>
      <c r="O190" s="43">
        <v>91</v>
      </c>
      <c r="P190" s="43" t="s">
        <v>642</v>
      </c>
      <c r="Q190" s="43" t="s">
        <v>379</v>
      </c>
      <c r="R190" s="43" t="s">
        <v>643</v>
      </c>
      <c r="S190" s="43" t="s">
        <v>383</v>
      </c>
      <c r="T190" s="43">
        <v>10</v>
      </c>
      <c r="U190" s="43">
        <v>-73.011600000000001</v>
      </c>
      <c r="V190" s="28">
        <v>-4.8780000000000001E-7</v>
      </c>
      <c r="W190" s="43" t="s">
        <v>913</v>
      </c>
      <c r="X190" s="43" t="s">
        <v>65</v>
      </c>
    </row>
    <row r="191" spans="2:24" x14ac:dyDescent="0.2">
      <c r="B191" s="43" t="s">
        <v>232</v>
      </c>
      <c r="C191" s="43">
        <v>91</v>
      </c>
      <c r="D191" s="43" t="s">
        <v>642</v>
      </c>
      <c r="E191" s="43" t="s">
        <v>106</v>
      </c>
      <c r="F191" s="43" t="s">
        <v>644</v>
      </c>
      <c r="G191" s="43" t="s">
        <v>385</v>
      </c>
      <c r="H191" s="43">
        <v>60</v>
      </c>
      <c r="I191" s="43">
        <v>-72.975800000000007</v>
      </c>
      <c r="J191" s="28">
        <v>-4.876E-7</v>
      </c>
      <c r="K191" s="43" t="s">
        <v>913</v>
      </c>
      <c r="L191" s="43" t="s">
        <v>65</v>
      </c>
      <c r="N191" s="43" t="s">
        <v>232</v>
      </c>
      <c r="O191" s="43">
        <v>91</v>
      </c>
      <c r="P191" s="43" t="s">
        <v>642</v>
      </c>
      <c r="Q191" s="43" t="s">
        <v>379</v>
      </c>
      <c r="R191" s="43" t="s">
        <v>644</v>
      </c>
      <c r="S191" s="43" t="s">
        <v>385</v>
      </c>
      <c r="T191" s="43">
        <v>10</v>
      </c>
      <c r="U191" s="43">
        <v>-72.996700000000004</v>
      </c>
      <c r="V191" s="28">
        <v>-4.8770000000000001E-7</v>
      </c>
      <c r="W191" s="43" t="s">
        <v>913</v>
      </c>
      <c r="X191" s="43" t="s">
        <v>65</v>
      </c>
    </row>
    <row r="192" spans="2:24" x14ac:dyDescent="0.2">
      <c r="B192" s="43" t="s">
        <v>232</v>
      </c>
      <c r="C192" s="43">
        <v>94</v>
      </c>
      <c r="D192" s="43" t="s">
        <v>645</v>
      </c>
      <c r="E192" s="43" t="s">
        <v>106</v>
      </c>
      <c r="F192" s="43" t="s">
        <v>646</v>
      </c>
      <c r="G192" s="43" t="s">
        <v>383</v>
      </c>
      <c r="H192" s="43">
        <v>60</v>
      </c>
      <c r="I192" s="43">
        <v>-56.862099999999998</v>
      </c>
      <c r="J192" s="28">
        <v>-3.8729999999999998E-7</v>
      </c>
      <c r="K192" s="43" t="s">
        <v>913</v>
      </c>
      <c r="L192" s="43" t="s">
        <v>65</v>
      </c>
      <c r="N192" s="43" t="s">
        <v>232</v>
      </c>
      <c r="O192" s="43">
        <v>94</v>
      </c>
      <c r="P192" s="43" t="s">
        <v>645</v>
      </c>
      <c r="Q192" s="43" t="s">
        <v>379</v>
      </c>
      <c r="R192" s="43" t="s">
        <v>646</v>
      </c>
      <c r="S192" s="43" t="s">
        <v>383</v>
      </c>
      <c r="T192" s="43">
        <v>10</v>
      </c>
      <c r="U192" s="43">
        <v>-56.841799999999999</v>
      </c>
      <c r="V192" s="28">
        <v>-3.8720000000000003E-7</v>
      </c>
      <c r="W192" s="43" t="s">
        <v>913</v>
      </c>
      <c r="X192" s="43" t="s">
        <v>65</v>
      </c>
    </row>
    <row r="193" spans="2:24" x14ac:dyDescent="0.2">
      <c r="B193" s="43" t="s">
        <v>232</v>
      </c>
      <c r="C193" s="43">
        <v>94</v>
      </c>
      <c r="D193" s="43" t="s">
        <v>645</v>
      </c>
      <c r="E193" s="43" t="s">
        <v>106</v>
      </c>
      <c r="F193" s="43" t="s">
        <v>647</v>
      </c>
      <c r="G193" s="43" t="s">
        <v>385</v>
      </c>
      <c r="H193" s="43">
        <v>60</v>
      </c>
      <c r="I193" s="43">
        <v>-56.856200000000001</v>
      </c>
      <c r="J193" s="28">
        <v>-3.8729999999999998E-7</v>
      </c>
      <c r="K193" s="43" t="s">
        <v>913</v>
      </c>
      <c r="L193" s="43" t="s">
        <v>65</v>
      </c>
      <c r="N193" s="43" t="s">
        <v>232</v>
      </c>
      <c r="O193" s="43">
        <v>94</v>
      </c>
      <c r="P193" s="43" t="s">
        <v>645</v>
      </c>
      <c r="Q193" s="43" t="s">
        <v>379</v>
      </c>
      <c r="R193" s="43" t="s">
        <v>647</v>
      </c>
      <c r="S193" s="43" t="s">
        <v>385</v>
      </c>
      <c r="T193" s="43">
        <v>10</v>
      </c>
      <c r="U193" s="43">
        <v>-56.8767</v>
      </c>
      <c r="V193" s="28">
        <v>-3.8739999999999999E-7</v>
      </c>
      <c r="W193" s="43" t="s">
        <v>913</v>
      </c>
      <c r="X193" s="43" t="s">
        <v>65</v>
      </c>
    </row>
    <row r="194" spans="2:24" x14ac:dyDescent="0.2">
      <c r="B194" s="43" t="s">
        <v>232</v>
      </c>
      <c r="C194" s="43">
        <v>97</v>
      </c>
      <c r="D194" s="43" t="s">
        <v>648</v>
      </c>
      <c r="E194" s="43" t="s">
        <v>106</v>
      </c>
      <c r="F194" s="43" t="s">
        <v>649</v>
      </c>
      <c r="G194" s="43" t="s">
        <v>383</v>
      </c>
      <c r="H194" s="43">
        <v>60</v>
      </c>
      <c r="I194" s="43">
        <v>-57.314300000000003</v>
      </c>
      <c r="J194" s="28">
        <v>-3.904E-7</v>
      </c>
      <c r="K194" s="43" t="s">
        <v>913</v>
      </c>
      <c r="L194" s="43" t="s">
        <v>65</v>
      </c>
      <c r="N194" s="43" t="s">
        <v>232</v>
      </c>
      <c r="O194" s="43">
        <v>97</v>
      </c>
      <c r="P194" s="43" t="s">
        <v>648</v>
      </c>
      <c r="Q194" s="43" t="s">
        <v>379</v>
      </c>
      <c r="R194" s="43" t="s">
        <v>649</v>
      </c>
      <c r="S194" s="43" t="s">
        <v>383</v>
      </c>
      <c r="T194" s="43">
        <v>10</v>
      </c>
      <c r="U194" s="43">
        <v>-57.293999999999997</v>
      </c>
      <c r="V194" s="28">
        <v>-3.9019999999999999E-7</v>
      </c>
      <c r="W194" s="43" t="s">
        <v>913</v>
      </c>
      <c r="X194" s="43" t="s">
        <v>65</v>
      </c>
    </row>
    <row r="195" spans="2:24" x14ac:dyDescent="0.2">
      <c r="B195" s="43" t="s">
        <v>232</v>
      </c>
      <c r="C195" s="43">
        <v>97</v>
      </c>
      <c r="D195" s="43" t="s">
        <v>648</v>
      </c>
      <c r="E195" s="43" t="s">
        <v>106</v>
      </c>
      <c r="F195" s="43" t="s">
        <v>650</v>
      </c>
      <c r="G195" s="43" t="s">
        <v>385</v>
      </c>
      <c r="H195" s="43">
        <v>60</v>
      </c>
      <c r="I195" s="43">
        <v>-57.363300000000002</v>
      </c>
      <c r="J195" s="28">
        <v>-3.9070000000000002E-7</v>
      </c>
      <c r="K195" s="43" t="s">
        <v>913</v>
      </c>
      <c r="L195" s="43" t="s">
        <v>65</v>
      </c>
      <c r="N195" s="43" t="s">
        <v>232</v>
      </c>
      <c r="O195" s="43">
        <v>97</v>
      </c>
      <c r="P195" s="43" t="s">
        <v>648</v>
      </c>
      <c r="Q195" s="43" t="s">
        <v>379</v>
      </c>
      <c r="R195" s="43" t="s">
        <v>650</v>
      </c>
      <c r="S195" s="43" t="s">
        <v>385</v>
      </c>
      <c r="T195" s="43">
        <v>10</v>
      </c>
      <c r="U195" s="43">
        <v>-57.383099999999999</v>
      </c>
      <c r="V195" s="28">
        <v>-3.9089999999999999E-7</v>
      </c>
      <c r="W195" s="43" t="s">
        <v>913</v>
      </c>
      <c r="X195" s="43" t="s">
        <v>65</v>
      </c>
    </row>
    <row r="196" spans="2:24" x14ac:dyDescent="0.2">
      <c r="B196" s="43" t="s">
        <v>232</v>
      </c>
      <c r="C196" s="43">
        <v>100</v>
      </c>
      <c r="D196" s="43" t="s">
        <v>651</v>
      </c>
      <c r="E196" s="43" t="s">
        <v>106</v>
      </c>
      <c r="F196" s="43" t="s">
        <v>652</v>
      </c>
      <c r="G196" s="43" t="s">
        <v>383</v>
      </c>
      <c r="H196" s="43">
        <v>60</v>
      </c>
      <c r="I196" s="43">
        <v>-72.638999999999996</v>
      </c>
      <c r="J196" s="28">
        <v>-4.8530000000000004E-7</v>
      </c>
      <c r="K196" s="43" t="s">
        <v>913</v>
      </c>
      <c r="L196" s="43" t="s">
        <v>65</v>
      </c>
      <c r="N196" s="43" t="s">
        <v>232</v>
      </c>
      <c r="O196" s="43">
        <v>100</v>
      </c>
      <c r="P196" s="43" t="s">
        <v>651</v>
      </c>
      <c r="Q196" s="43" t="s">
        <v>379</v>
      </c>
      <c r="R196" s="43" t="s">
        <v>652</v>
      </c>
      <c r="S196" s="43" t="s">
        <v>383</v>
      </c>
      <c r="T196" s="43">
        <v>10</v>
      </c>
      <c r="U196" s="43">
        <v>-72.619600000000005</v>
      </c>
      <c r="V196" s="28">
        <v>-4.8520000000000003E-7</v>
      </c>
      <c r="W196" s="43" t="s">
        <v>913</v>
      </c>
      <c r="X196" s="43" t="s">
        <v>65</v>
      </c>
    </row>
    <row r="197" spans="2:24" x14ac:dyDescent="0.2">
      <c r="B197" s="43" t="s">
        <v>232</v>
      </c>
      <c r="C197" s="43">
        <v>100</v>
      </c>
      <c r="D197" s="43" t="s">
        <v>651</v>
      </c>
      <c r="E197" s="43" t="s">
        <v>106</v>
      </c>
      <c r="F197" s="43" t="s">
        <v>653</v>
      </c>
      <c r="G197" s="43" t="s">
        <v>385</v>
      </c>
      <c r="H197" s="43">
        <v>60</v>
      </c>
      <c r="I197" s="43">
        <v>-72.826499999999996</v>
      </c>
      <c r="J197" s="28">
        <v>-4.8660000000000003E-7</v>
      </c>
      <c r="K197" s="43" t="s">
        <v>913</v>
      </c>
      <c r="L197" s="43" t="s">
        <v>65</v>
      </c>
      <c r="N197" s="43" t="s">
        <v>232</v>
      </c>
      <c r="O197" s="43">
        <v>100</v>
      </c>
      <c r="P197" s="43" t="s">
        <v>651</v>
      </c>
      <c r="Q197" s="43" t="s">
        <v>379</v>
      </c>
      <c r="R197" s="43" t="s">
        <v>653</v>
      </c>
      <c r="S197" s="43" t="s">
        <v>385</v>
      </c>
      <c r="T197" s="43">
        <v>10</v>
      </c>
      <c r="U197" s="43">
        <v>-72.846500000000006</v>
      </c>
      <c r="V197" s="28">
        <v>-4.8670000000000004E-7</v>
      </c>
      <c r="W197" s="43" t="s">
        <v>913</v>
      </c>
      <c r="X197" s="43" t="s">
        <v>65</v>
      </c>
    </row>
    <row r="198" spans="2:24" x14ac:dyDescent="0.2">
      <c r="B198" s="43" t="s">
        <v>232</v>
      </c>
      <c r="C198" s="43">
        <v>103</v>
      </c>
      <c r="D198" s="43" t="s">
        <v>654</v>
      </c>
      <c r="E198" s="43" t="s">
        <v>106</v>
      </c>
      <c r="F198" s="43" t="s">
        <v>655</v>
      </c>
      <c r="G198" s="43" t="s">
        <v>383</v>
      </c>
      <c r="H198" s="43">
        <v>60</v>
      </c>
      <c r="I198" s="43">
        <v>-40.014200000000002</v>
      </c>
      <c r="J198" s="28">
        <v>-3.4270000000000002E-7</v>
      </c>
      <c r="K198" s="43" t="s">
        <v>913</v>
      </c>
      <c r="L198" s="43" t="s">
        <v>65</v>
      </c>
      <c r="N198" s="43" t="s">
        <v>232</v>
      </c>
      <c r="O198" s="43">
        <v>103</v>
      </c>
      <c r="P198" s="43" t="s">
        <v>654</v>
      </c>
      <c r="Q198" s="43" t="s">
        <v>379</v>
      </c>
      <c r="R198" s="43" t="s">
        <v>655</v>
      </c>
      <c r="S198" s="43" t="s">
        <v>383</v>
      </c>
      <c r="T198" s="43">
        <v>10</v>
      </c>
      <c r="U198" s="43">
        <v>-40.000300000000003</v>
      </c>
      <c r="V198" s="28">
        <v>-3.4260000000000001E-7</v>
      </c>
      <c r="W198" s="43" t="s">
        <v>913</v>
      </c>
      <c r="X198" s="43" t="s">
        <v>65</v>
      </c>
    </row>
    <row r="199" spans="2:24" x14ac:dyDescent="0.2">
      <c r="B199" s="43" t="s">
        <v>232</v>
      </c>
      <c r="C199" s="43">
        <v>103</v>
      </c>
      <c r="D199" s="43" t="s">
        <v>654</v>
      </c>
      <c r="E199" s="43" t="s">
        <v>106</v>
      </c>
      <c r="F199" s="43" t="s">
        <v>656</v>
      </c>
      <c r="G199" s="43" t="s">
        <v>385</v>
      </c>
      <c r="H199" s="43">
        <v>60</v>
      </c>
      <c r="I199" s="43">
        <v>-40.160499999999999</v>
      </c>
      <c r="J199" s="28">
        <v>-3.4400000000000001E-7</v>
      </c>
      <c r="K199" s="43" t="s">
        <v>913</v>
      </c>
      <c r="L199" s="43" t="s">
        <v>65</v>
      </c>
      <c r="N199" s="43" t="s">
        <v>232</v>
      </c>
      <c r="O199" s="43">
        <v>103</v>
      </c>
      <c r="P199" s="43" t="s">
        <v>654</v>
      </c>
      <c r="Q199" s="43" t="s">
        <v>379</v>
      </c>
      <c r="R199" s="43" t="s">
        <v>656</v>
      </c>
      <c r="S199" s="43" t="s">
        <v>385</v>
      </c>
      <c r="T199" s="43">
        <v>10</v>
      </c>
      <c r="U199" s="43">
        <v>-40.177700000000002</v>
      </c>
      <c r="V199" s="28">
        <v>-3.4410000000000002E-7</v>
      </c>
      <c r="W199" s="43" t="s">
        <v>913</v>
      </c>
      <c r="X199" s="43" t="s">
        <v>65</v>
      </c>
    </row>
    <row r="200" spans="2:24" x14ac:dyDescent="0.2">
      <c r="B200" s="43" t="s">
        <v>232</v>
      </c>
      <c r="C200" s="43">
        <v>115</v>
      </c>
      <c r="D200" s="43" t="s">
        <v>657</v>
      </c>
      <c r="E200" s="43" t="s">
        <v>106</v>
      </c>
      <c r="F200" s="43" t="s">
        <v>658</v>
      </c>
      <c r="G200" s="43" t="s">
        <v>383</v>
      </c>
      <c r="H200" s="43">
        <v>60</v>
      </c>
      <c r="I200" s="43">
        <v>-63.499699999999997</v>
      </c>
      <c r="J200" s="28">
        <v>-4.7409999999999999E-7</v>
      </c>
      <c r="K200" s="43" t="s">
        <v>913</v>
      </c>
      <c r="L200" s="43" t="s">
        <v>65</v>
      </c>
      <c r="N200" s="43" t="s">
        <v>232</v>
      </c>
      <c r="O200" s="43">
        <v>115</v>
      </c>
      <c r="P200" s="43" t="s">
        <v>657</v>
      </c>
      <c r="Q200" s="43" t="s">
        <v>379</v>
      </c>
      <c r="R200" s="43" t="s">
        <v>658</v>
      </c>
      <c r="S200" s="43" t="s">
        <v>383</v>
      </c>
      <c r="T200" s="43">
        <v>10</v>
      </c>
      <c r="U200" s="43">
        <v>-63.477800000000002</v>
      </c>
      <c r="V200" s="28">
        <v>-4.7399999999999998E-7</v>
      </c>
      <c r="W200" s="43" t="s">
        <v>913</v>
      </c>
      <c r="X200" s="43" t="s">
        <v>65</v>
      </c>
    </row>
    <row r="201" spans="2:24" x14ac:dyDescent="0.2">
      <c r="B201" s="43" t="s">
        <v>232</v>
      </c>
      <c r="C201" s="43">
        <v>115</v>
      </c>
      <c r="D201" s="43" t="s">
        <v>657</v>
      </c>
      <c r="E201" s="43" t="s">
        <v>106</v>
      </c>
      <c r="F201" s="43" t="s">
        <v>659</v>
      </c>
      <c r="G201" s="43" t="s">
        <v>385</v>
      </c>
      <c r="H201" s="43">
        <v>60</v>
      </c>
      <c r="I201" s="43">
        <v>15.6495</v>
      </c>
      <c r="J201" s="28">
        <v>1.168E-7</v>
      </c>
      <c r="K201" s="43" t="s">
        <v>913</v>
      </c>
      <c r="L201" s="43" t="s">
        <v>65</v>
      </c>
      <c r="N201" s="43" t="s">
        <v>232</v>
      </c>
      <c r="O201" s="43">
        <v>115</v>
      </c>
      <c r="P201" s="43" t="s">
        <v>657</v>
      </c>
      <c r="Q201" s="43" t="s">
        <v>379</v>
      </c>
      <c r="R201" s="43" t="s">
        <v>659</v>
      </c>
      <c r="S201" s="43" t="s">
        <v>385</v>
      </c>
      <c r="T201" s="43">
        <v>10</v>
      </c>
      <c r="U201" s="43">
        <v>15.6289</v>
      </c>
      <c r="V201" s="28">
        <v>1.1670000000000001E-7</v>
      </c>
      <c r="W201" s="43" t="s">
        <v>913</v>
      </c>
      <c r="X201" s="43" t="s">
        <v>65</v>
      </c>
    </row>
    <row r="202" spans="2:24" x14ac:dyDescent="0.2">
      <c r="B202" s="43" t="s">
        <v>232</v>
      </c>
      <c r="C202" s="43">
        <v>116</v>
      </c>
      <c r="D202" s="43" t="s">
        <v>660</v>
      </c>
      <c r="E202" s="43" t="s">
        <v>106</v>
      </c>
      <c r="F202" s="43" t="s">
        <v>661</v>
      </c>
      <c r="G202" s="43" t="s">
        <v>383</v>
      </c>
      <c r="H202" s="43">
        <v>60</v>
      </c>
      <c r="I202" s="43">
        <v>-52.454900000000002</v>
      </c>
      <c r="J202" s="28">
        <v>-3.9169999999999999E-7</v>
      </c>
      <c r="K202" s="43" t="s">
        <v>913</v>
      </c>
      <c r="L202" s="43" t="s">
        <v>65</v>
      </c>
      <c r="N202" s="43" t="s">
        <v>232</v>
      </c>
      <c r="O202" s="43">
        <v>116</v>
      </c>
      <c r="P202" s="43" t="s">
        <v>660</v>
      </c>
      <c r="Q202" s="43" t="s">
        <v>379</v>
      </c>
      <c r="R202" s="43" t="s">
        <v>661</v>
      </c>
      <c r="S202" s="43" t="s">
        <v>383</v>
      </c>
      <c r="T202" s="43">
        <v>10</v>
      </c>
      <c r="U202" s="43">
        <v>-52.436300000000003</v>
      </c>
      <c r="V202" s="28">
        <v>-3.9149999999999998E-7</v>
      </c>
      <c r="W202" s="43" t="s">
        <v>913</v>
      </c>
      <c r="X202" s="43" t="s">
        <v>65</v>
      </c>
    </row>
    <row r="203" spans="2:24" x14ac:dyDescent="0.2">
      <c r="B203" s="43" t="s">
        <v>232</v>
      </c>
      <c r="C203" s="43">
        <v>116</v>
      </c>
      <c r="D203" s="43" t="s">
        <v>660</v>
      </c>
      <c r="E203" s="43" t="s">
        <v>106</v>
      </c>
      <c r="F203" s="43" t="s">
        <v>662</v>
      </c>
      <c r="G203" s="43" t="s">
        <v>385</v>
      </c>
      <c r="H203" s="43">
        <v>60</v>
      </c>
      <c r="I203" s="43">
        <v>7.0033000000000003</v>
      </c>
      <c r="J203" s="28">
        <v>5.229E-8</v>
      </c>
      <c r="K203" s="43" t="s">
        <v>913</v>
      </c>
      <c r="L203" s="43" t="s">
        <v>65</v>
      </c>
      <c r="N203" s="43" t="s">
        <v>232</v>
      </c>
      <c r="O203" s="43">
        <v>116</v>
      </c>
      <c r="P203" s="43" t="s">
        <v>660</v>
      </c>
      <c r="Q203" s="43" t="s">
        <v>379</v>
      </c>
      <c r="R203" s="43" t="s">
        <v>662</v>
      </c>
      <c r="S203" s="43" t="s">
        <v>385</v>
      </c>
      <c r="T203" s="43">
        <v>10</v>
      </c>
      <c r="U203" s="43">
        <v>6.9843000000000002</v>
      </c>
      <c r="V203" s="28">
        <v>5.215E-8</v>
      </c>
      <c r="W203" s="43" t="s">
        <v>913</v>
      </c>
      <c r="X203" s="43" t="s">
        <v>65</v>
      </c>
    </row>
    <row r="204" spans="2:24" x14ac:dyDescent="0.2">
      <c r="B204" s="43" t="s">
        <v>232</v>
      </c>
      <c r="C204" s="43">
        <v>117</v>
      </c>
      <c r="D204" s="43" t="s">
        <v>660</v>
      </c>
      <c r="E204" s="43" t="s">
        <v>106</v>
      </c>
      <c r="F204" s="43" t="s">
        <v>663</v>
      </c>
      <c r="G204" s="43" t="s">
        <v>383</v>
      </c>
      <c r="H204" s="43">
        <v>60</v>
      </c>
      <c r="I204" s="43">
        <v>-61.465000000000003</v>
      </c>
      <c r="J204" s="28">
        <v>-4.8520000000000003E-7</v>
      </c>
      <c r="K204" s="43" t="s">
        <v>913</v>
      </c>
      <c r="L204" s="43" t="s">
        <v>65</v>
      </c>
      <c r="N204" s="43" t="s">
        <v>232</v>
      </c>
      <c r="O204" s="43">
        <v>117</v>
      </c>
      <c r="P204" s="43" t="s">
        <v>660</v>
      </c>
      <c r="Q204" s="43" t="s">
        <v>379</v>
      </c>
      <c r="R204" s="43" t="s">
        <v>663</v>
      </c>
      <c r="S204" s="43" t="s">
        <v>383</v>
      </c>
      <c r="T204" s="43">
        <v>10</v>
      </c>
      <c r="U204" s="43">
        <v>-61.4465</v>
      </c>
      <c r="V204" s="28">
        <v>-4.8500000000000002E-7</v>
      </c>
      <c r="W204" s="43" t="s">
        <v>913</v>
      </c>
      <c r="X204" s="43" t="s">
        <v>65</v>
      </c>
    </row>
    <row r="205" spans="2:24" x14ac:dyDescent="0.2">
      <c r="B205" s="43" t="s">
        <v>232</v>
      </c>
      <c r="C205" s="43">
        <v>117</v>
      </c>
      <c r="D205" s="43" t="s">
        <v>660</v>
      </c>
      <c r="E205" s="43" t="s">
        <v>106</v>
      </c>
      <c r="F205" s="43" t="s">
        <v>664</v>
      </c>
      <c r="G205" s="43" t="s">
        <v>385</v>
      </c>
      <c r="H205" s="43">
        <v>60</v>
      </c>
      <c r="I205" s="43">
        <v>4.4591000000000003</v>
      </c>
      <c r="J205" s="28">
        <v>3.5199999999999998E-8</v>
      </c>
      <c r="K205" s="43" t="s">
        <v>913</v>
      </c>
      <c r="L205" s="43" t="s">
        <v>65</v>
      </c>
      <c r="N205" s="43" t="s">
        <v>232</v>
      </c>
      <c r="O205" s="43">
        <v>117</v>
      </c>
      <c r="P205" s="43" t="s">
        <v>660</v>
      </c>
      <c r="Q205" s="43" t="s">
        <v>379</v>
      </c>
      <c r="R205" s="43" t="s">
        <v>664</v>
      </c>
      <c r="S205" s="43" t="s">
        <v>385</v>
      </c>
      <c r="T205" s="43">
        <v>10</v>
      </c>
      <c r="U205" s="43">
        <v>4.4405999999999999</v>
      </c>
      <c r="V205" s="28">
        <v>3.505E-8</v>
      </c>
      <c r="W205" s="43" t="s">
        <v>913</v>
      </c>
      <c r="X205" s="43" t="s">
        <v>65</v>
      </c>
    </row>
    <row r="206" spans="2:24" x14ac:dyDescent="0.2">
      <c r="B206" s="43" t="s">
        <v>232</v>
      </c>
      <c r="C206" s="43">
        <v>118</v>
      </c>
      <c r="D206" s="43" t="s">
        <v>660</v>
      </c>
      <c r="E206" s="43" t="s">
        <v>106</v>
      </c>
      <c r="F206" s="43" t="s">
        <v>665</v>
      </c>
      <c r="G206" s="43" t="s">
        <v>383</v>
      </c>
      <c r="H206" s="43">
        <v>60</v>
      </c>
      <c r="I206" s="43">
        <v>-62.728000000000002</v>
      </c>
      <c r="J206" s="28">
        <v>-4.6839999999999999E-7</v>
      </c>
      <c r="K206" s="43" t="s">
        <v>913</v>
      </c>
      <c r="L206" s="43" t="s">
        <v>65</v>
      </c>
      <c r="N206" s="43" t="s">
        <v>232</v>
      </c>
      <c r="O206" s="43">
        <v>118</v>
      </c>
      <c r="P206" s="43" t="s">
        <v>660</v>
      </c>
      <c r="Q206" s="43" t="s">
        <v>379</v>
      </c>
      <c r="R206" s="43" t="s">
        <v>665</v>
      </c>
      <c r="S206" s="43" t="s">
        <v>383</v>
      </c>
      <c r="T206" s="43">
        <v>10</v>
      </c>
      <c r="U206" s="43">
        <v>-62.7074</v>
      </c>
      <c r="V206" s="28">
        <v>-4.6820000000000002E-7</v>
      </c>
      <c r="W206" s="43" t="s">
        <v>913</v>
      </c>
      <c r="X206" s="43" t="s">
        <v>65</v>
      </c>
    </row>
    <row r="207" spans="2:24" x14ac:dyDescent="0.2">
      <c r="B207" s="43" t="s">
        <v>232</v>
      </c>
      <c r="C207" s="43">
        <v>118</v>
      </c>
      <c r="D207" s="43" t="s">
        <v>660</v>
      </c>
      <c r="E207" s="43" t="s">
        <v>106</v>
      </c>
      <c r="F207" s="43" t="s">
        <v>666</v>
      </c>
      <c r="G207" s="43" t="s">
        <v>385</v>
      </c>
      <c r="H207" s="43">
        <v>60</v>
      </c>
      <c r="I207" s="43">
        <v>15.1021</v>
      </c>
      <c r="J207" s="28">
        <v>1.128E-7</v>
      </c>
      <c r="K207" s="43" t="s">
        <v>913</v>
      </c>
      <c r="L207" s="43" t="s">
        <v>65</v>
      </c>
      <c r="N207" s="43" t="s">
        <v>232</v>
      </c>
      <c r="O207" s="43">
        <v>118</v>
      </c>
      <c r="P207" s="43" t="s">
        <v>660</v>
      </c>
      <c r="Q207" s="43" t="s">
        <v>379</v>
      </c>
      <c r="R207" s="43" t="s">
        <v>666</v>
      </c>
      <c r="S207" s="43" t="s">
        <v>385</v>
      </c>
      <c r="T207" s="43">
        <v>10</v>
      </c>
      <c r="U207" s="43">
        <v>15.081899999999999</v>
      </c>
      <c r="V207" s="28">
        <v>1.126E-7</v>
      </c>
      <c r="W207" s="43" t="s">
        <v>913</v>
      </c>
      <c r="X207" s="43" t="s">
        <v>65</v>
      </c>
    </row>
    <row r="208" spans="2:24" x14ac:dyDescent="0.2">
      <c r="B208" s="43" t="s">
        <v>232</v>
      </c>
      <c r="C208" s="43">
        <v>119</v>
      </c>
      <c r="D208" s="43" t="s">
        <v>667</v>
      </c>
      <c r="E208" s="43" t="s">
        <v>106</v>
      </c>
      <c r="F208" s="43" t="s">
        <v>668</v>
      </c>
      <c r="G208" s="43" t="s">
        <v>383</v>
      </c>
      <c r="H208" s="43">
        <v>60</v>
      </c>
      <c r="I208" s="43">
        <v>-53.137599999999999</v>
      </c>
      <c r="J208" s="28">
        <v>-3.9680000000000001E-7</v>
      </c>
      <c r="K208" s="43" t="s">
        <v>913</v>
      </c>
      <c r="L208" s="43" t="s">
        <v>65</v>
      </c>
      <c r="N208" s="43" t="s">
        <v>232</v>
      </c>
      <c r="O208" s="43">
        <v>119</v>
      </c>
      <c r="P208" s="43" t="s">
        <v>667</v>
      </c>
      <c r="Q208" s="43" t="s">
        <v>379</v>
      </c>
      <c r="R208" s="43" t="s">
        <v>668</v>
      </c>
      <c r="S208" s="43" t="s">
        <v>383</v>
      </c>
      <c r="T208" s="43">
        <v>10</v>
      </c>
      <c r="U208" s="43">
        <v>-53.118499999999997</v>
      </c>
      <c r="V208" s="28">
        <v>-3.9659999999999999E-7</v>
      </c>
      <c r="W208" s="43" t="s">
        <v>913</v>
      </c>
      <c r="X208" s="43" t="s">
        <v>65</v>
      </c>
    </row>
    <row r="209" spans="2:24" x14ac:dyDescent="0.2">
      <c r="B209" s="43" t="s">
        <v>232</v>
      </c>
      <c r="C209" s="43">
        <v>119</v>
      </c>
      <c r="D209" s="43" t="s">
        <v>667</v>
      </c>
      <c r="E209" s="43" t="s">
        <v>106</v>
      </c>
      <c r="F209" s="43" t="s">
        <v>669</v>
      </c>
      <c r="G209" s="43" t="s">
        <v>385</v>
      </c>
      <c r="H209" s="43">
        <v>60</v>
      </c>
      <c r="I209" s="43">
        <v>10.4968</v>
      </c>
      <c r="J209" s="28">
        <v>7.8380000000000004E-8</v>
      </c>
      <c r="K209" s="43" t="s">
        <v>913</v>
      </c>
      <c r="L209" s="43" t="s">
        <v>65</v>
      </c>
      <c r="N209" s="43" t="s">
        <v>232</v>
      </c>
      <c r="O209" s="43">
        <v>119</v>
      </c>
      <c r="P209" s="43" t="s">
        <v>667</v>
      </c>
      <c r="Q209" s="43" t="s">
        <v>379</v>
      </c>
      <c r="R209" s="43" t="s">
        <v>669</v>
      </c>
      <c r="S209" s="43" t="s">
        <v>385</v>
      </c>
      <c r="T209" s="43">
        <v>10</v>
      </c>
      <c r="U209" s="43">
        <v>10.4764</v>
      </c>
      <c r="V209" s="28">
        <v>7.8219999999999995E-8</v>
      </c>
      <c r="W209" s="43" t="s">
        <v>913</v>
      </c>
      <c r="X209" s="43" t="s">
        <v>65</v>
      </c>
    </row>
    <row r="210" spans="2:24" x14ac:dyDescent="0.2">
      <c r="B210" s="43" t="s">
        <v>232</v>
      </c>
      <c r="C210" s="43">
        <v>89</v>
      </c>
      <c r="D210" s="43" t="s">
        <v>670</v>
      </c>
      <c r="E210" s="43" t="s">
        <v>106</v>
      </c>
      <c r="F210" s="43" t="s">
        <v>671</v>
      </c>
      <c r="G210" s="43" t="s">
        <v>383</v>
      </c>
      <c r="H210" s="43">
        <v>60</v>
      </c>
      <c r="I210" s="43">
        <v>-48.72</v>
      </c>
      <c r="J210" s="28">
        <v>-4.6100000000000001E-7</v>
      </c>
      <c r="K210" s="43" t="s">
        <v>913</v>
      </c>
      <c r="L210" s="43" t="s">
        <v>65</v>
      </c>
      <c r="N210" s="43" t="s">
        <v>232</v>
      </c>
      <c r="O210" s="43">
        <v>89</v>
      </c>
      <c r="P210" s="43" t="s">
        <v>670</v>
      </c>
      <c r="Q210" s="43" t="s">
        <v>379</v>
      </c>
      <c r="R210" s="43" t="s">
        <v>671</v>
      </c>
      <c r="S210" s="43" t="s">
        <v>383</v>
      </c>
      <c r="T210" s="43">
        <v>10</v>
      </c>
      <c r="U210" s="43">
        <v>-48.702300000000001</v>
      </c>
      <c r="V210" s="28">
        <v>-4.608E-7</v>
      </c>
      <c r="W210" s="43" t="s">
        <v>913</v>
      </c>
      <c r="X210" s="43" t="s">
        <v>65</v>
      </c>
    </row>
    <row r="211" spans="2:24" x14ac:dyDescent="0.2">
      <c r="B211" s="43" t="s">
        <v>232</v>
      </c>
      <c r="C211" s="43">
        <v>89</v>
      </c>
      <c r="D211" s="43" t="s">
        <v>670</v>
      </c>
      <c r="E211" s="43" t="s">
        <v>106</v>
      </c>
      <c r="F211" s="43" t="s">
        <v>672</v>
      </c>
      <c r="G211" s="43" t="s">
        <v>385</v>
      </c>
      <c r="H211" s="43">
        <v>60</v>
      </c>
      <c r="I211" s="43">
        <v>-50.0105</v>
      </c>
      <c r="J211" s="28">
        <v>-4.7319999999999998E-7</v>
      </c>
      <c r="K211" s="43" t="s">
        <v>913</v>
      </c>
      <c r="L211" s="43" t="s">
        <v>65</v>
      </c>
      <c r="N211" s="43" t="s">
        <v>232</v>
      </c>
      <c r="O211" s="43">
        <v>89</v>
      </c>
      <c r="P211" s="43" t="s">
        <v>670</v>
      </c>
      <c r="Q211" s="43" t="s">
        <v>379</v>
      </c>
      <c r="R211" s="43" t="s">
        <v>672</v>
      </c>
      <c r="S211" s="43" t="s">
        <v>385</v>
      </c>
      <c r="T211" s="43">
        <v>10</v>
      </c>
      <c r="U211" s="43">
        <v>-50.025500000000001</v>
      </c>
      <c r="V211" s="28">
        <v>-4.7339999999999999E-7</v>
      </c>
      <c r="W211" s="43" t="s">
        <v>913</v>
      </c>
      <c r="X211" s="43" t="s">
        <v>65</v>
      </c>
    </row>
    <row r="212" spans="2:24" x14ac:dyDescent="0.2">
      <c r="B212" s="43" t="s">
        <v>232</v>
      </c>
      <c r="C212" s="43">
        <v>92</v>
      </c>
      <c r="D212" s="43" t="s">
        <v>673</v>
      </c>
      <c r="E212" s="43" t="s">
        <v>106</v>
      </c>
      <c r="F212" s="43" t="s">
        <v>674</v>
      </c>
      <c r="G212" s="43" t="s">
        <v>383</v>
      </c>
      <c r="H212" s="43">
        <v>60</v>
      </c>
      <c r="I212" s="43">
        <v>-72.510300000000001</v>
      </c>
      <c r="J212" s="28">
        <v>-4.89E-7</v>
      </c>
      <c r="K212" s="43" t="s">
        <v>913</v>
      </c>
      <c r="L212" s="43" t="s">
        <v>65</v>
      </c>
      <c r="N212" s="43" t="s">
        <v>232</v>
      </c>
      <c r="O212" s="43">
        <v>92</v>
      </c>
      <c r="P212" s="43" t="s">
        <v>673</v>
      </c>
      <c r="Q212" s="43" t="s">
        <v>379</v>
      </c>
      <c r="R212" s="43" t="s">
        <v>674</v>
      </c>
      <c r="S212" s="43" t="s">
        <v>383</v>
      </c>
      <c r="T212" s="43">
        <v>10</v>
      </c>
      <c r="U212" s="43">
        <v>-72.489999999999995</v>
      </c>
      <c r="V212" s="28">
        <v>-4.8879999999999998E-7</v>
      </c>
      <c r="W212" s="43" t="s">
        <v>913</v>
      </c>
      <c r="X212" s="43" t="s">
        <v>65</v>
      </c>
    </row>
    <row r="213" spans="2:24" x14ac:dyDescent="0.2">
      <c r="B213" s="43" t="s">
        <v>232</v>
      </c>
      <c r="C213" s="43">
        <v>92</v>
      </c>
      <c r="D213" s="43" t="s">
        <v>673</v>
      </c>
      <c r="E213" s="43" t="s">
        <v>106</v>
      </c>
      <c r="F213" s="43" t="s">
        <v>675</v>
      </c>
      <c r="G213" s="43" t="s">
        <v>385</v>
      </c>
      <c r="H213" s="43">
        <v>60</v>
      </c>
      <c r="I213" s="43">
        <v>-57.913899999999998</v>
      </c>
      <c r="J213" s="28">
        <v>-3.9050000000000001E-7</v>
      </c>
      <c r="K213" s="43" t="s">
        <v>913</v>
      </c>
      <c r="L213" s="43" t="s">
        <v>65</v>
      </c>
      <c r="N213" s="43" t="s">
        <v>232</v>
      </c>
      <c r="O213" s="43">
        <v>92</v>
      </c>
      <c r="P213" s="43" t="s">
        <v>673</v>
      </c>
      <c r="Q213" s="43" t="s">
        <v>379</v>
      </c>
      <c r="R213" s="43" t="s">
        <v>675</v>
      </c>
      <c r="S213" s="43" t="s">
        <v>385</v>
      </c>
      <c r="T213" s="43">
        <v>10</v>
      </c>
      <c r="U213" s="43">
        <v>-57.9343</v>
      </c>
      <c r="V213" s="28">
        <v>-3.9070000000000002E-7</v>
      </c>
      <c r="W213" s="43" t="s">
        <v>913</v>
      </c>
      <c r="X213" s="43" t="s">
        <v>65</v>
      </c>
    </row>
    <row r="214" spans="2:24" x14ac:dyDescent="0.2">
      <c r="B214" s="43" t="s">
        <v>232</v>
      </c>
      <c r="C214" s="43">
        <v>95</v>
      </c>
      <c r="D214" s="43" t="s">
        <v>676</v>
      </c>
      <c r="E214" s="43" t="s">
        <v>106</v>
      </c>
      <c r="F214" s="43" t="s">
        <v>677</v>
      </c>
      <c r="G214" s="43" t="s">
        <v>383</v>
      </c>
      <c r="H214" s="43">
        <v>60</v>
      </c>
      <c r="I214" s="43">
        <v>-57.048999999999999</v>
      </c>
      <c r="J214" s="28">
        <v>-4.0320000000000001E-7</v>
      </c>
      <c r="K214" s="43" t="s">
        <v>913</v>
      </c>
      <c r="L214" s="43" t="s">
        <v>65</v>
      </c>
      <c r="N214" s="43" t="s">
        <v>232</v>
      </c>
      <c r="O214" s="43">
        <v>95</v>
      </c>
      <c r="P214" s="43" t="s">
        <v>676</v>
      </c>
      <c r="Q214" s="43" t="s">
        <v>379</v>
      </c>
      <c r="R214" s="43" t="s">
        <v>677</v>
      </c>
      <c r="S214" s="43" t="s">
        <v>383</v>
      </c>
      <c r="T214" s="43">
        <v>10</v>
      </c>
      <c r="U214" s="43">
        <v>-57.029000000000003</v>
      </c>
      <c r="V214" s="28">
        <v>-4.031E-7</v>
      </c>
      <c r="W214" s="43" t="s">
        <v>913</v>
      </c>
      <c r="X214" s="43" t="s">
        <v>65</v>
      </c>
    </row>
    <row r="215" spans="2:24" x14ac:dyDescent="0.2">
      <c r="B215" s="43" t="s">
        <v>232</v>
      </c>
      <c r="C215" s="43">
        <v>95</v>
      </c>
      <c r="D215" s="43" t="s">
        <v>676</v>
      </c>
      <c r="E215" s="43" t="s">
        <v>106</v>
      </c>
      <c r="F215" s="43" t="s">
        <v>678</v>
      </c>
      <c r="G215" s="43" t="s">
        <v>385</v>
      </c>
      <c r="H215" s="43">
        <v>60</v>
      </c>
      <c r="I215" s="43">
        <v>-66.392899999999997</v>
      </c>
      <c r="J215" s="28">
        <v>-4.693E-7</v>
      </c>
      <c r="K215" s="43" t="s">
        <v>913</v>
      </c>
      <c r="L215" s="43" t="s">
        <v>65</v>
      </c>
      <c r="N215" s="43" t="s">
        <v>232</v>
      </c>
      <c r="O215" s="43">
        <v>95</v>
      </c>
      <c r="P215" s="43" t="s">
        <v>676</v>
      </c>
      <c r="Q215" s="43" t="s">
        <v>379</v>
      </c>
      <c r="R215" s="43" t="s">
        <v>678</v>
      </c>
      <c r="S215" s="43" t="s">
        <v>385</v>
      </c>
      <c r="T215" s="43">
        <v>10</v>
      </c>
      <c r="U215" s="43">
        <v>-66.413700000000006</v>
      </c>
      <c r="V215" s="28">
        <v>-4.6940000000000001E-7</v>
      </c>
      <c r="W215" s="43" t="s">
        <v>913</v>
      </c>
      <c r="X215" s="43" t="s">
        <v>65</v>
      </c>
    </row>
    <row r="216" spans="2:24" x14ac:dyDescent="0.2">
      <c r="B216" s="43" t="s">
        <v>232</v>
      </c>
      <c r="C216" s="43">
        <v>98</v>
      </c>
      <c r="D216" s="43" t="s">
        <v>679</v>
      </c>
      <c r="E216" s="43" t="s">
        <v>106</v>
      </c>
      <c r="F216" s="43" t="s">
        <v>680</v>
      </c>
      <c r="G216" s="43" t="s">
        <v>383</v>
      </c>
      <c r="H216" s="43">
        <v>60</v>
      </c>
      <c r="I216" s="43">
        <v>-57.105400000000003</v>
      </c>
      <c r="J216" s="28">
        <v>-4.0359999999999999E-7</v>
      </c>
      <c r="K216" s="43" t="s">
        <v>913</v>
      </c>
      <c r="L216" s="43" t="s">
        <v>65</v>
      </c>
      <c r="N216" s="43" t="s">
        <v>232</v>
      </c>
      <c r="O216" s="43">
        <v>98</v>
      </c>
      <c r="P216" s="43" t="s">
        <v>679</v>
      </c>
      <c r="Q216" s="43" t="s">
        <v>379</v>
      </c>
      <c r="R216" s="43" t="s">
        <v>680</v>
      </c>
      <c r="S216" s="43" t="s">
        <v>383</v>
      </c>
      <c r="T216" s="43">
        <v>10</v>
      </c>
      <c r="U216" s="43">
        <v>-57.085900000000002</v>
      </c>
      <c r="V216" s="28">
        <v>-4.0349999999999998E-7</v>
      </c>
      <c r="W216" s="43" t="s">
        <v>913</v>
      </c>
      <c r="X216" s="43" t="s">
        <v>65</v>
      </c>
    </row>
    <row r="217" spans="2:24" x14ac:dyDescent="0.2">
      <c r="B217" s="43" t="s">
        <v>232</v>
      </c>
      <c r="C217" s="43">
        <v>98</v>
      </c>
      <c r="D217" s="43" t="s">
        <v>679</v>
      </c>
      <c r="E217" s="43" t="s">
        <v>106</v>
      </c>
      <c r="F217" s="43" t="s">
        <v>681</v>
      </c>
      <c r="G217" s="43" t="s">
        <v>385</v>
      </c>
      <c r="H217" s="43">
        <v>60</v>
      </c>
      <c r="I217" s="43">
        <v>-66.241200000000006</v>
      </c>
      <c r="J217" s="28">
        <v>-4.6820000000000002E-7</v>
      </c>
      <c r="K217" s="43" t="s">
        <v>913</v>
      </c>
      <c r="L217" s="43" t="s">
        <v>65</v>
      </c>
      <c r="N217" s="43" t="s">
        <v>232</v>
      </c>
      <c r="O217" s="43">
        <v>98</v>
      </c>
      <c r="P217" s="43" t="s">
        <v>679</v>
      </c>
      <c r="Q217" s="43" t="s">
        <v>379</v>
      </c>
      <c r="R217" s="43" t="s">
        <v>681</v>
      </c>
      <c r="S217" s="43" t="s">
        <v>385</v>
      </c>
      <c r="T217" s="43">
        <v>10</v>
      </c>
      <c r="U217" s="43">
        <v>-66.261399999999995</v>
      </c>
      <c r="V217" s="28">
        <v>-4.6839999999999999E-7</v>
      </c>
      <c r="W217" s="43" t="s">
        <v>913</v>
      </c>
      <c r="X217" s="43" t="s">
        <v>65</v>
      </c>
    </row>
    <row r="218" spans="2:24" x14ac:dyDescent="0.2">
      <c r="B218" s="43" t="s">
        <v>232</v>
      </c>
      <c r="C218" s="43">
        <v>101</v>
      </c>
      <c r="D218" s="43" t="s">
        <v>682</v>
      </c>
      <c r="E218" s="43" t="s">
        <v>106</v>
      </c>
      <c r="F218" s="43" t="s">
        <v>683</v>
      </c>
      <c r="G218" s="43" t="s">
        <v>383</v>
      </c>
      <c r="H218" s="43">
        <v>60</v>
      </c>
      <c r="I218" s="43">
        <v>-71.888999999999996</v>
      </c>
      <c r="J218" s="28">
        <v>-4.848E-7</v>
      </c>
      <c r="K218" s="43" t="s">
        <v>913</v>
      </c>
      <c r="L218" s="43" t="s">
        <v>65</v>
      </c>
      <c r="N218" s="43" t="s">
        <v>232</v>
      </c>
      <c r="O218" s="43">
        <v>101</v>
      </c>
      <c r="P218" s="43" t="s">
        <v>682</v>
      </c>
      <c r="Q218" s="43" t="s">
        <v>379</v>
      </c>
      <c r="R218" s="43" t="s">
        <v>683</v>
      </c>
      <c r="S218" s="43" t="s">
        <v>383</v>
      </c>
      <c r="T218" s="43">
        <v>10</v>
      </c>
      <c r="U218" s="43">
        <v>-71.870199999999997</v>
      </c>
      <c r="V218" s="28">
        <v>-4.8459999999999999E-7</v>
      </c>
      <c r="W218" s="43" t="s">
        <v>913</v>
      </c>
      <c r="X218" s="43" t="s">
        <v>65</v>
      </c>
    </row>
    <row r="219" spans="2:24" x14ac:dyDescent="0.2">
      <c r="B219" s="43" t="s">
        <v>232</v>
      </c>
      <c r="C219" s="43">
        <v>101</v>
      </c>
      <c r="D219" s="43" t="s">
        <v>682</v>
      </c>
      <c r="E219" s="43" t="s">
        <v>106</v>
      </c>
      <c r="F219" s="43" t="s">
        <v>684</v>
      </c>
      <c r="G219" s="43" t="s">
        <v>385</v>
      </c>
      <c r="H219" s="43">
        <v>60</v>
      </c>
      <c r="I219" s="43">
        <v>-57.543300000000002</v>
      </c>
      <c r="J219" s="28">
        <v>-3.8799999999999998E-7</v>
      </c>
      <c r="K219" s="43" t="s">
        <v>913</v>
      </c>
      <c r="L219" s="43" t="s">
        <v>65</v>
      </c>
      <c r="N219" s="43" t="s">
        <v>232</v>
      </c>
      <c r="O219" s="43">
        <v>101</v>
      </c>
      <c r="P219" s="43" t="s">
        <v>682</v>
      </c>
      <c r="Q219" s="43" t="s">
        <v>379</v>
      </c>
      <c r="R219" s="43" t="s">
        <v>684</v>
      </c>
      <c r="S219" s="43" t="s">
        <v>385</v>
      </c>
      <c r="T219" s="43">
        <v>10</v>
      </c>
      <c r="U219" s="43">
        <v>-57.562800000000003</v>
      </c>
      <c r="V219" s="28">
        <v>-3.882E-7</v>
      </c>
      <c r="W219" s="43" t="s">
        <v>913</v>
      </c>
      <c r="X219" s="43" t="s">
        <v>65</v>
      </c>
    </row>
    <row r="220" spans="2:24" x14ac:dyDescent="0.2">
      <c r="B220" s="43" t="s">
        <v>232</v>
      </c>
      <c r="C220" s="43">
        <v>104</v>
      </c>
      <c r="D220" s="43" t="s">
        <v>685</v>
      </c>
      <c r="E220" s="43" t="s">
        <v>106</v>
      </c>
      <c r="F220" s="43" t="s">
        <v>686</v>
      </c>
      <c r="G220" s="43" t="s">
        <v>383</v>
      </c>
      <c r="H220" s="43">
        <v>60</v>
      </c>
      <c r="I220" s="43">
        <v>-42.2074</v>
      </c>
      <c r="J220" s="28">
        <v>-3.9939999999999999E-7</v>
      </c>
      <c r="K220" s="43" t="s">
        <v>913</v>
      </c>
      <c r="L220" s="43" t="s">
        <v>65</v>
      </c>
      <c r="N220" s="43" t="s">
        <v>232</v>
      </c>
      <c r="O220" s="43">
        <v>104</v>
      </c>
      <c r="P220" s="43" t="s">
        <v>685</v>
      </c>
      <c r="Q220" s="43" t="s">
        <v>379</v>
      </c>
      <c r="R220" s="43" t="s">
        <v>686</v>
      </c>
      <c r="S220" s="43" t="s">
        <v>383</v>
      </c>
      <c r="T220" s="43">
        <v>10</v>
      </c>
      <c r="U220" s="43">
        <v>-42.195099999999996</v>
      </c>
      <c r="V220" s="28">
        <v>-3.9929999999999998E-7</v>
      </c>
      <c r="W220" s="43" t="s">
        <v>913</v>
      </c>
      <c r="X220" s="43" t="s">
        <v>65</v>
      </c>
    </row>
    <row r="221" spans="2:24" x14ac:dyDescent="0.2">
      <c r="B221" s="43" t="s">
        <v>232</v>
      </c>
      <c r="C221" s="43">
        <v>104</v>
      </c>
      <c r="D221" s="43" t="s">
        <v>685</v>
      </c>
      <c r="E221" s="43" t="s">
        <v>106</v>
      </c>
      <c r="F221" s="43" t="s">
        <v>687</v>
      </c>
      <c r="G221" s="43" t="s">
        <v>385</v>
      </c>
      <c r="H221" s="43">
        <v>60</v>
      </c>
      <c r="I221" s="43">
        <v>-44.420999999999999</v>
      </c>
      <c r="J221" s="28">
        <v>-4.2030000000000002E-7</v>
      </c>
      <c r="K221" s="43" t="s">
        <v>913</v>
      </c>
      <c r="L221" s="43" t="s">
        <v>65</v>
      </c>
      <c r="N221" s="43" t="s">
        <v>232</v>
      </c>
      <c r="O221" s="43">
        <v>104</v>
      </c>
      <c r="P221" s="43" t="s">
        <v>685</v>
      </c>
      <c r="Q221" s="43" t="s">
        <v>379</v>
      </c>
      <c r="R221" s="43" t="s">
        <v>687</v>
      </c>
      <c r="S221" s="43" t="s">
        <v>385</v>
      </c>
      <c r="T221" s="43">
        <v>10</v>
      </c>
      <c r="U221" s="43">
        <v>-44.436799999999998</v>
      </c>
      <c r="V221" s="28">
        <v>-4.2049999999999999E-7</v>
      </c>
      <c r="W221" s="43" t="s">
        <v>913</v>
      </c>
      <c r="X221" s="43" t="s">
        <v>65</v>
      </c>
    </row>
    <row r="222" spans="2:24" x14ac:dyDescent="0.2">
      <c r="B222" s="43" t="s">
        <v>232</v>
      </c>
      <c r="C222" s="43">
        <v>120</v>
      </c>
      <c r="D222" s="43" t="s">
        <v>688</v>
      </c>
      <c r="E222" s="43" t="s">
        <v>106</v>
      </c>
      <c r="F222" s="43" t="s">
        <v>689</v>
      </c>
      <c r="G222" s="43" t="s">
        <v>383</v>
      </c>
      <c r="H222" s="43">
        <v>60</v>
      </c>
      <c r="I222" s="43">
        <v>-44.6706</v>
      </c>
      <c r="J222" s="28">
        <v>-4.5789999999999999E-7</v>
      </c>
      <c r="K222" s="43" t="s">
        <v>913</v>
      </c>
      <c r="L222" s="43" t="s">
        <v>65</v>
      </c>
      <c r="N222" s="43" t="s">
        <v>232</v>
      </c>
      <c r="O222" s="43">
        <v>120</v>
      </c>
      <c r="P222" s="43" t="s">
        <v>688</v>
      </c>
      <c r="Q222" s="43" t="s">
        <v>379</v>
      </c>
      <c r="R222" s="43" t="s">
        <v>689</v>
      </c>
      <c r="S222" s="43" t="s">
        <v>383</v>
      </c>
      <c r="T222" s="43">
        <v>10</v>
      </c>
      <c r="U222" s="43">
        <v>-44.656599999999997</v>
      </c>
      <c r="V222" s="28">
        <v>-4.5779999999999998E-7</v>
      </c>
      <c r="W222" s="43" t="s">
        <v>913</v>
      </c>
      <c r="X222" s="43" t="s">
        <v>65</v>
      </c>
    </row>
    <row r="223" spans="2:24" x14ac:dyDescent="0.2">
      <c r="B223" s="43" t="s">
        <v>232</v>
      </c>
      <c r="C223" s="43">
        <v>120</v>
      </c>
      <c r="D223" s="43" t="s">
        <v>688</v>
      </c>
      <c r="E223" s="43" t="s">
        <v>106</v>
      </c>
      <c r="F223" s="43" t="s">
        <v>690</v>
      </c>
      <c r="G223" s="43" t="s">
        <v>385</v>
      </c>
      <c r="H223" s="43">
        <v>60</v>
      </c>
      <c r="I223" s="43">
        <v>2.8437000000000001</v>
      </c>
      <c r="J223" s="28">
        <v>2.915E-8</v>
      </c>
      <c r="K223" s="43" t="s">
        <v>913</v>
      </c>
      <c r="L223" s="43" t="s">
        <v>65</v>
      </c>
      <c r="N223" s="43" t="s">
        <v>232</v>
      </c>
      <c r="O223" s="43">
        <v>120</v>
      </c>
      <c r="P223" s="43" t="s">
        <v>688</v>
      </c>
      <c r="Q223" s="43" t="s">
        <v>379</v>
      </c>
      <c r="R223" s="43" t="s">
        <v>690</v>
      </c>
      <c r="S223" s="43" t="s">
        <v>385</v>
      </c>
      <c r="T223" s="43">
        <v>10</v>
      </c>
      <c r="U223" s="43">
        <v>2.8281000000000001</v>
      </c>
      <c r="V223" s="28">
        <v>2.899E-8</v>
      </c>
      <c r="W223" s="43" t="s">
        <v>913</v>
      </c>
      <c r="X223" s="43" t="s">
        <v>65</v>
      </c>
    </row>
    <row r="224" spans="2:24" x14ac:dyDescent="0.2">
      <c r="B224" s="43" t="s">
        <v>232</v>
      </c>
      <c r="C224" s="43">
        <v>121</v>
      </c>
      <c r="D224" s="43" t="s">
        <v>691</v>
      </c>
      <c r="E224" s="43" t="s">
        <v>106</v>
      </c>
      <c r="F224" s="43" t="s">
        <v>692</v>
      </c>
      <c r="G224" s="43" t="s">
        <v>383</v>
      </c>
      <c r="H224" s="43">
        <v>60</v>
      </c>
      <c r="I224" s="43">
        <v>-53.101799999999997</v>
      </c>
      <c r="J224" s="28">
        <v>-4.7199999999999999E-7</v>
      </c>
      <c r="K224" s="43" t="s">
        <v>913</v>
      </c>
      <c r="L224" s="43" t="s">
        <v>65</v>
      </c>
      <c r="N224" s="43" t="s">
        <v>232</v>
      </c>
      <c r="O224" s="43">
        <v>121</v>
      </c>
      <c r="P224" s="43" t="s">
        <v>691</v>
      </c>
      <c r="Q224" s="43" t="s">
        <v>379</v>
      </c>
      <c r="R224" s="43" t="s">
        <v>692</v>
      </c>
      <c r="S224" s="43" t="s">
        <v>383</v>
      </c>
      <c r="T224" s="43">
        <v>10</v>
      </c>
      <c r="U224" s="43">
        <v>-53.084200000000003</v>
      </c>
      <c r="V224" s="28">
        <v>-4.7189999999999998E-7</v>
      </c>
      <c r="W224" s="43" t="s">
        <v>913</v>
      </c>
      <c r="X224" s="43" t="s">
        <v>65</v>
      </c>
    </row>
    <row r="225" spans="2:24" x14ac:dyDescent="0.2">
      <c r="B225" s="43" t="s">
        <v>232</v>
      </c>
      <c r="C225" s="43">
        <v>121</v>
      </c>
      <c r="D225" s="43" t="s">
        <v>691</v>
      </c>
      <c r="E225" s="43" t="s">
        <v>106</v>
      </c>
      <c r="F225" s="43" t="s">
        <v>693</v>
      </c>
      <c r="G225" s="43" t="s">
        <v>385</v>
      </c>
      <c r="H225" s="43">
        <v>60</v>
      </c>
      <c r="I225" s="43">
        <v>14.298</v>
      </c>
      <c r="J225" s="28">
        <v>1.2709999999999999E-7</v>
      </c>
      <c r="K225" s="43" t="s">
        <v>913</v>
      </c>
      <c r="L225" s="43" t="s">
        <v>65</v>
      </c>
      <c r="N225" s="43" t="s">
        <v>232</v>
      </c>
      <c r="O225" s="43">
        <v>121</v>
      </c>
      <c r="P225" s="43" t="s">
        <v>691</v>
      </c>
      <c r="Q225" s="43" t="s">
        <v>379</v>
      </c>
      <c r="R225" s="43" t="s">
        <v>693</v>
      </c>
      <c r="S225" s="43" t="s">
        <v>385</v>
      </c>
      <c r="T225" s="43">
        <v>10</v>
      </c>
      <c r="U225" s="43">
        <v>14.2807</v>
      </c>
      <c r="V225" s="28">
        <v>1.269E-7</v>
      </c>
      <c r="W225" s="43" t="s">
        <v>913</v>
      </c>
      <c r="X225" s="43" t="s">
        <v>65</v>
      </c>
    </row>
    <row r="226" spans="2:24" x14ac:dyDescent="0.2">
      <c r="B226" s="43" t="s">
        <v>232</v>
      </c>
      <c r="C226" s="43">
        <v>122</v>
      </c>
      <c r="D226" s="43" t="s">
        <v>691</v>
      </c>
      <c r="E226" s="43" t="s">
        <v>106</v>
      </c>
      <c r="F226" s="43" t="s">
        <v>694</v>
      </c>
      <c r="G226" s="43" t="s">
        <v>383</v>
      </c>
      <c r="H226" s="43">
        <v>60</v>
      </c>
      <c r="I226" s="43">
        <v>-45.150599999999997</v>
      </c>
      <c r="J226" s="28">
        <v>-3.784E-7</v>
      </c>
      <c r="K226" s="43" t="s">
        <v>913</v>
      </c>
      <c r="L226" s="43" t="s">
        <v>65</v>
      </c>
      <c r="N226" s="43" t="s">
        <v>232</v>
      </c>
      <c r="O226" s="43">
        <v>122</v>
      </c>
      <c r="P226" s="43" t="s">
        <v>691</v>
      </c>
      <c r="Q226" s="43" t="s">
        <v>379</v>
      </c>
      <c r="R226" s="43" t="s">
        <v>694</v>
      </c>
      <c r="S226" s="43" t="s">
        <v>383</v>
      </c>
      <c r="T226" s="43">
        <v>10</v>
      </c>
      <c r="U226" s="43">
        <v>-45.133299999999998</v>
      </c>
      <c r="V226" s="28">
        <v>-3.7829999999999999E-7</v>
      </c>
      <c r="W226" s="43" t="s">
        <v>913</v>
      </c>
      <c r="X226" s="43" t="s">
        <v>65</v>
      </c>
    </row>
    <row r="227" spans="2:24" x14ac:dyDescent="0.2">
      <c r="B227" s="43" t="s">
        <v>232</v>
      </c>
      <c r="C227" s="43">
        <v>122</v>
      </c>
      <c r="D227" s="43" t="s">
        <v>691</v>
      </c>
      <c r="E227" s="43" t="s">
        <v>106</v>
      </c>
      <c r="F227" s="43" t="s">
        <v>695</v>
      </c>
      <c r="G227" s="43" t="s">
        <v>385</v>
      </c>
      <c r="H227" s="43">
        <v>60</v>
      </c>
      <c r="I227" s="43">
        <v>15.437900000000001</v>
      </c>
      <c r="J227" s="28">
        <v>1.2940000000000001E-7</v>
      </c>
      <c r="K227" s="43" t="s">
        <v>913</v>
      </c>
      <c r="L227" s="43" t="s">
        <v>65</v>
      </c>
      <c r="N227" s="43" t="s">
        <v>232</v>
      </c>
      <c r="O227" s="43">
        <v>122</v>
      </c>
      <c r="P227" s="43" t="s">
        <v>691</v>
      </c>
      <c r="Q227" s="43" t="s">
        <v>379</v>
      </c>
      <c r="R227" s="43" t="s">
        <v>695</v>
      </c>
      <c r="S227" s="43" t="s">
        <v>385</v>
      </c>
      <c r="T227" s="43">
        <v>10</v>
      </c>
      <c r="U227" s="43">
        <v>15.4201</v>
      </c>
      <c r="V227" s="28">
        <v>1.2919999999999999E-7</v>
      </c>
      <c r="W227" s="43" t="s">
        <v>913</v>
      </c>
      <c r="X227" s="43" t="s">
        <v>65</v>
      </c>
    </row>
    <row r="228" spans="2:24" x14ac:dyDescent="0.2">
      <c r="B228" s="43" t="s">
        <v>232</v>
      </c>
      <c r="C228" s="43">
        <v>123</v>
      </c>
      <c r="D228" s="43" t="s">
        <v>691</v>
      </c>
      <c r="E228" s="43" t="s">
        <v>106</v>
      </c>
      <c r="F228" s="43" t="s">
        <v>696</v>
      </c>
      <c r="G228" s="43" t="s">
        <v>383</v>
      </c>
      <c r="H228" s="43">
        <v>60</v>
      </c>
      <c r="I228" s="43">
        <v>-44.277500000000003</v>
      </c>
      <c r="J228" s="28">
        <v>-3.9359999999999998E-7</v>
      </c>
      <c r="K228" s="43" t="s">
        <v>913</v>
      </c>
      <c r="L228" s="43" t="s">
        <v>65</v>
      </c>
      <c r="N228" s="43" t="s">
        <v>232</v>
      </c>
      <c r="O228" s="43">
        <v>123</v>
      </c>
      <c r="P228" s="43" t="s">
        <v>691</v>
      </c>
      <c r="Q228" s="43" t="s">
        <v>379</v>
      </c>
      <c r="R228" s="43" t="s">
        <v>696</v>
      </c>
      <c r="S228" s="43" t="s">
        <v>383</v>
      </c>
      <c r="T228" s="43">
        <v>10</v>
      </c>
      <c r="U228" s="43">
        <v>-44.260199999999998</v>
      </c>
      <c r="V228" s="28">
        <v>-3.9340000000000002E-7</v>
      </c>
      <c r="W228" s="43" t="s">
        <v>913</v>
      </c>
      <c r="X228" s="43" t="s">
        <v>65</v>
      </c>
    </row>
    <row r="229" spans="2:24" x14ac:dyDescent="0.2">
      <c r="B229" s="43" t="s">
        <v>232</v>
      </c>
      <c r="C229" s="43">
        <v>123</v>
      </c>
      <c r="D229" s="43" t="s">
        <v>691</v>
      </c>
      <c r="E229" s="43" t="s">
        <v>106</v>
      </c>
      <c r="F229" s="43" t="s">
        <v>697</v>
      </c>
      <c r="G229" s="43" t="s">
        <v>385</v>
      </c>
      <c r="H229" s="43">
        <v>60</v>
      </c>
      <c r="I229" s="43">
        <v>8.7321000000000009</v>
      </c>
      <c r="J229" s="28">
        <v>7.7620000000000003E-8</v>
      </c>
      <c r="K229" s="43" t="s">
        <v>913</v>
      </c>
      <c r="L229" s="43" t="s">
        <v>65</v>
      </c>
      <c r="N229" s="43" t="s">
        <v>232</v>
      </c>
      <c r="O229" s="43">
        <v>123</v>
      </c>
      <c r="P229" s="43" t="s">
        <v>691</v>
      </c>
      <c r="Q229" s="43" t="s">
        <v>379</v>
      </c>
      <c r="R229" s="43" t="s">
        <v>697</v>
      </c>
      <c r="S229" s="43" t="s">
        <v>385</v>
      </c>
      <c r="T229" s="43">
        <v>10</v>
      </c>
      <c r="U229" s="43">
        <v>8.7133000000000003</v>
      </c>
      <c r="V229" s="28">
        <v>7.7449999999999995E-8</v>
      </c>
      <c r="W229" s="43" t="s">
        <v>913</v>
      </c>
      <c r="X229" s="43" t="s">
        <v>65</v>
      </c>
    </row>
    <row r="230" spans="2:24" x14ac:dyDescent="0.2">
      <c r="B230" s="43" t="s">
        <v>232</v>
      </c>
      <c r="C230" s="43">
        <v>124</v>
      </c>
      <c r="D230" s="43" t="s">
        <v>698</v>
      </c>
      <c r="E230" s="43" t="s">
        <v>106</v>
      </c>
      <c r="F230" s="43" t="s">
        <v>699</v>
      </c>
      <c r="G230" s="43" t="s">
        <v>383</v>
      </c>
      <c r="H230" s="43">
        <v>60</v>
      </c>
      <c r="I230" s="43">
        <v>-50.820700000000002</v>
      </c>
      <c r="J230" s="28">
        <v>-9.9999999999999995E-7</v>
      </c>
      <c r="K230" s="43" t="s">
        <v>913</v>
      </c>
      <c r="L230" s="43" t="s">
        <v>65</v>
      </c>
      <c r="N230" s="43" t="s">
        <v>232</v>
      </c>
      <c r="O230" s="43">
        <v>124</v>
      </c>
      <c r="P230" s="43" t="s">
        <v>698</v>
      </c>
      <c r="Q230" s="43" t="s">
        <v>379</v>
      </c>
      <c r="R230" s="43" t="s">
        <v>699</v>
      </c>
      <c r="S230" s="43" t="s">
        <v>383</v>
      </c>
      <c r="T230" s="43">
        <v>10</v>
      </c>
      <c r="U230" s="43">
        <v>-50.805300000000003</v>
      </c>
      <c r="V230" s="28">
        <v>-9.9999999999999995E-7</v>
      </c>
      <c r="W230" s="43" t="s">
        <v>913</v>
      </c>
      <c r="X230" s="43" t="s">
        <v>65</v>
      </c>
    </row>
    <row r="231" spans="2:24" x14ac:dyDescent="0.2">
      <c r="B231" s="43" t="s">
        <v>232</v>
      </c>
      <c r="C231" s="43">
        <v>124</v>
      </c>
      <c r="D231" s="43" t="s">
        <v>698</v>
      </c>
      <c r="E231" s="43" t="s">
        <v>106</v>
      </c>
      <c r="F231" s="43" t="s">
        <v>700</v>
      </c>
      <c r="G231" s="43" t="s">
        <v>385</v>
      </c>
      <c r="H231" s="43">
        <v>60</v>
      </c>
      <c r="I231" s="43">
        <v>8.6039999999999992</v>
      </c>
      <c r="J231" s="28">
        <v>8.8199999999999996E-8</v>
      </c>
      <c r="K231" s="43" t="s">
        <v>913</v>
      </c>
      <c r="L231" s="43" t="s">
        <v>65</v>
      </c>
      <c r="N231" s="43" t="s">
        <v>232</v>
      </c>
      <c r="O231" s="43">
        <v>124</v>
      </c>
      <c r="P231" s="43" t="s">
        <v>698</v>
      </c>
      <c r="Q231" s="43" t="s">
        <v>379</v>
      </c>
      <c r="R231" s="43" t="s">
        <v>700</v>
      </c>
      <c r="S231" s="43" t="s">
        <v>385</v>
      </c>
      <c r="T231" s="43">
        <v>10</v>
      </c>
      <c r="U231" s="43">
        <v>8.5882000000000005</v>
      </c>
      <c r="V231" s="28">
        <v>8.804E-8</v>
      </c>
      <c r="W231" s="43" t="s">
        <v>913</v>
      </c>
      <c r="X231" s="43" t="s">
        <v>65</v>
      </c>
    </row>
    <row r="232" spans="2:24" x14ac:dyDescent="0.2">
      <c r="B232" s="43" t="s">
        <v>281</v>
      </c>
      <c r="C232" s="43">
        <v>167</v>
      </c>
      <c r="D232" s="43" t="s">
        <v>701</v>
      </c>
      <c r="E232" s="43" t="s">
        <v>106</v>
      </c>
      <c r="F232" s="43" t="s">
        <v>702</v>
      </c>
      <c r="G232" s="43" t="s">
        <v>383</v>
      </c>
      <c r="H232" s="43">
        <v>60</v>
      </c>
      <c r="I232" s="43">
        <v>-47.721499999999999</v>
      </c>
      <c r="J232" s="28">
        <v>-4.8920000000000001E-7</v>
      </c>
      <c r="K232" s="43" t="s">
        <v>913</v>
      </c>
      <c r="L232" s="43" t="s">
        <v>65</v>
      </c>
      <c r="N232" s="43" t="s">
        <v>281</v>
      </c>
      <c r="O232" s="43">
        <v>167</v>
      </c>
      <c r="P232" s="43" t="s">
        <v>701</v>
      </c>
      <c r="Q232" s="43" t="s">
        <v>379</v>
      </c>
      <c r="R232" s="43" t="s">
        <v>702</v>
      </c>
      <c r="S232" s="43" t="s">
        <v>383</v>
      </c>
      <c r="T232" s="43">
        <v>10</v>
      </c>
      <c r="U232" s="43">
        <v>-47.733800000000002</v>
      </c>
      <c r="V232" s="28">
        <v>-4.8930000000000002E-7</v>
      </c>
      <c r="W232" s="43" t="s">
        <v>913</v>
      </c>
      <c r="X232" s="43" t="s">
        <v>65</v>
      </c>
    </row>
    <row r="233" spans="2:24" x14ac:dyDescent="0.2">
      <c r="B233" s="43" t="s">
        <v>281</v>
      </c>
      <c r="C233" s="43">
        <v>167</v>
      </c>
      <c r="D233" s="43" t="s">
        <v>701</v>
      </c>
      <c r="E233" s="43" t="s">
        <v>106</v>
      </c>
      <c r="F233" s="43" t="s">
        <v>703</v>
      </c>
      <c r="G233" s="43" t="s">
        <v>385</v>
      </c>
      <c r="H233" s="43">
        <v>60</v>
      </c>
      <c r="I233" s="43">
        <v>5.8226000000000004</v>
      </c>
      <c r="J233" s="28">
        <v>5.969E-8</v>
      </c>
      <c r="K233" s="43" t="s">
        <v>913</v>
      </c>
      <c r="L233" s="43" t="s">
        <v>65</v>
      </c>
      <c r="N233" s="43" t="s">
        <v>281</v>
      </c>
      <c r="O233" s="43">
        <v>167</v>
      </c>
      <c r="P233" s="43" t="s">
        <v>701</v>
      </c>
      <c r="Q233" s="43" t="s">
        <v>379</v>
      </c>
      <c r="R233" s="43" t="s">
        <v>703</v>
      </c>
      <c r="S233" s="43" t="s">
        <v>385</v>
      </c>
      <c r="T233" s="43">
        <v>10</v>
      </c>
      <c r="U233" s="43">
        <v>5.8357000000000001</v>
      </c>
      <c r="V233" s="28">
        <v>5.9820000000000002E-8</v>
      </c>
      <c r="W233" s="43" t="s">
        <v>913</v>
      </c>
      <c r="X233" s="43" t="s">
        <v>65</v>
      </c>
    </row>
    <row r="234" spans="2:24" x14ac:dyDescent="0.2">
      <c r="B234" s="43" t="s">
        <v>281</v>
      </c>
      <c r="C234" s="43">
        <v>168</v>
      </c>
      <c r="D234" s="43" t="s">
        <v>704</v>
      </c>
      <c r="E234" s="43" t="s">
        <v>106</v>
      </c>
      <c r="F234" s="43" t="s">
        <v>705</v>
      </c>
      <c r="G234" s="43" t="s">
        <v>383</v>
      </c>
      <c r="H234" s="43">
        <v>60</v>
      </c>
      <c r="I234" s="43">
        <v>-56.079099999999997</v>
      </c>
      <c r="J234" s="28">
        <v>-4.9849999999999997E-7</v>
      </c>
      <c r="K234" s="43" t="s">
        <v>913</v>
      </c>
      <c r="L234" s="43" t="s">
        <v>65</v>
      </c>
      <c r="N234" s="43" t="s">
        <v>281</v>
      </c>
      <c r="O234" s="43">
        <v>168</v>
      </c>
      <c r="P234" s="43" t="s">
        <v>704</v>
      </c>
      <c r="Q234" s="43" t="s">
        <v>379</v>
      </c>
      <c r="R234" s="43" t="s">
        <v>705</v>
      </c>
      <c r="S234" s="43" t="s">
        <v>383</v>
      </c>
      <c r="T234" s="43">
        <v>10</v>
      </c>
      <c r="U234" s="43">
        <v>-56.0929</v>
      </c>
      <c r="V234" s="28">
        <v>-4.9859999999999998E-7</v>
      </c>
      <c r="W234" s="43" t="s">
        <v>913</v>
      </c>
      <c r="X234" s="43" t="s">
        <v>65</v>
      </c>
    </row>
    <row r="235" spans="2:24" x14ac:dyDescent="0.2">
      <c r="B235" s="43" t="s">
        <v>281</v>
      </c>
      <c r="C235" s="43">
        <v>168</v>
      </c>
      <c r="D235" s="43" t="s">
        <v>704</v>
      </c>
      <c r="E235" s="43" t="s">
        <v>106</v>
      </c>
      <c r="F235" s="43" t="s">
        <v>706</v>
      </c>
      <c r="G235" s="43" t="s">
        <v>385</v>
      </c>
      <c r="H235" s="43">
        <v>60</v>
      </c>
      <c r="I235" s="43">
        <v>17.189499999999999</v>
      </c>
      <c r="J235" s="28">
        <v>1.5279999999999999E-7</v>
      </c>
      <c r="K235" s="43" t="s">
        <v>913</v>
      </c>
      <c r="L235" s="43" t="s">
        <v>65</v>
      </c>
      <c r="N235" s="43" t="s">
        <v>281</v>
      </c>
      <c r="O235" s="43">
        <v>168</v>
      </c>
      <c r="P235" s="43" t="s">
        <v>704</v>
      </c>
      <c r="Q235" s="43" t="s">
        <v>379</v>
      </c>
      <c r="R235" s="43" t="s">
        <v>706</v>
      </c>
      <c r="S235" s="43" t="s">
        <v>385</v>
      </c>
      <c r="T235" s="43">
        <v>10</v>
      </c>
      <c r="U235" s="43">
        <v>17.203199999999999</v>
      </c>
      <c r="V235" s="28">
        <v>1.529E-7</v>
      </c>
      <c r="W235" s="43" t="s">
        <v>913</v>
      </c>
      <c r="X235" s="43" t="s">
        <v>65</v>
      </c>
    </row>
    <row r="236" spans="2:24" x14ac:dyDescent="0.2">
      <c r="B236" s="43" t="s">
        <v>281</v>
      </c>
      <c r="C236" s="43">
        <v>169</v>
      </c>
      <c r="D236" s="43" t="s">
        <v>704</v>
      </c>
      <c r="E236" s="43" t="s">
        <v>106</v>
      </c>
      <c r="F236" s="43" t="s">
        <v>707</v>
      </c>
      <c r="G236" s="43" t="s">
        <v>383</v>
      </c>
      <c r="H236" s="43">
        <v>60</v>
      </c>
      <c r="I236" s="43">
        <v>-48.168399999999998</v>
      </c>
      <c r="J236" s="28">
        <v>-4.037E-7</v>
      </c>
      <c r="K236" s="43" t="s">
        <v>913</v>
      </c>
      <c r="L236" s="43" t="s">
        <v>65</v>
      </c>
      <c r="N236" s="43" t="s">
        <v>281</v>
      </c>
      <c r="O236" s="43">
        <v>169</v>
      </c>
      <c r="P236" s="43" t="s">
        <v>704</v>
      </c>
      <c r="Q236" s="43" t="s">
        <v>379</v>
      </c>
      <c r="R236" s="43" t="s">
        <v>707</v>
      </c>
      <c r="S236" s="43" t="s">
        <v>383</v>
      </c>
      <c r="T236" s="43">
        <v>10</v>
      </c>
      <c r="U236" s="43">
        <v>-48.182200000000002</v>
      </c>
      <c r="V236" s="28">
        <v>-4.038E-7</v>
      </c>
      <c r="W236" s="43" t="s">
        <v>913</v>
      </c>
      <c r="X236" s="43" t="s">
        <v>65</v>
      </c>
    </row>
    <row r="237" spans="2:24" x14ac:dyDescent="0.2">
      <c r="B237" s="43" t="s">
        <v>281</v>
      </c>
      <c r="C237" s="43">
        <v>169</v>
      </c>
      <c r="D237" s="43" t="s">
        <v>704</v>
      </c>
      <c r="E237" s="43" t="s">
        <v>106</v>
      </c>
      <c r="F237" s="43" t="s">
        <v>708</v>
      </c>
      <c r="G237" s="43" t="s">
        <v>385</v>
      </c>
      <c r="H237" s="43">
        <v>60</v>
      </c>
      <c r="I237" s="43">
        <v>18.457799999999999</v>
      </c>
      <c r="J237" s="28">
        <v>1.547E-7</v>
      </c>
      <c r="K237" s="43" t="s">
        <v>913</v>
      </c>
      <c r="L237" s="43" t="s">
        <v>65</v>
      </c>
      <c r="N237" s="43" t="s">
        <v>281</v>
      </c>
      <c r="O237" s="43">
        <v>169</v>
      </c>
      <c r="P237" s="43" t="s">
        <v>704</v>
      </c>
      <c r="Q237" s="43" t="s">
        <v>379</v>
      </c>
      <c r="R237" s="43" t="s">
        <v>708</v>
      </c>
      <c r="S237" s="43" t="s">
        <v>385</v>
      </c>
      <c r="T237" s="43">
        <v>10</v>
      </c>
      <c r="U237" s="43">
        <v>18.471900000000002</v>
      </c>
      <c r="V237" s="28">
        <v>1.5480000000000001E-7</v>
      </c>
      <c r="W237" s="43" t="s">
        <v>913</v>
      </c>
      <c r="X237" s="43" t="s">
        <v>65</v>
      </c>
    </row>
    <row r="238" spans="2:24" x14ac:dyDescent="0.2">
      <c r="B238" s="43" t="s">
        <v>281</v>
      </c>
      <c r="C238" s="43">
        <v>170</v>
      </c>
      <c r="D238" s="43" t="s">
        <v>704</v>
      </c>
      <c r="E238" s="43" t="s">
        <v>106</v>
      </c>
      <c r="F238" s="43" t="s">
        <v>709</v>
      </c>
      <c r="G238" s="43" t="s">
        <v>383</v>
      </c>
      <c r="H238" s="43">
        <v>60</v>
      </c>
      <c r="I238" s="43">
        <v>-47.160299999999999</v>
      </c>
      <c r="J238" s="28">
        <v>-4.192E-7</v>
      </c>
      <c r="K238" s="43" t="s">
        <v>913</v>
      </c>
      <c r="L238" s="43" t="s">
        <v>65</v>
      </c>
      <c r="N238" s="43" t="s">
        <v>281</v>
      </c>
      <c r="O238" s="43">
        <v>170</v>
      </c>
      <c r="P238" s="43" t="s">
        <v>704</v>
      </c>
      <c r="Q238" s="43" t="s">
        <v>379</v>
      </c>
      <c r="R238" s="43" t="s">
        <v>709</v>
      </c>
      <c r="S238" s="43" t="s">
        <v>383</v>
      </c>
      <c r="T238" s="43">
        <v>10</v>
      </c>
      <c r="U238" s="43">
        <v>-47.173099999999998</v>
      </c>
      <c r="V238" s="28">
        <v>-4.193E-7</v>
      </c>
      <c r="W238" s="43" t="s">
        <v>913</v>
      </c>
      <c r="X238" s="43" t="s">
        <v>65</v>
      </c>
    </row>
    <row r="239" spans="2:24" x14ac:dyDescent="0.2">
      <c r="B239" s="43" t="s">
        <v>281</v>
      </c>
      <c r="C239" s="43">
        <v>170</v>
      </c>
      <c r="D239" s="43" t="s">
        <v>704</v>
      </c>
      <c r="E239" s="43" t="s">
        <v>106</v>
      </c>
      <c r="F239" s="43" t="s">
        <v>710</v>
      </c>
      <c r="G239" s="43" t="s">
        <v>385</v>
      </c>
      <c r="H239" s="43">
        <v>60</v>
      </c>
      <c r="I239" s="43">
        <v>11.7735</v>
      </c>
      <c r="J239" s="28">
        <v>1.047E-7</v>
      </c>
      <c r="K239" s="43" t="s">
        <v>913</v>
      </c>
      <c r="L239" s="43" t="s">
        <v>65</v>
      </c>
      <c r="N239" s="43" t="s">
        <v>281</v>
      </c>
      <c r="O239" s="43">
        <v>170</v>
      </c>
      <c r="P239" s="43" t="s">
        <v>704</v>
      </c>
      <c r="Q239" s="43" t="s">
        <v>379</v>
      </c>
      <c r="R239" s="43" t="s">
        <v>710</v>
      </c>
      <c r="S239" s="43" t="s">
        <v>385</v>
      </c>
      <c r="T239" s="43">
        <v>10</v>
      </c>
      <c r="U239" s="43">
        <v>11.787800000000001</v>
      </c>
      <c r="V239" s="28">
        <v>1.048E-7</v>
      </c>
      <c r="W239" s="43" t="s">
        <v>913</v>
      </c>
      <c r="X239" s="43" t="s">
        <v>65</v>
      </c>
    </row>
    <row r="240" spans="2:24" x14ac:dyDescent="0.2">
      <c r="B240" s="43" t="s">
        <v>281</v>
      </c>
      <c r="C240" s="43">
        <v>171</v>
      </c>
      <c r="D240" s="43" t="s">
        <v>711</v>
      </c>
      <c r="E240" s="43" t="s">
        <v>106</v>
      </c>
      <c r="F240" s="43" t="s">
        <v>712</v>
      </c>
      <c r="G240" s="43" t="s">
        <v>383</v>
      </c>
      <c r="H240" s="43">
        <v>60</v>
      </c>
      <c r="I240" s="43">
        <v>-53.329099999999997</v>
      </c>
      <c r="J240" s="28">
        <v>-9.9999999999999995E-7</v>
      </c>
      <c r="K240" s="43" t="s">
        <v>913</v>
      </c>
      <c r="L240" s="43" t="s">
        <v>65</v>
      </c>
      <c r="N240" s="43" t="s">
        <v>281</v>
      </c>
      <c r="O240" s="43">
        <v>171</v>
      </c>
      <c r="P240" s="43" t="s">
        <v>711</v>
      </c>
      <c r="Q240" s="43" t="s">
        <v>379</v>
      </c>
      <c r="R240" s="43" t="s">
        <v>712</v>
      </c>
      <c r="S240" s="43" t="s">
        <v>383</v>
      </c>
      <c r="T240" s="43">
        <v>10</v>
      </c>
      <c r="U240" s="43">
        <v>-53.341799999999999</v>
      </c>
      <c r="V240" s="28">
        <v>-9.9999999999999995E-7</v>
      </c>
      <c r="W240" s="43" t="s">
        <v>913</v>
      </c>
      <c r="X240" s="43" t="s">
        <v>65</v>
      </c>
    </row>
    <row r="241" spans="2:24" x14ac:dyDescent="0.2">
      <c r="B241" s="43" t="s">
        <v>281</v>
      </c>
      <c r="C241" s="43">
        <v>171</v>
      </c>
      <c r="D241" s="43" t="s">
        <v>711</v>
      </c>
      <c r="E241" s="43" t="s">
        <v>106</v>
      </c>
      <c r="F241" s="43" t="s">
        <v>713</v>
      </c>
      <c r="G241" s="43" t="s">
        <v>385</v>
      </c>
      <c r="H241" s="43">
        <v>60</v>
      </c>
      <c r="I241" s="43">
        <v>11.0358</v>
      </c>
      <c r="J241" s="28">
        <v>1.131E-7</v>
      </c>
      <c r="K241" s="43" t="s">
        <v>913</v>
      </c>
      <c r="L241" s="43" t="s">
        <v>65</v>
      </c>
      <c r="N241" s="43" t="s">
        <v>281</v>
      </c>
      <c r="O241" s="43">
        <v>171</v>
      </c>
      <c r="P241" s="43" t="s">
        <v>711</v>
      </c>
      <c r="Q241" s="43" t="s">
        <v>379</v>
      </c>
      <c r="R241" s="43" t="s">
        <v>713</v>
      </c>
      <c r="S241" s="43" t="s">
        <v>385</v>
      </c>
      <c r="T241" s="43">
        <v>10</v>
      </c>
      <c r="U241" s="43">
        <v>11.049300000000001</v>
      </c>
      <c r="V241" s="28">
        <v>1.133E-7</v>
      </c>
      <c r="W241" s="43" t="s">
        <v>913</v>
      </c>
      <c r="X241" s="43" t="s">
        <v>65</v>
      </c>
    </row>
    <row r="242" spans="2:24" x14ac:dyDescent="0.2">
      <c r="B242" s="43" t="s">
        <v>281</v>
      </c>
      <c r="C242" s="43">
        <v>149</v>
      </c>
      <c r="D242" s="43" t="s">
        <v>714</v>
      </c>
      <c r="E242" s="43" t="s">
        <v>106</v>
      </c>
      <c r="F242" s="43" t="s">
        <v>715</v>
      </c>
      <c r="G242" s="43" t="s">
        <v>383</v>
      </c>
      <c r="H242" s="43">
        <v>60</v>
      </c>
      <c r="I242" s="43">
        <v>-51.319600000000001</v>
      </c>
      <c r="J242" s="28">
        <v>-4.5620000000000002E-7</v>
      </c>
      <c r="K242" s="43" t="s">
        <v>913</v>
      </c>
      <c r="L242" s="43" t="s">
        <v>65</v>
      </c>
      <c r="N242" s="43" t="s">
        <v>281</v>
      </c>
      <c r="O242" s="43">
        <v>149</v>
      </c>
      <c r="P242" s="43" t="s">
        <v>714</v>
      </c>
      <c r="Q242" s="43" t="s">
        <v>379</v>
      </c>
      <c r="R242" s="43" t="s">
        <v>715</v>
      </c>
      <c r="S242" s="43" t="s">
        <v>383</v>
      </c>
      <c r="T242" s="43">
        <v>10</v>
      </c>
      <c r="U242" s="43">
        <v>-51.304000000000002</v>
      </c>
      <c r="V242" s="28">
        <v>-4.5600000000000001E-7</v>
      </c>
      <c r="W242" s="43" t="s">
        <v>913</v>
      </c>
      <c r="X242" s="43" t="s">
        <v>65</v>
      </c>
    </row>
    <row r="243" spans="2:24" x14ac:dyDescent="0.2">
      <c r="B243" s="43" t="s">
        <v>281</v>
      </c>
      <c r="C243" s="43">
        <v>149</v>
      </c>
      <c r="D243" s="43" t="s">
        <v>714</v>
      </c>
      <c r="E243" s="43" t="s">
        <v>106</v>
      </c>
      <c r="F243" s="43" t="s">
        <v>716</v>
      </c>
      <c r="G243" s="43" t="s">
        <v>385</v>
      </c>
      <c r="H243" s="43">
        <v>60</v>
      </c>
      <c r="I243" s="43">
        <v>-49.473599999999998</v>
      </c>
      <c r="J243" s="28">
        <v>-4.3980000000000001E-7</v>
      </c>
      <c r="K243" s="43" t="s">
        <v>913</v>
      </c>
      <c r="L243" s="43" t="s">
        <v>65</v>
      </c>
      <c r="N243" s="43" t="s">
        <v>281</v>
      </c>
      <c r="O243" s="43">
        <v>149</v>
      </c>
      <c r="P243" s="43" t="s">
        <v>714</v>
      </c>
      <c r="Q243" s="43" t="s">
        <v>379</v>
      </c>
      <c r="R243" s="43" t="s">
        <v>716</v>
      </c>
      <c r="S243" s="43" t="s">
        <v>385</v>
      </c>
      <c r="T243" s="43">
        <v>10</v>
      </c>
      <c r="U243" s="43">
        <v>-49.491999999999997</v>
      </c>
      <c r="V243" s="28">
        <v>-4.3990000000000001E-7</v>
      </c>
      <c r="W243" s="43" t="s">
        <v>913</v>
      </c>
      <c r="X243" s="43" t="s">
        <v>65</v>
      </c>
    </row>
    <row r="244" spans="2:24" x14ac:dyDescent="0.2">
      <c r="B244" s="43" t="s">
        <v>281</v>
      </c>
      <c r="C244" s="43">
        <v>152</v>
      </c>
      <c r="D244" s="43" t="s">
        <v>717</v>
      </c>
      <c r="E244" s="43" t="s">
        <v>106</v>
      </c>
      <c r="F244" s="43" t="s">
        <v>718</v>
      </c>
      <c r="G244" s="43" t="s">
        <v>383</v>
      </c>
      <c r="H244" s="43">
        <v>60</v>
      </c>
      <c r="I244" s="43">
        <v>-57.645200000000003</v>
      </c>
      <c r="J244" s="28">
        <v>-3.8869999999999998E-7</v>
      </c>
      <c r="K244" s="43" t="s">
        <v>913</v>
      </c>
      <c r="L244" s="43" t="s">
        <v>65</v>
      </c>
      <c r="N244" s="43" t="s">
        <v>281</v>
      </c>
      <c r="O244" s="43">
        <v>152</v>
      </c>
      <c r="P244" s="43" t="s">
        <v>717</v>
      </c>
      <c r="Q244" s="43" t="s">
        <v>379</v>
      </c>
      <c r="R244" s="43" t="s">
        <v>718</v>
      </c>
      <c r="S244" s="43" t="s">
        <v>383</v>
      </c>
      <c r="T244" s="43">
        <v>10</v>
      </c>
      <c r="U244" s="43">
        <v>-57.622799999999998</v>
      </c>
      <c r="V244" s="28">
        <v>-3.8860000000000003E-7</v>
      </c>
      <c r="W244" s="43" t="s">
        <v>913</v>
      </c>
      <c r="X244" s="43" t="s">
        <v>65</v>
      </c>
    </row>
    <row r="245" spans="2:24" x14ac:dyDescent="0.2">
      <c r="B245" s="43" t="s">
        <v>281</v>
      </c>
      <c r="C245" s="43">
        <v>152</v>
      </c>
      <c r="D245" s="43" t="s">
        <v>717</v>
      </c>
      <c r="E245" s="43" t="s">
        <v>106</v>
      </c>
      <c r="F245" s="43" t="s">
        <v>719</v>
      </c>
      <c r="G245" s="43" t="s">
        <v>385</v>
      </c>
      <c r="H245" s="43">
        <v>60</v>
      </c>
      <c r="I245" s="43">
        <v>-72.442599999999999</v>
      </c>
      <c r="J245" s="28">
        <v>-4.8849999999999996E-7</v>
      </c>
      <c r="K245" s="43" t="s">
        <v>913</v>
      </c>
      <c r="L245" s="43" t="s">
        <v>65</v>
      </c>
      <c r="N245" s="43" t="s">
        <v>281</v>
      </c>
      <c r="O245" s="43">
        <v>152</v>
      </c>
      <c r="P245" s="43" t="s">
        <v>717</v>
      </c>
      <c r="Q245" s="43" t="s">
        <v>379</v>
      </c>
      <c r="R245" s="43" t="s">
        <v>719</v>
      </c>
      <c r="S245" s="43" t="s">
        <v>385</v>
      </c>
      <c r="T245" s="43">
        <v>10</v>
      </c>
      <c r="U245" s="43">
        <v>-72.465100000000007</v>
      </c>
      <c r="V245" s="28">
        <v>-4.8869999999999998E-7</v>
      </c>
      <c r="W245" s="43" t="s">
        <v>913</v>
      </c>
      <c r="X245" s="43" t="s">
        <v>65</v>
      </c>
    </row>
    <row r="246" spans="2:24" x14ac:dyDescent="0.2">
      <c r="B246" s="43" t="s">
        <v>281</v>
      </c>
      <c r="C246" s="43">
        <v>155</v>
      </c>
      <c r="D246" s="43" t="s">
        <v>720</v>
      </c>
      <c r="E246" s="43" t="s">
        <v>106</v>
      </c>
      <c r="F246" s="43" t="s">
        <v>721</v>
      </c>
      <c r="G246" s="43" t="s">
        <v>383</v>
      </c>
      <c r="H246" s="43">
        <v>60</v>
      </c>
      <c r="I246" s="43">
        <v>-66.472800000000007</v>
      </c>
      <c r="J246" s="28">
        <v>-4.6979999999999998E-7</v>
      </c>
      <c r="K246" s="43" t="s">
        <v>913</v>
      </c>
      <c r="L246" s="43" t="s">
        <v>65</v>
      </c>
      <c r="N246" s="43" t="s">
        <v>281</v>
      </c>
      <c r="O246" s="43">
        <v>155</v>
      </c>
      <c r="P246" s="43" t="s">
        <v>720</v>
      </c>
      <c r="Q246" s="43" t="s">
        <v>379</v>
      </c>
      <c r="R246" s="43" t="s">
        <v>721</v>
      </c>
      <c r="S246" s="43" t="s">
        <v>383</v>
      </c>
      <c r="T246" s="43">
        <v>10</v>
      </c>
      <c r="U246" s="43">
        <v>-66.450800000000001</v>
      </c>
      <c r="V246" s="28">
        <v>-4.6969999999999998E-7</v>
      </c>
      <c r="W246" s="43" t="s">
        <v>913</v>
      </c>
      <c r="X246" s="43" t="s">
        <v>65</v>
      </c>
    </row>
    <row r="247" spans="2:24" x14ac:dyDescent="0.2">
      <c r="B247" s="43" t="s">
        <v>281</v>
      </c>
      <c r="C247" s="43">
        <v>155</v>
      </c>
      <c r="D247" s="43" t="s">
        <v>720</v>
      </c>
      <c r="E247" s="43" t="s">
        <v>106</v>
      </c>
      <c r="F247" s="43" t="s">
        <v>722</v>
      </c>
      <c r="G247" s="43" t="s">
        <v>385</v>
      </c>
      <c r="H247" s="43">
        <v>60</v>
      </c>
      <c r="I247" s="43">
        <v>-57.171500000000002</v>
      </c>
      <c r="J247" s="28">
        <v>-4.0410000000000003E-7</v>
      </c>
      <c r="K247" s="43" t="s">
        <v>913</v>
      </c>
      <c r="L247" s="43" t="s">
        <v>65</v>
      </c>
      <c r="N247" s="43" t="s">
        <v>281</v>
      </c>
      <c r="O247" s="43">
        <v>155</v>
      </c>
      <c r="P247" s="43" t="s">
        <v>720</v>
      </c>
      <c r="Q247" s="43" t="s">
        <v>379</v>
      </c>
      <c r="R247" s="43" t="s">
        <v>722</v>
      </c>
      <c r="S247" s="43" t="s">
        <v>385</v>
      </c>
      <c r="T247" s="43">
        <v>10</v>
      </c>
      <c r="U247" s="43">
        <v>-57.192399999999999</v>
      </c>
      <c r="V247" s="28">
        <v>-4.0429999999999999E-7</v>
      </c>
      <c r="W247" s="43" t="s">
        <v>913</v>
      </c>
      <c r="X247" s="43" t="s">
        <v>65</v>
      </c>
    </row>
    <row r="248" spans="2:24" x14ac:dyDescent="0.2">
      <c r="B248" s="43" t="s">
        <v>281</v>
      </c>
      <c r="C248" s="43">
        <v>158</v>
      </c>
      <c r="D248" s="43" t="s">
        <v>723</v>
      </c>
      <c r="E248" s="43" t="s">
        <v>106</v>
      </c>
      <c r="F248" s="43" t="s">
        <v>724</v>
      </c>
      <c r="G248" s="43" t="s">
        <v>383</v>
      </c>
      <c r="H248" s="43">
        <v>60</v>
      </c>
      <c r="I248" s="43">
        <v>-66.2179</v>
      </c>
      <c r="J248" s="28">
        <v>-4.6800000000000001E-7</v>
      </c>
      <c r="K248" s="43" t="s">
        <v>913</v>
      </c>
      <c r="L248" s="43" t="s">
        <v>65</v>
      </c>
      <c r="N248" s="43" t="s">
        <v>281</v>
      </c>
      <c r="O248" s="43">
        <v>158</v>
      </c>
      <c r="P248" s="43" t="s">
        <v>723</v>
      </c>
      <c r="Q248" s="43" t="s">
        <v>379</v>
      </c>
      <c r="R248" s="43" t="s">
        <v>724</v>
      </c>
      <c r="S248" s="43" t="s">
        <v>383</v>
      </c>
      <c r="T248" s="43">
        <v>10</v>
      </c>
      <c r="U248" s="43">
        <v>-66.195800000000006</v>
      </c>
      <c r="V248" s="28">
        <v>-4.679E-7</v>
      </c>
      <c r="W248" s="43" t="s">
        <v>913</v>
      </c>
      <c r="X248" s="43" t="s">
        <v>65</v>
      </c>
    </row>
    <row r="249" spans="2:24" x14ac:dyDescent="0.2">
      <c r="B249" s="43" t="s">
        <v>281</v>
      </c>
      <c r="C249" s="43">
        <v>158</v>
      </c>
      <c r="D249" s="43" t="s">
        <v>723</v>
      </c>
      <c r="E249" s="43" t="s">
        <v>106</v>
      </c>
      <c r="F249" s="43" t="s">
        <v>725</v>
      </c>
      <c r="G249" s="43" t="s">
        <v>385</v>
      </c>
      <c r="H249" s="43">
        <v>60</v>
      </c>
      <c r="I249" s="43">
        <v>-57.32</v>
      </c>
      <c r="J249" s="28">
        <v>-4.052E-7</v>
      </c>
      <c r="K249" s="43" t="s">
        <v>913</v>
      </c>
      <c r="L249" s="43" t="s">
        <v>65</v>
      </c>
      <c r="N249" s="43" t="s">
        <v>281</v>
      </c>
      <c r="O249" s="43">
        <v>158</v>
      </c>
      <c r="P249" s="43" t="s">
        <v>723</v>
      </c>
      <c r="Q249" s="43" t="s">
        <v>379</v>
      </c>
      <c r="R249" s="43" t="s">
        <v>725</v>
      </c>
      <c r="S249" s="43" t="s">
        <v>385</v>
      </c>
      <c r="T249" s="43">
        <v>10</v>
      </c>
      <c r="U249" s="43">
        <v>-57.340899999999998</v>
      </c>
      <c r="V249" s="28">
        <v>-4.0530000000000001E-7</v>
      </c>
      <c r="W249" s="43" t="s">
        <v>913</v>
      </c>
      <c r="X249" s="43" t="s">
        <v>65</v>
      </c>
    </row>
    <row r="250" spans="2:24" x14ac:dyDescent="0.2">
      <c r="B250" s="43" t="s">
        <v>281</v>
      </c>
      <c r="C250" s="43">
        <v>161</v>
      </c>
      <c r="D250" s="43" t="s">
        <v>726</v>
      </c>
      <c r="E250" s="43" t="s">
        <v>106</v>
      </c>
      <c r="F250" s="43" t="s">
        <v>727</v>
      </c>
      <c r="G250" s="43" t="s">
        <v>383</v>
      </c>
      <c r="H250" s="43">
        <v>60</v>
      </c>
      <c r="I250" s="43">
        <v>-57.091799999999999</v>
      </c>
      <c r="J250" s="28">
        <v>-3.8500000000000002E-7</v>
      </c>
      <c r="K250" s="43" t="s">
        <v>913</v>
      </c>
      <c r="L250" s="43" t="s">
        <v>65</v>
      </c>
      <c r="N250" s="43" t="s">
        <v>281</v>
      </c>
      <c r="O250" s="43">
        <v>161</v>
      </c>
      <c r="P250" s="43" t="s">
        <v>726</v>
      </c>
      <c r="Q250" s="43" t="s">
        <v>379</v>
      </c>
      <c r="R250" s="43" t="s">
        <v>727</v>
      </c>
      <c r="S250" s="43" t="s">
        <v>383</v>
      </c>
      <c r="T250" s="43">
        <v>10</v>
      </c>
      <c r="U250" s="43">
        <v>-57.070500000000003</v>
      </c>
      <c r="V250" s="28">
        <v>-3.848E-7</v>
      </c>
      <c r="W250" s="43" t="s">
        <v>913</v>
      </c>
      <c r="X250" s="43" t="s">
        <v>65</v>
      </c>
    </row>
    <row r="251" spans="2:24" x14ac:dyDescent="0.2">
      <c r="B251" s="43" t="s">
        <v>281</v>
      </c>
      <c r="C251" s="43">
        <v>161</v>
      </c>
      <c r="D251" s="43" t="s">
        <v>726</v>
      </c>
      <c r="E251" s="43" t="s">
        <v>106</v>
      </c>
      <c r="F251" s="43" t="s">
        <v>728</v>
      </c>
      <c r="G251" s="43" t="s">
        <v>385</v>
      </c>
      <c r="H251" s="43">
        <v>60</v>
      </c>
      <c r="I251" s="43">
        <v>-71.999799999999993</v>
      </c>
      <c r="J251" s="28">
        <v>-4.8550000000000005E-7</v>
      </c>
      <c r="K251" s="43" t="s">
        <v>913</v>
      </c>
      <c r="L251" s="43" t="s">
        <v>65</v>
      </c>
      <c r="N251" s="43" t="s">
        <v>281</v>
      </c>
      <c r="O251" s="43">
        <v>161</v>
      </c>
      <c r="P251" s="43" t="s">
        <v>726</v>
      </c>
      <c r="Q251" s="43" t="s">
        <v>379</v>
      </c>
      <c r="R251" s="43" t="s">
        <v>728</v>
      </c>
      <c r="S251" s="43" t="s">
        <v>385</v>
      </c>
      <c r="T251" s="43">
        <v>10</v>
      </c>
      <c r="U251" s="43">
        <v>-72.021000000000001</v>
      </c>
      <c r="V251" s="28">
        <v>-4.8569999999999996E-7</v>
      </c>
      <c r="W251" s="43" t="s">
        <v>913</v>
      </c>
      <c r="X251" s="43" t="s">
        <v>65</v>
      </c>
    </row>
    <row r="252" spans="2:24" x14ac:dyDescent="0.2">
      <c r="B252" s="43" t="s">
        <v>281</v>
      </c>
      <c r="C252" s="43">
        <v>164</v>
      </c>
      <c r="D252" s="43" t="s">
        <v>729</v>
      </c>
      <c r="E252" s="43" t="s">
        <v>106</v>
      </c>
      <c r="F252" s="43" t="s">
        <v>730</v>
      </c>
      <c r="G252" s="43" t="s">
        <v>383</v>
      </c>
      <c r="H252" s="43">
        <v>60</v>
      </c>
      <c r="I252" s="43">
        <v>-44.802799999999998</v>
      </c>
      <c r="J252" s="28">
        <v>-3.9820000000000001E-7</v>
      </c>
      <c r="K252" s="43" t="s">
        <v>913</v>
      </c>
      <c r="L252" s="43" t="s">
        <v>65</v>
      </c>
      <c r="N252" s="43" t="s">
        <v>281</v>
      </c>
      <c r="O252" s="43">
        <v>164</v>
      </c>
      <c r="P252" s="43" t="s">
        <v>729</v>
      </c>
      <c r="Q252" s="43" t="s">
        <v>379</v>
      </c>
      <c r="R252" s="43" t="s">
        <v>730</v>
      </c>
      <c r="S252" s="43" t="s">
        <v>383</v>
      </c>
      <c r="T252" s="43">
        <v>10</v>
      </c>
      <c r="U252" s="43">
        <v>-44.7866</v>
      </c>
      <c r="V252" s="28">
        <v>-3.981E-7</v>
      </c>
      <c r="W252" s="43" t="s">
        <v>913</v>
      </c>
      <c r="X252" s="43" t="s">
        <v>65</v>
      </c>
    </row>
    <row r="253" spans="2:24" x14ac:dyDescent="0.2">
      <c r="B253" s="43" t="s">
        <v>281</v>
      </c>
      <c r="C253" s="43">
        <v>164</v>
      </c>
      <c r="D253" s="43" t="s">
        <v>729</v>
      </c>
      <c r="E253" s="43" t="s">
        <v>106</v>
      </c>
      <c r="F253" s="43" t="s">
        <v>731</v>
      </c>
      <c r="G253" s="43" t="s">
        <v>385</v>
      </c>
      <c r="H253" s="43">
        <v>60</v>
      </c>
      <c r="I253" s="43">
        <v>-42.445900000000002</v>
      </c>
      <c r="J253" s="28">
        <v>-3.7730000000000002E-7</v>
      </c>
      <c r="K253" s="43" t="s">
        <v>913</v>
      </c>
      <c r="L253" s="43" t="s">
        <v>65</v>
      </c>
      <c r="N253" s="43" t="s">
        <v>281</v>
      </c>
      <c r="O253" s="43">
        <v>164</v>
      </c>
      <c r="P253" s="43" t="s">
        <v>729</v>
      </c>
      <c r="Q253" s="43" t="s">
        <v>379</v>
      </c>
      <c r="R253" s="43" t="s">
        <v>731</v>
      </c>
      <c r="S253" s="43" t="s">
        <v>385</v>
      </c>
      <c r="T253" s="43">
        <v>10</v>
      </c>
      <c r="U253" s="43">
        <v>-42.459600000000002</v>
      </c>
      <c r="V253" s="28">
        <v>-3.7739999999999998E-7</v>
      </c>
      <c r="W253" s="43" t="s">
        <v>913</v>
      </c>
      <c r="X253" s="43" t="s">
        <v>65</v>
      </c>
    </row>
    <row r="254" spans="2:24" x14ac:dyDescent="0.2">
      <c r="B254" s="43" t="s">
        <v>281</v>
      </c>
      <c r="C254" s="43">
        <v>172</v>
      </c>
      <c r="D254" s="43" t="s">
        <v>732</v>
      </c>
      <c r="E254" s="43" t="s">
        <v>106</v>
      </c>
      <c r="F254" s="43" t="s">
        <v>733</v>
      </c>
      <c r="G254" s="43" t="s">
        <v>383</v>
      </c>
      <c r="H254" s="43">
        <v>60</v>
      </c>
      <c r="I254" s="43">
        <v>-67.194400000000002</v>
      </c>
      <c r="J254" s="28">
        <v>-9.9999999999999995E-7</v>
      </c>
      <c r="K254" s="43" t="s">
        <v>913</v>
      </c>
      <c r="L254" s="43" t="s">
        <v>65</v>
      </c>
      <c r="N254" s="43" t="s">
        <v>281</v>
      </c>
      <c r="O254" s="43">
        <v>172</v>
      </c>
      <c r="P254" s="43" t="s">
        <v>732</v>
      </c>
      <c r="Q254" s="43" t="s">
        <v>379</v>
      </c>
      <c r="R254" s="43" t="s">
        <v>733</v>
      </c>
      <c r="S254" s="43" t="s">
        <v>383</v>
      </c>
      <c r="T254" s="43">
        <v>10</v>
      </c>
      <c r="U254" s="43">
        <v>-67.210099999999997</v>
      </c>
      <c r="V254" s="28">
        <v>-9.9999999999999995E-7</v>
      </c>
      <c r="W254" s="43" t="s">
        <v>913</v>
      </c>
      <c r="X254" s="43" t="s">
        <v>65</v>
      </c>
    </row>
    <row r="255" spans="2:24" x14ac:dyDescent="0.2">
      <c r="B255" s="43" t="s">
        <v>281</v>
      </c>
      <c r="C255" s="43">
        <v>172</v>
      </c>
      <c r="D255" s="43" t="s">
        <v>732</v>
      </c>
      <c r="E255" s="43" t="s">
        <v>106</v>
      </c>
      <c r="F255" s="43" t="s">
        <v>734</v>
      </c>
      <c r="G255" s="43" t="s">
        <v>385</v>
      </c>
      <c r="H255" s="43">
        <v>60</v>
      </c>
      <c r="I255" s="43">
        <v>18.996700000000001</v>
      </c>
      <c r="J255" s="28">
        <v>1.4180000000000001E-7</v>
      </c>
      <c r="K255" s="43" t="s">
        <v>913</v>
      </c>
      <c r="L255" s="43" t="s">
        <v>65</v>
      </c>
      <c r="N255" s="43" t="s">
        <v>281</v>
      </c>
      <c r="O255" s="43">
        <v>172</v>
      </c>
      <c r="P255" s="43" t="s">
        <v>732</v>
      </c>
      <c r="Q255" s="43" t="s">
        <v>379</v>
      </c>
      <c r="R255" s="43" t="s">
        <v>734</v>
      </c>
      <c r="S255" s="43" t="s">
        <v>385</v>
      </c>
      <c r="T255" s="43">
        <v>10</v>
      </c>
      <c r="U255" s="43">
        <v>19.011800000000001</v>
      </c>
      <c r="V255" s="28">
        <v>1.42E-7</v>
      </c>
      <c r="W255" s="43" t="s">
        <v>913</v>
      </c>
      <c r="X255" s="43" t="s">
        <v>65</v>
      </c>
    </row>
    <row r="256" spans="2:24" x14ac:dyDescent="0.2">
      <c r="B256" s="43" t="s">
        <v>281</v>
      </c>
      <c r="C256" s="43">
        <v>173</v>
      </c>
      <c r="D256" s="43" t="s">
        <v>735</v>
      </c>
      <c r="E256" s="43" t="s">
        <v>106</v>
      </c>
      <c r="F256" s="43" t="s">
        <v>736</v>
      </c>
      <c r="G256" s="43" t="s">
        <v>383</v>
      </c>
      <c r="H256" s="43">
        <v>60</v>
      </c>
      <c r="I256" s="43">
        <v>-55.812600000000003</v>
      </c>
      <c r="J256" s="28">
        <v>-4.1670000000000002E-7</v>
      </c>
      <c r="K256" s="43" t="s">
        <v>913</v>
      </c>
      <c r="L256" s="43" t="s">
        <v>65</v>
      </c>
      <c r="N256" s="43" t="s">
        <v>281</v>
      </c>
      <c r="O256" s="43">
        <v>173</v>
      </c>
      <c r="P256" s="43" t="s">
        <v>735</v>
      </c>
      <c r="Q256" s="43" t="s">
        <v>379</v>
      </c>
      <c r="R256" s="43" t="s">
        <v>736</v>
      </c>
      <c r="S256" s="43" t="s">
        <v>383</v>
      </c>
      <c r="T256" s="43">
        <v>10</v>
      </c>
      <c r="U256" s="43">
        <v>-55.828800000000001</v>
      </c>
      <c r="V256" s="28">
        <v>-4.1689999999999998E-7</v>
      </c>
      <c r="W256" s="43" t="s">
        <v>913</v>
      </c>
      <c r="X256" s="43" t="s">
        <v>65</v>
      </c>
    </row>
    <row r="257" spans="2:24" x14ac:dyDescent="0.2">
      <c r="B257" s="43" t="s">
        <v>281</v>
      </c>
      <c r="C257" s="43">
        <v>173</v>
      </c>
      <c r="D257" s="43" t="s">
        <v>735</v>
      </c>
      <c r="E257" s="43" t="s">
        <v>106</v>
      </c>
      <c r="F257" s="43" t="s">
        <v>737</v>
      </c>
      <c r="G257" s="43" t="s">
        <v>385</v>
      </c>
      <c r="H257" s="43">
        <v>60</v>
      </c>
      <c r="I257" s="43">
        <v>10.460599999999999</v>
      </c>
      <c r="J257" s="28">
        <v>7.8110000000000003E-8</v>
      </c>
      <c r="K257" s="43" t="s">
        <v>913</v>
      </c>
      <c r="L257" s="43" t="s">
        <v>65</v>
      </c>
      <c r="N257" s="43" t="s">
        <v>281</v>
      </c>
      <c r="O257" s="43">
        <v>173</v>
      </c>
      <c r="P257" s="43" t="s">
        <v>735</v>
      </c>
      <c r="Q257" s="43" t="s">
        <v>379</v>
      </c>
      <c r="R257" s="43" t="s">
        <v>737</v>
      </c>
      <c r="S257" s="43" t="s">
        <v>385</v>
      </c>
      <c r="T257" s="43">
        <v>10</v>
      </c>
      <c r="U257" s="43">
        <v>10.476900000000001</v>
      </c>
      <c r="V257" s="28">
        <v>7.8230000000000006E-8</v>
      </c>
      <c r="W257" s="43" t="s">
        <v>913</v>
      </c>
      <c r="X257" s="43" t="s">
        <v>65</v>
      </c>
    </row>
    <row r="258" spans="2:24" x14ac:dyDescent="0.2">
      <c r="B258" s="43" t="s">
        <v>281</v>
      </c>
      <c r="C258" s="43">
        <v>174</v>
      </c>
      <c r="D258" s="43" t="s">
        <v>735</v>
      </c>
      <c r="E258" s="43" t="s">
        <v>106</v>
      </c>
      <c r="F258" s="43" t="s">
        <v>738</v>
      </c>
      <c r="G258" s="43" t="s">
        <v>383</v>
      </c>
      <c r="H258" s="43">
        <v>60</v>
      </c>
      <c r="I258" s="43">
        <v>-64.701599999999999</v>
      </c>
      <c r="J258" s="28">
        <v>-9.9999999999999995E-7</v>
      </c>
      <c r="K258" s="43" t="s">
        <v>913</v>
      </c>
      <c r="L258" s="43" t="s">
        <v>65</v>
      </c>
      <c r="N258" s="43" t="s">
        <v>281</v>
      </c>
      <c r="O258" s="43">
        <v>174</v>
      </c>
      <c r="P258" s="43" t="s">
        <v>735</v>
      </c>
      <c r="Q258" s="43" t="s">
        <v>379</v>
      </c>
      <c r="R258" s="43" t="s">
        <v>738</v>
      </c>
      <c r="S258" s="43" t="s">
        <v>383</v>
      </c>
      <c r="T258" s="43">
        <v>10</v>
      </c>
      <c r="U258" s="43">
        <v>-64.715800000000002</v>
      </c>
      <c r="V258" s="28">
        <v>-9.9999999999999995E-7</v>
      </c>
      <c r="W258" s="43" t="s">
        <v>913</v>
      </c>
      <c r="X258" s="43" t="s">
        <v>65</v>
      </c>
    </row>
    <row r="259" spans="2:24" x14ac:dyDescent="0.2">
      <c r="B259" s="43" t="s">
        <v>281</v>
      </c>
      <c r="C259" s="43">
        <v>174</v>
      </c>
      <c r="D259" s="43" t="s">
        <v>735</v>
      </c>
      <c r="E259" s="43" t="s">
        <v>106</v>
      </c>
      <c r="F259" s="43" t="s">
        <v>739</v>
      </c>
      <c r="G259" s="43" t="s">
        <v>385</v>
      </c>
      <c r="H259" s="43">
        <v>60</v>
      </c>
      <c r="I259" s="43">
        <v>7.6901999999999999</v>
      </c>
      <c r="J259" s="28">
        <v>6.0699999999999994E-8</v>
      </c>
      <c r="K259" s="43" t="s">
        <v>913</v>
      </c>
      <c r="L259" s="43" t="s">
        <v>65</v>
      </c>
      <c r="N259" s="43" t="s">
        <v>281</v>
      </c>
      <c r="O259" s="43">
        <v>174</v>
      </c>
      <c r="P259" s="43" t="s">
        <v>735</v>
      </c>
      <c r="Q259" s="43" t="s">
        <v>379</v>
      </c>
      <c r="R259" s="43" t="s">
        <v>739</v>
      </c>
      <c r="S259" s="43" t="s">
        <v>385</v>
      </c>
      <c r="T259" s="43">
        <v>10</v>
      </c>
      <c r="U259" s="43">
        <v>7.7045000000000003</v>
      </c>
      <c r="V259" s="28">
        <v>6.081E-8</v>
      </c>
      <c r="W259" s="43" t="s">
        <v>913</v>
      </c>
      <c r="X259" s="43" t="s">
        <v>65</v>
      </c>
    </row>
    <row r="260" spans="2:24" x14ac:dyDescent="0.2">
      <c r="B260" s="43" t="s">
        <v>281</v>
      </c>
      <c r="C260" s="43">
        <v>175</v>
      </c>
      <c r="D260" s="43" t="s">
        <v>735</v>
      </c>
      <c r="E260" s="43" t="s">
        <v>106</v>
      </c>
      <c r="F260" s="43" t="s">
        <v>740</v>
      </c>
      <c r="G260" s="43" t="s">
        <v>383</v>
      </c>
      <c r="H260" s="43">
        <v>60</v>
      </c>
      <c r="I260" s="43">
        <v>-66.203400000000002</v>
      </c>
      <c r="J260" s="28">
        <v>-4.9429999999999997E-7</v>
      </c>
      <c r="K260" s="43" t="s">
        <v>913</v>
      </c>
      <c r="L260" s="43" t="s">
        <v>65</v>
      </c>
      <c r="N260" s="43" t="s">
        <v>281</v>
      </c>
      <c r="O260" s="43">
        <v>175</v>
      </c>
      <c r="P260" s="43" t="s">
        <v>735</v>
      </c>
      <c r="Q260" s="43" t="s">
        <v>379</v>
      </c>
      <c r="R260" s="43" t="s">
        <v>740</v>
      </c>
      <c r="S260" s="43" t="s">
        <v>383</v>
      </c>
      <c r="T260" s="43">
        <v>10</v>
      </c>
      <c r="U260" s="43">
        <v>-66.218000000000004</v>
      </c>
      <c r="V260" s="28">
        <v>-4.9439999999999998E-7</v>
      </c>
      <c r="W260" s="43" t="s">
        <v>913</v>
      </c>
      <c r="X260" s="43" t="s">
        <v>65</v>
      </c>
    </row>
    <row r="261" spans="2:24" x14ac:dyDescent="0.2">
      <c r="B261" s="43" t="s">
        <v>281</v>
      </c>
      <c r="C261" s="43">
        <v>175</v>
      </c>
      <c r="D261" s="43" t="s">
        <v>735</v>
      </c>
      <c r="E261" s="43" t="s">
        <v>106</v>
      </c>
      <c r="F261" s="43" t="s">
        <v>741</v>
      </c>
      <c r="G261" s="43" t="s">
        <v>385</v>
      </c>
      <c r="H261" s="43">
        <v>60</v>
      </c>
      <c r="I261" s="43">
        <v>18.4801</v>
      </c>
      <c r="J261" s="28">
        <v>1.3799999999999999E-7</v>
      </c>
      <c r="K261" s="43" t="s">
        <v>913</v>
      </c>
      <c r="L261" s="43" t="s">
        <v>65</v>
      </c>
      <c r="N261" s="43" t="s">
        <v>281</v>
      </c>
      <c r="O261" s="43">
        <v>175</v>
      </c>
      <c r="P261" s="43" t="s">
        <v>735</v>
      </c>
      <c r="Q261" s="43" t="s">
        <v>379</v>
      </c>
      <c r="R261" s="43" t="s">
        <v>741</v>
      </c>
      <c r="S261" s="43" t="s">
        <v>385</v>
      </c>
      <c r="T261" s="43">
        <v>10</v>
      </c>
      <c r="U261" s="43">
        <v>18.494599999999998</v>
      </c>
      <c r="V261" s="28">
        <v>1.381E-7</v>
      </c>
      <c r="W261" s="43" t="s">
        <v>913</v>
      </c>
      <c r="X261" s="43" t="s">
        <v>65</v>
      </c>
    </row>
    <row r="262" spans="2:24" x14ac:dyDescent="0.2">
      <c r="B262" s="43" t="s">
        <v>281</v>
      </c>
      <c r="C262" s="43">
        <v>176</v>
      </c>
      <c r="D262" s="43" t="s">
        <v>742</v>
      </c>
      <c r="E262" s="43" t="s">
        <v>106</v>
      </c>
      <c r="F262" s="43" t="s">
        <v>743</v>
      </c>
      <c r="G262" s="43" t="s">
        <v>383</v>
      </c>
      <c r="H262" s="43">
        <v>60</v>
      </c>
      <c r="I262" s="43">
        <v>-56.932200000000002</v>
      </c>
      <c r="J262" s="28">
        <v>-4.2510000000000001E-7</v>
      </c>
      <c r="K262" s="43" t="s">
        <v>913</v>
      </c>
      <c r="L262" s="43" t="s">
        <v>65</v>
      </c>
      <c r="N262" s="43" t="s">
        <v>281</v>
      </c>
      <c r="O262" s="43">
        <v>176</v>
      </c>
      <c r="P262" s="43" t="s">
        <v>742</v>
      </c>
      <c r="Q262" s="43" t="s">
        <v>379</v>
      </c>
      <c r="R262" s="43" t="s">
        <v>743</v>
      </c>
      <c r="S262" s="43" t="s">
        <v>383</v>
      </c>
      <c r="T262" s="43">
        <v>10</v>
      </c>
      <c r="U262" s="43">
        <v>-56.948900000000002</v>
      </c>
      <c r="V262" s="28">
        <v>-4.2520000000000002E-7</v>
      </c>
      <c r="W262" s="43" t="s">
        <v>913</v>
      </c>
      <c r="X262" s="43" t="s">
        <v>65</v>
      </c>
    </row>
    <row r="263" spans="2:24" x14ac:dyDescent="0.2">
      <c r="B263" s="43" t="s">
        <v>281</v>
      </c>
      <c r="C263" s="43">
        <v>176</v>
      </c>
      <c r="D263" s="43" t="s">
        <v>742</v>
      </c>
      <c r="E263" s="43" t="s">
        <v>106</v>
      </c>
      <c r="F263" s="43" t="s">
        <v>744</v>
      </c>
      <c r="G263" s="43" t="s">
        <v>385</v>
      </c>
      <c r="H263" s="43">
        <v>60</v>
      </c>
      <c r="I263" s="43">
        <v>14.460699999999999</v>
      </c>
      <c r="J263" s="28">
        <v>1.08E-7</v>
      </c>
      <c r="K263" s="43" t="s">
        <v>913</v>
      </c>
      <c r="L263" s="43" t="s">
        <v>65</v>
      </c>
      <c r="N263" s="43" t="s">
        <v>281</v>
      </c>
      <c r="O263" s="43">
        <v>176</v>
      </c>
      <c r="P263" s="43" t="s">
        <v>742</v>
      </c>
      <c r="Q263" s="43" t="s">
        <v>379</v>
      </c>
      <c r="R263" s="43" t="s">
        <v>744</v>
      </c>
      <c r="S263" s="43" t="s">
        <v>385</v>
      </c>
      <c r="T263" s="43">
        <v>10</v>
      </c>
      <c r="U263" s="43">
        <v>14.478300000000001</v>
      </c>
      <c r="V263" s="28">
        <v>1.081E-7</v>
      </c>
      <c r="W263" s="43" t="s">
        <v>913</v>
      </c>
      <c r="X263" s="43" t="s">
        <v>65</v>
      </c>
    </row>
    <row r="264" spans="2:24" x14ac:dyDescent="0.2">
      <c r="B264" s="43" t="s">
        <v>281</v>
      </c>
      <c r="C264" s="43">
        <v>150</v>
      </c>
      <c r="D264" s="43" t="s">
        <v>745</v>
      </c>
      <c r="E264" s="43" t="s">
        <v>106</v>
      </c>
      <c r="F264" s="43" t="s">
        <v>746</v>
      </c>
      <c r="G264" s="43" t="s">
        <v>383</v>
      </c>
      <c r="H264" s="43">
        <v>60</v>
      </c>
      <c r="I264" s="43">
        <v>-46.512300000000003</v>
      </c>
      <c r="J264" s="28">
        <v>-3.9840000000000002E-7</v>
      </c>
      <c r="K264" s="43" t="s">
        <v>913</v>
      </c>
      <c r="L264" s="43" t="s">
        <v>65</v>
      </c>
      <c r="N264" s="43" t="s">
        <v>281</v>
      </c>
      <c r="O264" s="43">
        <v>150</v>
      </c>
      <c r="P264" s="43" t="s">
        <v>745</v>
      </c>
      <c r="Q264" s="43" t="s">
        <v>379</v>
      </c>
      <c r="R264" s="43" t="s">
        <v>746</v>
      </c>
      <c r="S264" s="43" t="s">
        <v>383</v>
      </c>
      <c r="T264" s="43">
        <v>10</v>
      </c>
      <c r="U264" s="43">
        <v>-46.495800000000003</v>
      </c>
      <c r="V264" s="28">
        <v>-3.9830000000000001E-7</v>
      </c>
      <c r="W264" s="43" t="s">
        <v>913</v>
      </c>
      <c r="X264" s="43" t="s">
        <v>65</v>
      </c>
    </row>
    <row r="265" spans="2:24" x14ac:dyDescent="0.2">
      <c r="B265" s="43" t="s">
        <v>281</v>
      </c>
      <c r="C265" s="43">
        <v>150</v>
      </c>
      <c r="D265" s="43" t="s">
        <v>745</v>
      </c>
      <c r="E265" s="43" t="s">
        <v>106</v>
      </c>
      <c r="F265" s="43" t="s">
        <v>747</v>
      </c>
      <c r="G265" s="43" t="s">
        <v>385</v>
      </c>
      <c r="H265" s="43">
        <v>60</v>
      </c>
      <c r="I265" s="43">
        <v>-46.428800000000003</v>
      </c>
      <c r="J265" s="28">
        <v>-3.9770000000000002E-7</v>
      </c>
      <c r="K265" s="43" t="s">
        <v>913</v>
      </c>
      <c r="L265" s="43" t="s">
        <v>65</v>
      </c>
      <c r="N265" s="43" t="s">
        <v>281</v>
      </c>
      <c r="O265" s="43">
        <v>150</v>
      </c>
      <c r="P265" s="43" t="s">
        <v>745</v>
      </c>
      <c r="Q265" s="43" t="s">
        <v>379</v>
      </c>
      <c r="R265" s="43" t="s">
        <v>747</v>
      </c>
      <c r="S265" s="43" t="s">
        <v>385</v>
      </c>
      <c r="T265" s="43">
        <v>10</v>
      </c>
      <c r="U265" s="43">
        <v>-46.447800000000001</v>
      </c>
      <c r="V265" s="28">
        <v>-3.9789999999999998E-7</v>
      </c>
      <c r="W265" s="43" t="s">
        <v>913</v>
      </c>
      <c r="X265" s="43" t="s">
        <v>65</v>
      </c>
    </row>
    <row r="266" spans="2:24" x14ac:dyDescent="0.2">
      <c r="B266" s="43" t="s">
        <v>281</v>
      </c>
      <c r="C266" s="43">
        <v>153</v>
      </c>
      <c r="D266" s="43" t="s">
        <v>748</v>
      </c>
      <c r="E266" s="43" t="s">
        <v>106</v>
      </c>
      <c r="F266" s="43" t="s">
        <v>749</v>
      </c>
      <c r="G266" s="43" t="s">
        <v>383</v>
      </c>
      <c r="H266" s="43">
        <v>60</v>
      </c>
      <c r="I266" s="43">
        <v>-73.026399999999995</v>
      </c>
      <c r="J266" s="28">
        <v>-4.8790000000000002E-7</v>
      </c>
      <c r="K266" s="43" t="s">
        <v>913</v>
      </c>
      <c r="L266" s="43" t="s">
        <v>65</v>
      </c>
      <c r="N266" s="43" t="s">
        <v>281</v>
      </c>
      <c r="O266" s="43">
        <v>153</v>
      </c>
      <c r="P266" s="43" t="s">
        <v>748</v>
      </c>
      <c r="Q266" s="43" t="s">
        <v>379</v>
      </c>
      <c r="R266" s="43" t="s">
        <v>749</v>
      </c>
      <c r="S266" s="43" t="s">
        <v>383</v>
      </c>
      <c r="T266" s="43">
        <v>10</v>
      </c>
      <c r="U266" s="43">
        <v>-73.004999999999995</v>
      </c>
      <c r="V266" s="28">
        <v>-4.8780000000000001E-7</v>
      </c>
      <c r="W266" s="43" t="s">
        <v>913</v>
      </c>
      <c r="X266" s="43" t="s">
        <v>65</v>
      </c>
    </row>
    <row r="267" spans="2:24" x14ac:dyDescent="0.2">
      <c r="B267" s="43" t="s">
        <v>281</v>
      </c>
      <c r="C267" s="43">
        <v>153</v>
      </c>
      <c r="D267" s="43" t="s">
        <v>748</v>
      </c>
      <c r="E267" s="43" t="s">
        <v>106</v>
      </c>
      <c r="F267" s="43" t="s">
        <v>750</v>
      </c>
      <c r="G267" s="43" t="s">
        <v>385</v>
      </c>
      <c r="H267" s="43">
        <v>60</v>
      </c>
      <c r="I267" s="43">
        <v>-72.972200000000001</v>
      </c>
      <c r="J267" s="28">
        <v>-4.876E-7</v>
      </c>
      <c r="K267" s="43" t="s">
        <v>913</v>
      </c>
      <c r="L267" s="43" t="s">
        <v>65</v>
      </c>
      <c r="N267" s="43" t="s">
        <v>281</v>
      </c>
      <c r="O267" s="43">
        <v>153</v>
      </c>
      <c r="P267" s="43" t="s">
        <v>748</v>
      </c>
      <c r="Q267" s="43" t="s">
        <v>379</v>
      </c>
      <c r="R267" s="43" t="s">
        <v>750</v>
      </c>
      <c r="S267" s="43" t="s">
        <v>385</v>
      </c>
      <c r="T267" s="43">
        <v>10</v>
      </c>
      <c r="U267" s="43">
        <v>-72.994200000000006</v>
      </c>
      <c r="V267" s="28">
        <v>-4.8770000000000001E-7</v>
      </c>
      <c r="W267" s="43" t="s">
        <v>913</v>
      </c>
      <c r="X267" s="43" t="s">
        <v>65</v>
      </c>
    </row>
    <row r="268" spans="2:24" x14ac:dyDescent="0.2">
      <c r="B268" s="43" t="s">
        <v>281</v>
      </c>
      <c r="C268" s="43">
        <v>156</v>
      </c>
      <c r="D268" s="43" t="s">
        <v>751</v>
      </c>
      <c r="E268" s="43" t="s">
        <v>106</v>
      </c>
      <c r="F268" s="43" t="s">
        <v>752</v>
      </c>
      <c r="G268" s="43" t="s">
        <v>383</v>
      </c>
      <c r="H268" s="43">
        <v>60</v>
      </c>
      <c r="I268" s="43">
        <v>-56.825299999999999</v>
      </c>
      <c r="J268" s="28">
        <v>-3.8710000000000002E-7</v>
      </c>
      <c r="K268" s="43" t="s">
        <v>913</v>
      </c>
      <c r="L268" s="43" t="s">
        <v>65</v>
      </c>
      <c r="N268" s="43" t="s">
        <v>281</v>
      </c>
      <c r="O268" s="43">
        <v>156</v>
      </c>
      <c r="P268" s="43" t="s">
        <v>751</v>
      </c>
      <c r="Q268" s="43" t="s">
        <v>379</v>
      </c>
      <c r="R268" s="43" t="s">
        <v>752</v>
      </c>
      <c r="S268" s="43" t="s">
        <v>383</v>
      </c>
      <c r="T268" s="43">
        <v>10</v>
      </c>
      <c r="U268" s="43">
        <v>-56.803899999999999</v>
      </c>
      <c r="V268" s="28">
        <v>-3.869E-7</v>
      </c>
      <c r="W268" s="43" t="s">
        <v>913</v>
      </c>
      <c r="X268" s="43" t="s">
        <v>65</v>
      </c>
    </row>
    <row r="269" spans="2:24" x14ac:dyDescent="0.2">
      <c r="B269" s="43" t="s">
        <v>281</v>
      </c>
      <c r="C269" s="43">
        <v>156</v>
      </c>
      <c r="D269" s="43" t="s">
        <v>751</v>
      </c>
      <c r="E269" s="43" t="s">
        <v>106</v>
      </c>
      <c r="F269" s="43" t="s">
        <v>753</v>
      </c>
      <c r="G269" s="43" t="s">
        <v>385</v>
      </c>
      <c r="H269" s="43">
        <v>60</v>
      </c>
      <c r="I269" s="43">
        <v>-56.819600000000001</v>
      </c>
      <c r="J269" s="28">
        <v>-3.8700000000000001E-7</v>
      </c>
      <c r="K269" s="43" t="s">
        <v>913</v>
      </c>
      <c r="L269" s="43" t="s">
        <v>65</v>
      </c>
      <c r="N269" s="43" t="s">
        <v>281</v>
      </c>
      <c r="O269" s="43">
        <v>156</v>
      </c>
      <c r="P269" s="43" t="s">
        <v>751</v>
      </c>
      <c r="Q269" s="43" t="s">
        <v>379</v>
      </c>
      <c r="R269" s="43" t="s">
        <v>753</v>
      </c>
      <c r="S269" s="43" t="s">
        <v>385</v>
      </c>
      <c r="T269" s="43">
        <v>10</v>
      </c>
      <c r="U269" s="43">
        <v>-56.840499999999999</v>
      </c>
      <c r="V269" s="28">
        <v>-3.8720000000000003E-7</v>
      </c>
      <c r="W269" s="43" t="s">
        <v>913</v>
      </c>
      <c r="X269" s="43" t="s">
        <v>65</v>
      </c>
    </row>
    <row r="270" spans="2:24" x14ac:dyDescent="0.2">
      <c r="B270" s="43" t="s">
        <v>281</v>
      </c>
      <c r="C270" s="43">
        <v>159</v>
      </c>
      <c r="D270" s="43" t="s">
        <v>754</v>
      </c>
      <c r="E270" s="43" t="s">
        <v>106</v>
      </c>
      <c r="F270" s="43" t="s">
        <v>755</v>
      </c>
      <c r="G270" s="43" t="s">
        <v>383</v>
      </c>
      <c r="H270" s="43">
        <v>60</v>
      </c>
      <c r="I270" s="43">
        <v>-57.335999999999999</v>
      </c>
      <c r="J270" s="28">
        <v>-3.9050000000000001E-7</v>
      </c>
      <c r="K270" s="43" t="s">
        <v>913</v>
      </c>
      <c r="L270" s="43" t="s">
        <v>65</v>
      </c>
      <c r="N270" s="43" t="s">
        <v>281</v>
      </c>
      <c r="O270" s="43">
        <v>159</v>
      </c>
      <c r="P270" s="43" t="s">
        <v>754</v>
      </c>
      <c r="Q270" s="43" t="s">
        <v>379</v>
      </c>
      <c r="R270" s="43" t="s">
        <v>755</v>
      </c>
      <c r="S270" s="43" t="s">
        <v>383</v>
      </c>
      <c r="T270" s="43">
        <v>10</v>
      </c>
      <c r="U270" s="43">
        <v>-57.315300000000001</v>
      </c>
      <c r="V270" s="28">
        <v>-3.904E-7</v>
      </c>
      <c r="W270" s="43" t="s">
        <v>913</v>
      </c>
      <c r="X270" s="43" t="s">
        <v>65</v>
      </c>
    </row>
    <row r="271" spans="2:24" x14ac:dyDescent="0.2">
      <c r="B271" s="43" t="s">
        <v>281</v>
      </c>
      <c r="C271" s="43">
        <v>159</v>
      </c>
      <c r="D271" s="43" t="s">
        <v>754</v>
      </c>
      <c r="E271" s="43" t="s">
        <v>106</v>
      </c>
      <c r="F271" s="43" t="s">
        <v>756</v>
      </c>
      <c r="G271" s="43" t="s">
        <v>385</v>
      </c>
      <c r="H271" s="43">
        <v>60</v>
      </c>
      <c r="I271" s="43">
        <v>-57.378900000000002</v>
      </c>
      <c r="J271" s="28">
        <v>-3.9079999999999998E-7</v>
      </c>
      <c r="K271" s="43" t="s">
        <v>913</v>
      </c>
      <c r="L271" s="43" t="s">
        <v>65</v>
      </c>
      <c r="N271" s="43" t="s">
        <v>281</v>
      </c>
      <c r="O271" s="43">
        <v>159</v>
      </c>
      <c r="P271" s="43" t="s">
        <v>754</v>
      </c>
      <c r="Q271" s="43" t="s">
        <v>379</v>
      </c>
      <c r="R271" s="43" t="s">
        <v>756</v>
      </c>
      <c r="S271" s="43" t="s">
        <v>385</v>
      </c>
      <c r="T271" s="43">
        <v>10</v>
      </c>
      <c r="U271" s="43">
        <v>-57.399799999999999</v>
      </c>
      <c r="V271" s="28">
        <v>-3.9099999999999999E-7</v>
      </c>
      <c r="W271" s="43" t="s">
        <v>913</v>
      </c>
      <c r="X271" s="43" t="s">
        <v>65</v>
      </c>
    </row>
    <row r="272" spans="2:24" x14ac:dyDescent="0.2">
      <c r="B272" s="43" t="s">
        <v>281</v>
      </c>
      <c r="C272" s="43">
        <v>162</v>
      </c>
      <c r="D272" s="43" t="s">
        <v>757</v>
      </c>
      <c r="E272" s="43" t="s">
        <v>106</v>
      </c>
      <c r="F272" s="43" t="s">
        <v>758</v>
      </c>
      <c r="G272" s="43" t="s">
        <v>383</v>
      </c>
      <c r="H272" s="43">
        <v>60</v>
      </c>
      <c r="I272" s="43">
        <v>-72.727199999999996</v>
      </c>
      <c r="J272" s="28">
        <v>-4.8589999999999998E-7</v>
      </c>
      <c r="K272" s="43" t="s">
        <v>913</v>
      </c>
      <c r="L272" s="43" t="s">
        <v>65</v>
      </c>
      <c r="N272" s="43" t="s">
        <v>281</v>
      </c>
      <c r="O272" s="43">
        <v>162</v>
      </c>
      <c r="P272" s="43" t="s">
        <v>757</v>
      </c>
      <c r="Q272" s="43" t="s">
        <v>379</v>
      </c>
      <c r="R272" s="43" t="s">
        <v>758</v>
      </c>
      <c r="S272" s="43" t="s">
        <v>383</v>
      </c>
      <c r="T272" s="43">
        <v>10</v>
      </c>
      <c r="U272" s="43">
        <v>-72.706999999999994</v>
      </c>
      <c r="V272" s="28">
        <v>-4.8579999999999997E-7</v>
      </c>
      <c r="W272" s="43" t="s">
        <v>913</v>
      </c>
      <c r="X272" s="43" t="s">
        <v>65</v>
      </c>
    </row>
    <row r="273" spans="2:24" x14ac:dyDescent="0.2">
      <c r="B273" s="43" t="s">
        <v>281</v>
      </c>
      <c r="C273" s="43">
        <v>162</v>
      </c>
      <c r="D273" s="43" t="s">
        <v>757</v>
      </c>
      <c r="E273" s="43" t="s">
        <v>106</v>
      </c>
      <c r="F273" s="43" t="s">
        <v>759</v>
      </c>
      <c r="G273" s="43" t="s">
        <v>385</v>
      </c>
      <c r="H273" s="43">
        <v>60</v>
      </c>
      <c r="I273" s="43">
        <v>-72.804599999999994</v>
      </c>
      <c r="J273" s="28">
        <v>-4.8640000000000001E-7</v>
      </c>
      <c r="K273" s="43" t="s">
        <v>913</v>
      </c>
      <c r="L273" s="43" t="s">
        <v>65</v>
      </c>
      <c r="N273" s="43" t="s">
        <v>281</v>
      </c>
      <c r="O273" s="43">
        <v>162</v>
      </c>
      <c r="P273" s="43" t="s">
        <v>757</v>
      </c>
      <c r="Q273" s="43" t="s">
        <v>379</v>
      </c>
      <c r="R273" s="43" t="s">
        <v>759</v>
      </c>
      <c r="S273" s="43" t="s">
        <v>385</v>
      </c>
      <c r="T273" s="43">
        <v>10</v>
      </c>
      <c r="U273" s="43">
        <v>-72.825199999999995</v>
      </c>
      <c r="V273" s="28">
        <v>-4.8660000000000003E-7</v>
      </c>
      <c r="W273" s="43" t="s">
        <v>913</v>
      </c>
      <c r="X273" s="43" t="s">
        <v>65</v>
      </c>
    </row>
    <row r="274" spans="2:24" x14ac:dyDescent="0.2">
      <c r="B274" s="43" t="s">
        <v>281</v>
      </c>
      <c r="C274" s="43">
        <v>165</v>
      </c>
      <c r="D274" s="43" t="s">
        <v>760</v>
      </c>
      <c r="E274" s="43" t="s">
        <v>106</v>
      </c>
      <c r="F274" s="43" t="s">
        <v>761</v>
      </c>
      <c r="G274" s="43" t="s">
        <v>383</v>
      </c>
      <c r="H274" s="43">
        <v>60</v>
      </c>
      <c r="I274" s="43">
        <v>-39.706400000000002</v>
      </c>
      <c r="J274" s="28">
        <v>-3.4009999999999998E-7</v>
      </c>
      <c r="K274" s="43" t="s">
        <v>913</v>
      </c>
      <c r="L274" s="43" t="s">
        <v>65</v>
      </c>
      <c r="N274" s="43" t="s">
        <v>281</v>
      </c>
      <c r="O274" s="43">
        <v>165</v>
      </c>
      <c r="P274" s="43" t="s">
        <v>760</v>
      </c>
      <c r="Q274" s="43" t="s">
        <v>379</v>
      </c>
      <c r="R274" s="43" t="s">
        <v>761</v>
      </c>
      <c r="S274" s="43" t="s">
        <v>383</v>
      </c>
      <c r="T274" s="43">
        <v>10</v>
      </c>
      <c r="U274" s="43">
        <v>-39.688899999999997</v>
      </c>
      <c r="V274" s="28">
        <v>-3.3999999999999997E-7</v>
      </c>
      <c r="W274" s="43" t="s">
        <v>913</v>
      </c>
      <c r="X274" s="43" t="s">
        <v>65</v>
      </c>
    </row>
    <row r="275" spans="2:24" x14ac:dyDescent="0.2">
      <c r="B275" s="43" t="s">
        <v>281</v>
      </c>
      <c r="C275" s="43">
        <v>165</v>
      </c>
      <c r="D275" s="43" t="s">
        <v>760</v>
      </c>
      <c r="E275" s="43" t="s">
        <v>106</v>
      </c>
      <c r="F275" s="43" t="s">
        <v>762</v>
      </c>
      <c r="G275" s="43" t="s">
        <v>385</v>
      </c>
      <c r="H275" s="43">
        <v>60</v>
      </c>
      <c r="I275" s="43">
        <v>-39.814799999999998</v>
      </c>
      <c r="J275" s="28">
        <v>-3.41E-7</v>
      </c>
      <c r="K275" s="43" t="s">
        <v>913</v>
      </c>
      <c r="L275" s="43" t="s">
        <v>65</v>
      </c>
      <c r="N275" s="43" t="s">
        <v>281</v>
      </c>
      <c r="O275" s="43">
        <v>165</v>
      </c>
      <c r="P275" s="43" t="s">
        <v>760</v>
      </c>
      <c r="Q275" s="43" t="s">
        <v>379</v>
      </c>
      <c r="R275" s="43" t="s">
        <v>762</v>
      </c>
      <c r="S275" s="43" t="s">
        <v>385</v>
      </c>
      <c r="T275" s="43">
        <v>10</v>
      </c>
      <c r="U275" s="43">
        <v>-39.829500000000003</v>
      </c>
      <c r="V275" s="28">
        <v>-3.4120000000000001E-7</v>
      </c>
      <c r="W275" s="43" t="s">
        <v>913</v>
      </c>
      <c r="X275" s="43" t="s">
        <v>65</v>
      </c>
    </row>
    <row r="276" spans="2:24" x14ac:dyDescent="0.2">
      <c r="B276" s="43" t="s">
        <v>281</v>
      </c>
      <c r="C276" s="43">
        <v>177</v>
      </c>
      <c r="D276" s="43" t="s">
        <v>763</v>
      </c>
      <c r="E276" s="43" t="s">
        <v>106</v>
      </c>
      <c r="F276" s="43" t="s">
        <v>764</v>
      </c>
      <c r="G276" s="43" t="s">
        <v>383</v>
      </c>
      <c r="H276" s="43">
        <v>60</v>
      </c>
      <c r="I276" s="43">
        <v>-67.226200000000006</v>
      </c>
      <c r="J276" s="28">
        <v>-9.9999999999999995E-7</v>
      </c>
      <c r="K276" s="43" t="s">
        <v>913</v>
      </c>
      <c r="L276" s="43" t="s">
        <v>65</v>
      </c>
      <c r="N276" s="43" t="s">
        <v>281</v>
      </c>
      <c r="O276" s="43">
        <v>177</v>
      </c>
      <c r="P276" s="43" t="s">
        <v>763</v>
      </c>
      <c r="Q276" s="43" t="s">
        <v>379</v>
      </c>
      <c r="R276" s="43" t="s">
        <v>764</v>
      </c>
      <c r="S276" s="43" t="s">
        <v>383</v>
      </c>
      <c r="T276" s="43">
        <v>10</v>
      </c>
      <c r="U276" s="43">
        <v>-67.241399999999999</v>
      </c>
      <c r="V276" s="28">
        <v>-9.9999999999999995E-7</v>
      </c>
      <c r="W276" s="43" t="s">
        <v>913</v>
      </c>
      <c r="X276" s="43" t="s">
        <v>65</v>
      </c>
    </row>
    <row r="277" spans="2:24" x14ac:dyDescent="0.2">
      <c r="B277" s="43" t="s">
        <v>281</v>
      </c>
      <c r="C277" s="43">
        <v>177</v>
      </c>
      <c r="D277" s="43" t="s">
        <v>763</v>
      </c>
      <c r="E277" s="43" t="s">
        <v>106</v>
      </c>
      <c r="F277" s="43" t="s">
        <v>765</v>
      </c>
      <c r="G277" s="43" t="s">
        <v>385</v>
      </c>
      <c r="H277" s="43">
        <v>60</v>
      </c>
      <c r="I277" s="43">
        <v>19.027000000000001</v>
      </c>
      <c r="J277" s="28">
        <v>1.4210000000000001E-7</v>
      </c>
      <c r="K277" s="43" t="s">
        <v>913</v>
      </c>
      <c r="L277" s="43" t="s">
        <v>65</v>
      </c>
      <c r="N277" s="43" t="s">
        <v>281</v>
      </c>
      <c r="O277" s="43">
        <v>177</v>
      </c>
      <c r="P277" s="43" t="s">
        <v>763</v>
      </c>
      <c r="Q277" s="43" t="s">
        <v>379</v>
      </c>
      <c r="R277" s="43" t="s">
        <v>765</v>
      </c>
      <c r="S277" s="43" t="s">
        <v>385</v>
      </c>
      <c r="T277" s="43">
        <v>10</v>
      </c>
      <c r="U277" s="43">
        <v>19.041499999999999</v>
      </c>
      <c r="V277" s="28">
        <v>1.4219999999999999E-7</v>
      </c>
      <c r="W277" s="43" t="s">
        <v>913</v>
      </c>
      <c r="X277" s="43" t="s">
        <v>65</v>
      </c>
    </row>
    <row r="278" spans="2:24" x14ac:dyDescent="0.2">
      <c r="B278" s="43" t="s">
        <v>281</v>
      </c>
      <c r="C278" s="43">
        <v>178</v>
      </c>
      <c r="D278" s="43" t="s">
        <v>766</v>
      </c>
      <c r="E278" s="43" t="s">
        <v>106</v>
      </c>
      <c r="F278" s="43" t="s">
        <v>767</v>
      </c>
      <c r="G278" s="43" t="s">
        <v>383</v>
      </c>
      <c r="H278" s="43">
        <v>60</v>
      </c>
      <c r="I278" s="43">
        <v>-55.843000000000004</v>
      </c>
      <c r="J278" s="28">
        <v>-4.1699999999999999E-7</v>
      </c>
      <c r="K278" s="43" t="s">
        <v>913</v>
      </c>
      <c r="L278" s="43" t="s">
        <v>65</v>
      </c>
      <c r="N278" s="43" t="s">
        <v>281</v>
      </c>
      <c r="O278" s="43">
        <v>178</v>
      </c>
      <c r="P278" s="43" t="s">
        <v>766</v>
      </c>
      <c r="Q278" s="43" t="s">
        <v>379</v>
      </c>
      <c r="R278" s="43" t="s">
        <v>767</v>
      </c>
      <c r="S278" s="43" t="s">
        <v>383</v>
      </c>
      <c r="T278" s="43">
        <v>10</v>
      </c>
      <c r="U278" s="43">
        <v>-55.858600000000003</v>
      </c>
      <c r="V278" s="28">
        <v>-4.171E-7</v>
      </c>
      <c r="W278" s="43" t="s">
        <v>913</v>
      </c>
      <c r="X278" s="43" t="s">
        <v>65</v>
      </c>
    </row>
    <row r="279" spans="2:24" x14ac:dyDescent="0.2">
      <c r="B279" s="43" t="s">
        <v>281</v>
      </c>
      <c r="C279" s="43">
        <v>178</v>
      </c>
      <c r="D279" s="43" t="s">
        <v>766</v>
      </c>
      <c r="E279" s="43" t="s">
        <v>106</v>
      </c>
      <c r="F279" s="43" t="s">
        <v>768</v>
      </c>
      <c r="G279" s="43" t="s">
        <v>385</v>
      </c>
      <c r="H279" s="43">
        <v>60</v>
      </c>
      <c r="I279" s="43">
        <v>10.491400000000001</v>
      </c>
      <c r="J279" s="28">
        <v>7.8339999999999999E-8</v>
      </c>
      <c r="K279" s="43" t="s">
        <v>913</v>
      </c>
      <c r="L279" s="43" t="s">
        <v>65</v>
      </c>
      <c r="N279" s="43" t="s">
        <v>281</v>
      </c>
      <c r="O279" s="43">
        <v>178</v>
      </c>
      <c r="P279" s="43" t="s">
        <v>766</v>
      </c>
      <c r="Q279" s="43" t="s">
        <v>379</v>
      </c>
      <c r="R279" s="43" t="s">
        <v>768</v>
      </c>
      <c r="S279" s="43" t="s">
        <v>385</v>
      </c>
      <c r="T279" s="43">
        <v>10</v>
      </c>
      <c r="U279" s="43">
        <v>10.507199999999999</v>
      </c>
      <c r="V279" s="28">
        <v>7.8450000000000004E-8</v>
      </c>
      <c r="W279" s="43" t="s">
        <v>913</v>
      </c>
      <c r="X279" s="43" t="s">
        <v>65</v>
      </c>
    </row>
    <row r="280" spans="2:24" x14ac:dyDescent="0.2">
      <c r="B280" s="43" t="s">
        <v>281</v>
      </c>
      <c r="C280" s="43">
        <v>179</v>
      </c>
      <c r="D280" s="43" t="s">
        <v>766</v>
      </c>
      <c r="E280" s="43" t="s">
        <v>106</v>
      </c>
      <c r="F280" s="43" t="s">
        <v>769</v>
      </c>
      <c r="G280" s="43" t="s">
        <v>383</v>
      </c>
      <c r="H280" s="43">
        <v>60</v>
      </c>
      <c r="I280" s="43">
        <v>-64.730699999999999</v>
      </c>
      <c r="J280" s="28">
        <v>-9.9999999999999995E-7</v>
      </c>
      <c r="K280" s="43" t="s">
        <v>913</v>
      </c>
      <c r="L280" s="43" t="s">
        <v>65</v>
      </c>
      <c r="N280" s="43" t="s">
        <v>281</v>
      </c>
      <c r="O280" s="43">
        <v>179</v>
      </c>
      <c r="P280" s="43" t="s">
        <v>766</v>
      </c>
      <c r="Q280" s="43" t="s">
        <v>379</v>
      </c>
      <c r="R280" s="43" t="s">
        <v>769</v>
      </c>
      <c r="S280" s="43" t="s">
        <v>383</v>
      </c>
      <c r="T280" s="43">
        <v>10</v>
      </c>
      <c r="U280" s="43">
        <v>-64.744399999999999</v>
      </c>
      <c r="V280" s="28">
        <v>-9.9999999999999995E-7</v>
      </c>
      <c r="W280" s="43" t="s">
        <v>913</v>
      </c>
      <c r="X280" s="43" t="s">
        <v>65</v>
      </c>
    </row>
    <row r="281" spans="2:24" x14ac:dyDescent="0.2">
      <c r="B281" s="43" t="s">
        <v>281</v>
      </c>
      <c r="C281" s="43">
        <v>179</v>
      </c>
      <c r="D281" s="43" t="s">
        <v>766</v>
      </c>
      <c r="E281" s="43" t="s">
        <v>106</v>
      </c>
      <c r="F281" s="43" t="s">
        <v>770</v>
      </c>
      <c r="G281" s="43" t="s">
        <v>385</v>
      </c>
      <c r="H281" s="43">
        <v>60</v>
      </c>
      <c r="I281" s="43">
        <v>7.7191999999999998</v>
      </c>
      <c r="J281" s="28">
        <v>6.0930000000000004E-8</v>
      </c>
      <c r="K281" s="43" t="s">
        <v>913</v>
      </c>
      <c r="L281" s="43" t="s">
        <v>65</v>
      </c>
      <c r="N281" s="43" t="s">
        <v>281</v>
      </c>
      <c r="O281" s="43">
        <v>179</v>
      </c>
      <c r="P281" s="43" t="s">
        <v>766</v>
      </c>
      <c r="Q281" s="43" t="s">
        <v>379</v>
      </c>
      <c r="R281" s="43" t="s">
        <v>770</v>
      </c>
      <c r="S281" s="43" t="s">
        <v>385</v>
      </c>
      <c r="T281" s="43">
        <v>10</v>
      </c>
      <c r="U281" s="43">
        <v>7.7328999999999999</v>
      </c>
      <c r="V281" s="28">
        <v>6.1039999999999996E-8</v>
      </c>
      <c r="W281" s="43" t="s">
        <v>913</v>
      </c>
      <c r="X281" s="43" t="s">
        <v>65</v>
      </c>
    </row>
    <row r="282" spans="2:24" x14ac:dyDescent="0.2">
      <c r="B282" s="43" t="s">
        <v>281</v>
      </c>
      <c r="C282" s="43">
        <v>180</v>
      </c>
      <c r="D282" s="43" t="s">
        <v>766</v>
      </c>
      <c r="E282" s="43" t="s">
        <v>106</v>
      </c>
      <c r="F282" s="43" t="s">
        <v>771</v>
      </c>
      <c r="G282" s="43" t="s">
        <v>383</v>
      </c>
      <c r="H282" s="43">
        <v>60</v>
      </c>
      <c r="I282" s="43">
        <v>-66.235200000000006</v>
      </c>
      <c r="J282" s="28">
        <v>-4.946E-7</v>
      </c>
      <c r="K282" s="43" t="s">
        <v>913</v>
      </c>
      <c r="L282" s="43" t="s">
        <v>65</v>
      </c>
      <c r="N282" s="43" t="s">
        <v>281</v>
      </c>
      <c r="O282" s="43">
        <v>180</v>
      </c>
      <c r="P282" s="43" t="s">
        <v>766</v>
      </c>
      <c r="Q282" s="43" t="s">
        <v>379</v>
      </c>
      <c r="R282" s="43" t="s">
        <v>771</v>
      </c>
      <c r="S282" s="43" t="s">
        <v>383</v>
      </c>
      <c r="T282" s="43">
        <v>10</v>
      </c>
      <c r="U282" s="43">
        <v>-66.249300000000005</v>
      </c>
      <c r="V282" s="28">
        <v>-4.947E-7</v>
      </c>
      <c r="W282" s="43" t="s">
        <v>913</v>
      </c>
      <c r="X282" s="43" t="s">
        <v>65</v>
      </c>
    </row>
    <row r="283" spans="2:24" x14ac:dyDescent="0.2">
      <c r="B283" s="43" t="s">
        <v>281</v>
      </c>
      <c r="C283" s="43">
        <v>180</v>
      </c>
      <c r="D283" s="43" t="s">
        <v>766</v>
      </c>
      <c r="E283" s="43" t="s">
        <v>106</v>
      </c>
      <c r="F283" s="43" t="s">
        <v>772</v>
      </c>
      <c r="G283" s="43" t="s">
        <v>385</v>
      </c>
      <c r="H283" s="43">
        <v>60</v>
      </c>
      <c r="I283" s="43">
        <v>18.513000000000002</v>
      </c>
      <c r="J283" s="28">
        <v>1.3820000000000001E-7</v>
      </c>
      <c r="K283" s="43" t="s">
        <v>913</v>
      </c>
      <c r="L283" s="43" t="s">
        <v>65</v>
      </c>
      <c r="N283" s="43" t="s">
        <v>281</v>
      </c>
      <c r="O283" s="43">
        <v>180</v>
      </c>
      <c r="P283" s="43" t="s">
        <v>766</v>
      </c>
      <c r="Q283" s="43" t="s">
        <v>379</v>
      </c>
      <c r="R283" s="43" t="s">
        <v>772</v>
      </c>
      <c r="S283" s="43" t="s">
        <v>385</v>
      </c>
      <c r="T283" s="43">
        <v>10</v>
      </c>
      <c r="U283" s="43">
        <v>18.527000000000001</v>
      </c>
      <c r="V283" s="28">
        <v>1.3829999999999999E-7</v>
      </c>
      <c r="W283" s="43" t="s">
        <v>913</v>
      </c>
      <c r="X283" s="43" t="s">
        <v>65</v>
      </c>
    </row>
    <row r="284" spans="2:24" x14ac:dyDescent="0.2">
      <c r="B284" s="43" t="s">
        <v>281</v>
      </c>
      <c r="C284" s="43">
        <v>181</v>
      </c>
      <c r="D284" s="43" t="s">
        <v>773</v>
      </c>
      <c r="E284" s="43" t="s">
        <v>106</v>
      </c>
      <c r="F284" s="43" t="s">
        <v>774</v>
      </c>
      <c r="G284" s="43" t="s">
        <v>383</v>
      </c>
      <c r="H284" s="43">
        <v>60</v>
      </c>
      <c r="I284" s="43">
        <v>-56.961500000000001</v>
      </c>
      <c r="J284" s="28">
        <v>-4.2529999999999998E-7</v>
      </c>
      <c r="K284" s="43" t="s">
        <v>913</v>
      </c>
      <c r="L284" s="43" t="s">
        <v>65</v>
      </c>
      <c r="N284" s="43" t="s">
        <v>281</v>
      </c>
      <c r="O284" s="43">
        <v>181</v>
      </c>
      <c r="P284" s="43" t="s">
        <v>773</v>
      </c>
      <c r="Q284" s="43" t="s">
        <v>379</v>
      </c>
      <c r="R284" s="43" t="s">
        <v>774</v>
      </c>
      <c r="S284" s="43" t="s">
        <v>383</v>
      </c>
      <c r="T284" s="43">
        <v>10</v>
      </c>
      <c r="U284" s="43">
        <v>-56.977600000000002</v>
      </c>
      <c r="V284" s="28">
        <v>-4.2539999999999998E-7</v>
      </c>
      <c r="W284" s="43" t="s">
        <v>913</v>
      </c>
      <c r="X284" s="43" t="s">
        <v>65</v>
      </c>
    </row>
    <row r="285" spans="2:24" x14ac:dyDescent="0.2">
      <c r="B285" s="43" t="s">
        <v>281</v>
      </c>
      <c r="C285" s="43">
        <v>181</v>
      </c>
      <c r="D285" s="43" t="s">
        <v>773</v>
      </c>
      <c r="E285" s="43" t="s">
        <v>106</v>
      </c>
      <c r="F285" s="43" t="s">
        <v>775</v>
      </c>
      <c r="G285" s="43" t="s">
        <v>385</v>
      </c>
      <c r="H285" s="43">
        <v>60</v>
      </c>
      <c r="I285" s="43">
        <v>14.484400000000001</v>
      </c>
      <c r="J285" s="28">
        <v>1.082E-7</v>
      </c>
      <c r="K285" s="43" t="s">
        <v>913</v>
      </c>
      <c r="L285" s="43" t="s">
        <v>65</v>
      </c>
      <c r="N285" s="43" t="s">
        <v>281</v>
      </c>
      <c r="O285" s="43">
        <v>181</v>
      </c>
      <c r="P285" s="43" t="s">
        <v>773</v>
      </c>
      <c r="Q285" s="43" t="s">
        <v>379</v>
      </c>
      <c r="R285" s="43" t="s">
        <v>775</v>
      </c>
      <c r="S285" s="43" t="s">
        <v>385</v>
      </c>
      <c r="T285" s="43">
        <v>10</v>
      </c>
      <c r="U285" s="43">
        <v>14.501300000000001</v>
      </c>
      <c r="V285" s="28">
        <v>1.083E-7</v>
      </c>
      <c r="W285" s="43" t="s">
        <v>913</v>
      </c>
      <c r="X285" s="43" t="s">
        <v>65</v>
      </c>
    </row>
    <row r="286" spans="2:24" x14ac:dyDescent="0.2">
      <c r="B286" s="43" t="s">
        <v>281</v>
      </c>
      <c r="C286" s="43">
        <v>151</v>
      </c>
      <c r="D286" s="43" t="s">
        <v>776</v>
      </c>
      <c r="E286" s="43" t="s">
        <v>106</v>
      </c>
      <c r="F286" s="43" t="s">
        <v>777</v>
      </c>
      <c r="G286" s="43" t="s">
        <v>383</v>
      </c>
      <c r="H286" s="43">
        <v>60</v>
      </c>
      <c r="I286" s="43">
        <v>-49.558599999999998</v>
      </c>
      <c r="J286" s="28">
        <v>-4.4050000000000001E-7</v>
      </c>
      <c r="K286" s="43" t="s">
        <v>913</v>
      </c>
      <c r="L286" s="43" t="s">
        <v>65</v>
      </c>
      <c r="N286" s="43" t="s">
        <v>281</v>
      </c>
      <c r="O286" s="43">
        <v>151</v>
      </c>
      <c r="P286" s="43" t="s">
        <v>776</v>
      </c>
      <c r="Q286" s="43" t="s">
        <v>379</v>
      </c>
      <c r="R286" s="43" t="s">
        <v>777</v>
      </c>
      <c r="S286" s="43" t="s">
        <v>383</v>
      </c>
      <c r="T286" s="43">
        <v>10</v>
      </c>
      <c r="U286" s="43">
        <v>-49.542700000000004</v>
      </c>
      <c r="V286" s="28">
        <v>-4.404E-7</v>
      </c>
      <c r="W286" s="43" t="s">
        <v>913</v>
      </c>
      <c r="X286" s="43" t="s">
        <v>65</v>
      </c>
    </row>
    <row r="287" spans="2:24" x14ac:dyDescent="0.2">
      <c r="B287" s="43" t="s">
        <v>281</v>
      </c>
      <c r="C287" s="43">
        <v>151</v>
      </c>
      <c r="D287" s="43" t="s">
        <v>776</v>
      </c>
      <c r="E287" s="43" t="s">
        <v>106</v>
      </c>
      <c r="F287" s="43" t="s">
        <v>778</v>
      </c>
      <c r="G287" s="43" t="s">
        <v>385</v>
      </c>
      <c r="H287" s="43">
        <v>60</v>
      </c>
      <c r="I287" s="43">
        <v>-51.247300000000003</v>
      </c>
      <c r="J287" s="28">
        <v>-4.5550000000000002E-7</v>
      </c>
      <c r="K287" s="43" t="s">
        <v>913</v>
      </c>
      <c r="L287" s="43" t="s">
        <v>65</v>
      </c>
      <c r="N287" s="43" t="s">
        <v>281</v>
      </c>
      <c r="O287" s="43">
        <v>151</v>
      </c>
      <c r="P287" s="43" t="s">
        <v>776</v>
      </c>
      <c r="Q287" s="43" t="s">
        <v>379</v>
      </c>
      <c r="R287" s="43" t="s">
        <v>778</v>
      </c>
      <c r="S287" s="43" t="s">
        <v>385</v>
      </c>
      <c r="T287" s="43">
        <v>10</v>
      </c>
      <c r="U287" s="43">
        <v>-51.265900000000002</v>
      </c>
      <c r="V287" s="28">
        <v>-4.5569999999999998E-7</v>
      </c>
      <c r="W287" s="43" t="s">
        <v>913</v>
      </c>
      <c r="X287" s="43" t="s">
        <v>65</v>
      </c>
    </row>
    <row r="288" spans="2:24" x14ac:dyDescent="0.2">
      <c r="B288" s="43" t="s">
        <v>281</v>
      </c>
      <c r="C288" s="43">
        <v>154</v>
      </c>
      <c r="D288" s="43" t="s">
        <v>779</v>
      </c>
      <c r="E288" s="43" t="s">
        <v>106</v>
      </c>
      <c r="F288" s="43" t="s">
        <v>780</v>
      </c>
      <c r="G288" s="43" t="s">
        <v>383</v>
      </c>
      <c r="H288" s="43">
        <v>60</v>
      </c>
      <c r="I288" s="43">
        <v>-72.498099999999994</v>
      </c>
      <c r="J288" s="28">
        <v>-4.8889999999999999E-7</v>
      </c>
      <c r="K288" s="43" t="s">
        <v>913</v>
      </c>
      <c r="L288" s="43" t="s">
        <v>65</v>
      </c>
      <c r="N288" s="43" t="s">
        <v>281</v>
      </c>
      <c r="O288" s="43">
        <v>154</v>
      </c>
      <c r="P288" s="43" t="s">
        <v>779</v>
      </c>
      <c r="Q288" s="43" t="s">
        <v>379</v>
      </c>
      <c r="R288" s="43" t="s">
        <v>780</v>
      </c>
      <c r="S288" s="43" t="s">
        <v>383</v>
      </c>
      <c r="T288" s="43">
        <v>10</v>
      </c>
      <c r="U288" s="43">
        <v>-72.477199999999996</v>
      </c>
      <c r="V288" s="28">
        <v>-4.8869999999999998E-7</v>
      </c>
      <c r="W288" s="43" t="s">
        <v>913</v>
      </c>
      <c r="X288" s="43" t="s">
        <v>65</v>
      </c>
    </row>
    <row r="289" spans="2:24" x14ac:dyDescent="0.2">
      <c r="B289" s="43" t="s">
        <v>281</v>
      </c>
      <c r="C289" s="43">
        <v>154</v>
      </c>
      <c r="D289" s="43" t="s">
        <v>779</v>
      </c>
      <c r="E289" s="43" t="s">
        <v>106</v>
      </c>
      <c r="F289" s="43" t="s">
        <v>781</v>
      </c>
      <c r="G289" s="43" t="s">
        <v>385</v>
      </c>
      <c r="H289" s="43">
        <v>60</v>
      </c>
      <c r="I289" s="43">
        <v>-57.589100000000002</v>
      </c>
      <c r="J289" s="28">
        <v>-3.883E-7</v>
      </c>
      <c r="K289" s="43" t="s">
        <v>913</v>
      </c>
      <c r="L289" s="43" t="s">
        <v>65</v>
      </c>
      <c r="N289" s="43" t="s">
        <v>281</v>
      </c>
      <c r="O289" s="43">
        <v>154</v>
      </c>
      <c r="P289" s="43" t="s">
        <v>779</v>
      </c>
      <c r="Q289" s="43" t="s">
        <v>379</v>
      </c>
      <c r="R289" s="43" t="s">
        <v>781</v>
      </c>
      <c r="S289" s="43" t="s">
        <v>385</v>
      </c>
      <c r="T289" s="43">
        <v>10</v>
      </c>
      <c r="U289" s="43">
        <v>-57.610700000000001</v>
      </c>
      <c r="V289" s="28">
        <v>-3.8850000000000002E-7</v>
      </c>
      <c r="W289" s="43" t="s">
        <v>913</v>
      </c>
      <c r="X289" s="43" t="s">
        <v>65</v>
      </c>
    </row>
    <row r="290" spans="2:24" x14ac:dyDescent="0.2">
      <c r="B290" s="43" t="s">
        <v>281</v>
      </c>
      <c r="C290" s="43">
        <v>157</v>
      </c>
      <c r="D290" s="43" t="s">
        <v>782</v>
      </c>
      <c r="E290" s="43" t="s">
        <v>106</v>
      </c>
      <c r="F290" s="43" t="s">
        <v>783</v>
      </c>
      <c r="G290" s="43" t="s">
        <v>383</v>
      </c>
      <c r="H290" s="43">
        <v>60</v>
      </c>
      <c r="I290" s="43">
        <v>-57.176699999999997</v>
      </c>
      <c r="J290" s="28">
        <v>-4.0410000000000003E-7</v>
      </c>
      <c r="K290" s="43" t="s">
        <v>913</v>
      </c>
      <c r="L290" s="43" t="s">
        <v>65</v>
      </c>
      <c r="N290" s="43" t="s">
        <v>281</v>
      </c>
      <c r="O290" s="43">
        <v>157</v>
      </c>
      <c r="P290" s="43" t="s">
        <v>782</v>
      </c>
      <c r="Q290" s="43" t="s">
        <v>379</v>
      </c>
      <c r="R290" s="43" t="s">
        <v>783</v>
      </c>
      <c r="S290" s="43" t="s">
        <v>383</v>
      </c>
      <c r="T290" s="43">
        <v>10</v>
      </c>
      <c r="U290" s="43">
        <v>-57.155999999999999</v>
      </c>
      <c r="V290" s="28">
        <v>-4.0400000000000002E-7</v>
      </c>
      <c r="W290" s="43" t="s">
        <v>913</v>
      </c>
      <c r="X290" s="43" t="s">
        <v>65</v>
      </c>
    </row>
    <row r="291" spans="2:24" x14ac:dyDescent="0.2">
      <c r="B291" s="43" t="s">
        <v>281</v>
      </c>
      <c r="C291" s="43">
        <v>157</v>
      </c>
      <c r="D291" s="43" t="s">
        <v>782</v>
      </c>
      <c r="E291" s="43" t="s">
        <v>106</v>
      </c>
      <c r="F291" s="43" t="s">
        <v>784</v>
      </c>
      <c r="G291" s="43" t="s">
        <v>385</v>
      </c>
      <c r="H291" s="43">
        <v>60</v>
      </c>
      <c r="I291" s="43">
        <v>-66.468299999999999</v>
      </c>
      <c r="J291" s="28">
        <v>-4.6979999999999998E-7</v>
      </c>
      <c r="K291" s="43" t="s">
        <v>913</v>
      </c>
      <c r="L291" s="43" t="s">
        <v>65</v>
      </c>
      <c r="N291" s="43" t="s">
        <v>281</v>
      </c>
      <c r="O291" s="43">
        <v>157</v>
      </c>
      <c r="P291" s="43" t="s">
        <v>782</v>
      </c>
      <c r="Q291" s="43" t="s">
        <v>379</v>
      </c>
      <c r="R291" s="43" t="s">
        <v>784</v>
      </c>
      <c r="S291" s="43" t="s">
        <v>385</v>
      </c>
      <c r="T291" s="43">
        <v>10</v>
      </c>
      <c r="U291" s="43">
        <v>-66.489400000000003</v>
      </c>
      <c r="V291" s="28">
        <v>-4.7E-7</v>
      </c>
      <c r="W291" s="43" t="s">
        <v>913</v>
      </c>
      <c r="X291" s="43" t="s">
        <v>65</v>
      </c>
    </row>
    <row r="292" spans="2:24" x14ac:dyDescent="0.2">
      <c r="B292" s="43" t="s">
        <v>281</v>
      </c>
      <c r="C292" s="43">
        <v>160</v>
      </c>
      <c r="D292" s="43" t="s">
        <v>785</v>
      </c>
      <c r="E292" s="43" t="s">
        <v>106</v>
      </c>
      <c r="F292" s="43" t="s">
        <v>786</v>
      </c>
      <c r="G292" s="43" t="s">
        <v>383</v>
      </c>
      <c r="H292" s="43">
        <v>60</v>
      </c>
      <c r="I292" s="43">
        <v>-57.275799999999997</v>
      </c>
      <c r="J292" s="28">
        <v>-4.0480000000000002E-7</v>
      </c>
      <c r="K292" s="43" t="s">
        <v>913</v>
      </c>
      <c r="L292" s="43" t="s">
        <v>65</v>
      </c>
      <c r="N292" s="43" t="s">
        <v>281</v>
      </c>
      <c r="O292" s="43">
        <v>160</v>
      </c>
      <c r="P292" s="43" t="s">
        <v>785</v>
      </c>
      <c r="Q292" s="43" t="s">
        <v>379</v>
      </c>
      <c r="R292" s="43" t="s">
        <v>786</v>
      </c>
      <c r="S292" s="43" t="s">
        <v>383</v>
      </c>
      <c r="T292" s="43">
        <v>10</v>
      </c>
      <c r="U292" s="43">
        <v>-57.255899999999997</v>
      </c>
      <c r="V292" s="28">
        <v>-4.0470000000000002E-7</v>
      </c>
      <c r="W292" s="43" t="s">
        <v>913</v>
      </c>
      <c r="X292" s="43" t="s">
        <v>65</v>
      </c>
    </row>
    <row r="293" spans="2:24" x14ac:dyDescent="0.2">
      <c r="B293" s="43" t="s">
        <v>281</v>
      </c>
      <c r="C293" s="43">
        <v>160</v>
      </c>
      <c r="D293" s="43" t="s">
        <v>785</v>
      </c>
      <c r="E293" s="43" t="s">
        <v>106</v>
      </c>
      <c r="F293" s="43" t="s">
        <v>787</v>
      </c>
      <c r="G293" s="43" t="s">
        <v>385</v>
      </c>
      <c r="H293" s="43">
        <v>60</v>
      </c>
      <c r="I293" s="43">
        <v>-66.263900000000007</v>
      </c>
      <c r="J293" s="28">
        <v>-4.6839999999999999E-7</v>
      </c>
      <c r="K293" s="43" t="s">
        <v>913</v>
      </c>
      <c r="L293" s="43" t="s">
        <v>65</v>
      </c>
      <c r="N293" s="43" t="s">
        <v>281</v>
      </c>
      <c r="O293" s="43">
        <v>160</v>
      </c>
      <c r="P293" s="43" t="s">
        <v>785</v>
      </c>
      <c r="Q293" s="43" t="s">
        <v>379</v>
      </c>
      <c r="R293" s="43" t="s">
        <v>787</v>
      </c>
      <c r="S293" s="43" t="s">
        <v>385</v>
      </c>
      <c r="T293" s="43">
        <v>10</v>
      </c>
      <c r="U293" s="43">
        <v>-66.284099999999995</v>
      </c>
      <c r="V293" s="28">
        <v>-4.6849999999999999E-7</v>
      </c>
      <c r="W293" s="43" t="s">
        <v>913</v>
      </c>
      <c r="X293" s="43" t="s">
        <v>65</v>
      </c>
    </row>
    <row r="294" spans="2:24" x14ac:dyDescent="0.2">
      <c r="B294" s="43" t="s">
        <v>281</v>
      </c>
      <c r="C294" s="43">
        <v>163</v>
      </c>
      <c r="D294" s="43" t="s">
        <v>788</v>
      </c>
      <c r="E294" s="43" t="s">
        <v>106</v>
      </c>
      <c r="F294" s="43" t="s">
        <v>789</v>
      </c>
      <c r="G294" s="43" t="s">
        <v>383</v>
      </c>
      <c r="H294" s="43">
        <v>60</v>
      </c>
      <c r="I294" s="43">
        <v>-71.912300000000002</v>
      </c>
      <c r="J294" s="28">
        <v>-4.8490000000000001E-7</v>
      </c>
      <c r="K294" s="43" t="s">
        <v>913</v>
      </c>
      <c r="L294" s="43" t="s">
        <v>65</v>
      </c>
      <c r="N294" s="43" t="s">
        <v>281</v>
      </c>
      <c r="O294" s="43">
        <v>163</v>
      </c>
      <c r="P294" s="43" t="s">
        <v>788</v>
      </c>
      <c r="Q294" s="43" t="s">
        <v>379</v>
      </c>
      <c r="R294" s="43" t="s">
        <v>789</v>
      </c>
      <c r="S294" s="43" t="s">
        <v>383</v>
      </c>
      <c r="T294" s="43">
        <v>10</v>
      </c>
      <c r="U294" s="43">
        <v>-71.892499999999998</v>
      </c>
      <c r="V294" s="28">
        <v>-4.848E-7</v>
      </c>
      <c r="W294" s="43" t="s">
        <v>913</v>
      </c>
      <c r="X294" s="43" t="s">
        <v>65</v>
      </c>
    </row>
    <row r="295" spans="2:24" x14ac:dyDescent="0.2">
      <c r="B295" s="43" t="s">
        <v>281</v>
      </c>
      <c r="C295" s="43">
        <v>163</v>
      </c>
      <c r="D295" s="43" t="s">
        <v>788</v>
      </c>
      <c r="E295" s="43" t="s">
        <v>106</v>
      </c>
      <c r="F295" s="43" t="s">
        <v>790</v>
      </c>
      <c r="G295" s="43" t="s">
        <v>385</v>
      </c>
      <c r="H295" s="43">
        <v>60</v>
      </c>
      <c r="I295" s="43">
        <v>-57.186</v>
      </c>
      <c r="J295" s="28">
        <v>-3.8560000000000001E-7</v>
      </c>
      <c r="K295" s="43" t="s">
        <v>913</v>
      </c>
      <c r="L295" s="43" t="s">
        <v>65</v>
      </c>
      <c r="N295" s="43" t="s">
        <v>281</v>
      </c>
      <c r="O295" s="43">
        <v>163</v>
      </c>
      <c r="P295" s="43" t="s">
        <v>788</v>
      </c>
      <c r="Q295" s="43" t="s">
        <v>379</v>
      </c>
      <c r="R295" s="43" t="s">
        <v>790</v>
      </c>
      <c r="S295" s="43" t="s">
        <v>385</v>
      </c>
      <c r="T295" s="43">
        <v>10</v>
      </c>
      <c r="U295" s="43">
        <v>-57.206400000000002</v>
      </c>
      <c r="V295" s="28">
        <v>-3.8579999999999997E-7</v>
      </c>
      <c r="W295" s="43" t="s">
        <v>913</v>
      </c>
      <c r="X295" s="43" t="s">
        <v>65</v>
      </c>
    </row>
    <row r="296" spans="2:24" x14ac:dyDescent="0.2">
      <c r="B296" s="43" t="s">
        <v>281</v>
      </c>
      <c r="C296" s="43">
        <v>166</v>
      </c>
      <c r="D296" s="43" t="s">
        <v>791</v>
      </c>
      <c r="E296" s="43" t="s">
        <v>106</v>
      </c>
      <c r="F296" s="43" t="s">
        <v>792</v>
      </c>
      <c r="G296" s="43" t="s">
        <v>383</v>
      </c>
      <c r="H296" s="43">
        <v>60</v>
      </c>
      <c r="I296" s="43">
        <v>-42.326099999999997</v>
      </c>
      <c r="J296" s="28">
        <v>-3.7619999999999999E-7</v>
      </c>
      <c r="K296" s="43" t="s">
        <v>913</v>
      </c>
      <c r="L296" s="43" t="s">
        <v>65</v>
      </c>
      <c r="N296" s="43" t="s">
        <v>281</v>
      </c>
      <c r="O296" s="43">
        <v>166</v>
      </c>
      <c r="P296" s="43" t="s">
        <v>791</v>
      </c>
      <c r="Q296" s="43" t="s">
        <v>379</v>
      </c>
      <c r="R296" s="43" t="s">
        <v>792</v>
      </c>
      <c r="S296" s="43" t="s">
        <v>383</v>
      </c>
      <c r="T296" s="43">
        <v>10</v>
      </c>
      <c r="U296" s="43">
        <v>-42.309199999999997</v>
      </c>
      <c r="V296" s="28">
        <v>-3.7609999999999999E-7</v>
      </c>
      <c r="W296" s="43" t="s">
        <v>913</v>
      </c>
      <c r="X296" s="43" t="s">
        <v>65</v>
      </c>
    </row>
    <row r="297" spans="2:24" x14ac:dyDescent="0.2">
      <c r="B297" s="43" t="s">
        <v>281</v>
      </c>
      <c r="C297" s="43">
        <v>166</v>
      </c>
      <c r="D297" s="43" t="s">
        <v>791</v>
      </c>
      <c r="E297" s="43" t="s">
        <v>106</v>
      </c>
      <c r="F297" s="43" t="s">
        <v>793</v>
      </c>
      <c r="G297" s="43" t="s">
        <v>385</v>
      </c>
      <c r="H297" s="43">
        <v>60</v>
      </c>
      <c r="I297" s="43">
        <v>-44.927</v>
      </c>
      <c r="J297" s="28">
        <v>-3.9939999999999999E-7</v>
      </c>
      <c r="K297" s="43" t="s">
        <v>913</v>
      </c>
      <c r="L297" s="43" t="s">
        <v>65</v>
      </c>
      <c r="N297" s="43" t="s">
        <v>281</v>
      </c>
      <c r="O297" s="43">
        <v>166</v>
      </c>
      <c r="P297" s="43" t="s">
        <v>791</v>
      </c>
      <c r="Q297" s="43" t="s">
        <v>379</v>
      </c>
      <c r="R297" s="43" t="s">
        <v>793</v>
      </c>
      <c r="S297" s="43" t="s">
        <v>385</v>
      </c>
      <c r="T297" s="43">
        <v>10</v>
      </c>
      <c r="U297" s="43">
        <v>-44.941200000000002</v>
      </c>
      <c r="V297" s="28">
        <v>-3.995E-7</v>
      </c>
      <c r="W297" s="43" t="s">
        <v>913</v>
      </c>
      <c r="X297" s="43" t="s">
        <v>65</v>
      </c>
    </row>
    <row r="298" spans="2:24" x14ac:dyDescent="0.2">
      <c r="B298" s="43" t="s">
        <v>281</v>
      </c>
      <c r="C298" s="43">
        <v>182</v>
      </c>
      <c r="D298" s="43" t="s">
        <v>794</v>
      </c>
      <c r="E298" s="43" t="s">
        <v>106</v>
      </c>
      <c r="F298" s="43" t="s">
        <v>795</v>
      </c>
      <c r="G298" s="43" t="s">
        <v>383</v>
      </c>
      <c r="H298" s="43">
        <v>60</v>
      </c>
      <c r="I298" s="43">
        <v>-47.787500000000001</v>
      </c>
      <c r="J298" s="28">
        <v>-4.8989999999999996E-7</v>
      </c>
      <c r="K298" s="43" t="s">
        <v>913</v>
      </c>
      <c r="L298" s="43" t="s">
        <v>65</v>
      </c>
      <c r="N298" s="43" t="s">
        <v>281</v>
      </c>
      <c r="O298" s="43">
        <v>182</v>
      </c>
      <c r="P298" s="43" t="s">
        <v>794</v>
      </c>
      <c r="Q298" s="43" t="s">
        <v>379</v>
      </c>
      <c r="R298" s="43" t="s">
        <v>795</v>
      </c>
      <c r="S298" s="43" t="s">
        <v>383</v>
      </c>
      <c r="T298" s="43">
        <v>10</v>
      </c>
      <c r="U298" s="43">
        <v>-47.799100000000003</v>
      </c>
      <c r="V298" s="28">
        <v>-4.8999999999999997E-7</v>
      </c>
      <c r="W298" s="43" t="s">
        <v>913</v>
      </c>
      <c r="X298" s="43" t="s">
        <v>65</v>
      </c>
    </row>
    <row r="299" spans="2:24" x14ac:dyDescent="0.2">
      <c r="B299" s="43" t="s">
        <v>281</v>
      </c>
      <c r="C299" s="43">
        <v>182</v>
      </c>
      <c r="D299" s="43" t="s">
        <v>794</v>
      </c>
      <c r="E299" s="43" t="s">
        <v>106</v>
      </c>
      <c r="F299" s="43" t="s">
        <v>796</v>
      </c>
      <c r="G299" s="43" t="s">
        <v>385</v>
      </c>
      <c r="H299" s="43">
        <v>60</v>
      </c>
      <c r="I299" s="43">
        <v>5.8917999999999999</v>
      </c>
      <c r="J299" s="28">
        <v>6.0399999999999998E-8</v>
      </c>
      <c r="K299" s="43" t="s">
        <v>913</v>
      </c>
      <c r="L299" s="43" t="s">
        <v>65</v>
      </c>
      <c r="N299" s="43" t="s">
        <v>281</v>
      </c>
      <c r="O299" s="43">
        <v>182</v>
      </c>
      <c r="P299" s="43" t="s">
        <v>794</v>
      </c>
      <c r="Q299" s="43" t="s">
        <v>379</v>
      </c>
      <c r="R299" s="43" t="s">
        <v>796</v>
      </c>
      <c r="S299" s="43" t="s">
        <v>385</v>
      </c>
      <c r="T299" s="43">
        <v>10</v>
      </c>
      <c r="U299" s="43">
        <v>5.9027000000000003</v>
      </c>
      <c r="V299" s="28">
        <v>6.0510000000000004E-8</v>
      </c>
      <c r="W299" s="43" t="s">
        <v>913</v>
      </c>
      <c r="X299" s="43" t="s">
        <v>65</v>
      </c>
    </row>
    <row r="300" spans="2:24" x14ac:dyDescent="0.2">
      <c r="B300" s="43" t="s">
        <v>281</v>
      </c>
      <c r="C300" s="43">
        <v>183</v>
      </c>
      <c r="D300" s="43" t="s">
        <v>797</v>
      </c>
      <c r="E300" s="43" t="s">
        <v>106</v>
      </c>
      <c r="F300" s="43" t="s">
        <v>798</v>
      </c>
      <c r="G300" s="43" t="s">
        <v>383</v>
      </c>
      <c r="H300" s="43">
        <v>60</v>
      </c>
      <c r="I300" s="43">
        <v>-56.156500000000001</v>
      </c>
      <c r="J300" s="28">
        <v>-4.9920000000000002E-7</v>
      </c>
      <c r="K300" s="43" t="s">
        <v>913</v>
      </c>
      <c r="L300" s="43" t="s">
        <v>65</v>
      </c>
      <c r="N300" s="43" t="s">
        <v>281</v>
      </c>
      <c r="O300" s="43">
        <v>183</v>
      </c>
      <c r="P300" s="43" t="s">
        <v>797</v>
      </c>
      <c r="Q300" s="43" t="s">
        <v>379</v>
      </c>
      <c r="R300" s="43" t="s">
        <v>798</v>
      </c>
      <c r="S300" s="43" t="s">
        <v>383</v>
      </c>
      <c r="T300" s="43">
        <v>10</v>
      </c>
      <c r="U300" s="43">
        <v>-56.169499999999999</v>
      </c>
      <c r="V300" s="28">
        <v>-4.9930000000000003E-7</v>
      </c>
      <c r="W300" s="43" t="s">
        <v>913</v>
      </c>
      <c r="X300" s="43" t="s">
        <v>65</v>
      </c>
    </row>
    <row r="301" spans="2:24" x14ac:dyDescent="0.2">
      <c r="B301" s="43" t="s">
        <v>281</v>
      </c>
      <c r="C301" s="43">
        <v>183</v>
      </c>
      <c r="D301" s="43" t="s">
        <v>797</v>
      </c>
      <c r="E301" s="43" t="s">
        <v>106</v>
      </c>
      <c r="F301" s="43" t="s">
        <v>799</v>
      </c>
      <c r="G301" s="43" t="s">
        <v>385</v>
      </c>
      <c r="H301" s="43">
        <v>60</v>
      </c>
      <c r="I301" s="43">
        <v>17.266200000000001</v>
      </c>
      <c r="J301" s="28">
        <v>1.5349999999999999E-7</v>
      </c>
      <c r="K301" s="43" t="s">
        <v>913</v>
      </c>
      <c r="L301" s="43" t="s">
        <v>65</v>
      </c>
      <c r="N301" s="43" t="s">
        <v>281</v>
      </c>
      <c r="O301" s="43">
        <v>183</v>
      </c>
      <c r="P301" s="43" t="s">
        <v>797</v>
      </c>
      <c r="Q301" s="43" t="s">
        <v>379</v>
      </c>
      <c r="R301" s="43" t="s">
        <v>799</v>
      </c>
      <c r="S301" s="43" t="s">
        <v>385</v>
      </c>
      <c r="T301" s="43">
        <v>10</v>
      </c>
      <c r="U301" s="43">
        <v>17.277999999999999</v>
      </c>
      <c r="V301" s="28">
        <v>1.536E-7</v>
      </c>
      <c r="W301" s="43" t="s">
        <v>913</v>
      </c>
      <c r="X301" s="43" t="s">
        <v>65</v>
      </c>
    </row>
    <row r="302" spans="2:24" x14ac:dyDescent="0.2">
      <c r="B302" s="43" t="s">
        <v>281</v>
      </c>
      <c r="C302" s="43">
        <v>184</v>
      </c>
      <c r="D302" s="43" t="s">
        <v>797</v>
      </c>
      <c r="E302" s="43" t="s">
        <v>106</v>
      </c>
      <c r="F302" s="43" t="s">
        <v>800</v>
      </c>
      <c r="G302" s="43" t="s">
        <v>383</v>
      </c>
      <c r="H302" s="43">
        <v>60</v>
      </c>
      <c r="I302" s="43">
        <v>-48.248800000000003</v>
      </c>
      <c r="J302" s="28">
        <v>-4.0439999999999999E-7</v>
      </c>
      <c r="K302" s="43" t="s">
        <v>913</v>
      </c>
      <c r="L302" s="43" t="s">
        <v>65</v>
      </c>
      <c r="N302" s="43" t="s">
        <v>281</v>
      </c>
      <c r="O302" s="43">
        <v>184</v>
      </c>
      <c r="P302" s="43" t="s">
        <v>797</v>
      </c>
      <c r="Q302" s="43" t="s">
        <v>379</v>
      </c>
      <c r="R302" s="43" t="s">
        <v>800</v>
      </c>
      <c r="S302" s="43" t="s">
        <v>383</v>
      </c>
      <c r="T302" s="43">
        <v>10</v>
      </c>
      <c r="U302" s="43">
        <v>-48.261499999999998</v>
      </c>
      <c r="V302" s="28">
        <v>-4.045E-7</v>
      </c>
      <c r="W302" s="43" t="s">
        <v>913</v>
      </c>
      <c r="X302" s="43" t="s">
        <v>65</v>
      </c>
    </row>
    <row r="303" spans="2:24" x14ac:dyDescent="0.2">
      <c r="B303" s="43" t="s">
        <v>281</v>
      </c>
      <c r="C303" s="43">
        <v>184</v>
      </c>
      <c r="D303" s="43" t="s">
        <v>797</v>
      </c>
      <c r="E303" s="43" t="s">
        <v>106</v>
      </c>
      <c r="F303" s="43" t="s">
        <v>801</v>
      </c>
      <c r="G303" s="43" t="s">
        <v>385</v>
      </c>
      <c r="H303" s="43">
        <v>60</v>
      </c>
      <c r="I303" s="43">
        <v>18.537500000000001</v>
      </c>
      <c r="J303" s="28">
        <v>1.554E-7</v>
      </c>
      <c r="K303" s="43" t="s">
        <v>913</v>
      </c>
      <c r="L303" s="43" t="s">
        <v>65</v>
      </c>
      <c r="N303" s="43" t="s">
        <v>281</v>
      </c>
      <c r="O303" s="43">
        <v>184</v>
      </c>
      <c r="P303" s="43" t="s">
        <v>797</v>
      </c>
      <c r="Q303" s="43" t="s">
        <v>379</v>
      </c>
      <c r="R303" s="43" t="s">
        <v>801</v>
      </c>
      <c r="S303" s="43" t="s">
        <v>385</v>
      </c>
      <c r="T303" s="43">
        <v>10</v>
      </c>
      <c r="U303" s="43">
        <v>18.549700000000001</v>
      </c>
      <c r="V303" s="28">
        <v>1.5550000000000001E-7</v>
      </c>
      <c r="W303" s="43" t="s">
        <v>913</v>
      </c>
      <c r="X303" s="43" t="s">
        <v>65</v>
      </c>
    </row>
    <row r="304" spans="2:24" x14ac:dyDescent="0.2">
      <c r="B304" s="43" t="s">
        <v>281</v>
      </c>
      <c r="C304" s="43">
        <v>185</v>
      </c>
      <c r="D304" s="43" t="s">
        <v>797</v>
      </c>
      <c r="E304" s="43" t="s">
        <v>106</v>
      </c>
      <c r="F304" s="43" t="s">
        <v>802</v>
      </c>
      <c r="G304" s="43" t="s">
        <v>383</v>
      </c>
      <c r="H304" s="43">
        <v>60</v>
      </c>
      <c r="I304" s="43">
        <v>-47.242100000000001</v>
      </c>
      <c r="J304" s="28">
        <v>-4.1989999999999999E-7</v>
      </c>
      <c r="K304" s="43" t="s">
        <v>913</v>
      </c>
      <c r="L304" s="43" t="s">
        <v>65</v>
      </c>
      <c r="N304" s="43" t="s">
        <v>281</v>
      </c>
      <c r="O304" s="43">
        <v>185</v>
      </c>
      <c r="P304" s="43" t="s">
        <v>797</v>
      </c>
      <c r="Q304" s="43" t="s">
        <v>379</v>
      </c>
      <c r="R304" s="43" t="s">
        <v>802</v>
      </c>
      <c r="S304" s="43" t="s">
        <v>383</v>
      </c>
      <c r="T304" s="43">
        <v>10</v>
      </c>
      <c r="U304" s="43">
        <v>-47.253900000000002</v>
      </c>
      <c r="V304" s="28">
        <v>-4.2E-7</v>
      </c>
      <c r="W304" s="43" t="s">
        <v>913</v>
      </c>
      <c r="X304" s="43" t="s">
        <v>65</v>
      </c>
    </row>
    <row r="305" spans="2:24" x14ac:dyDescent="0.2">
      <c r="B305" s="43" t="s">
        <v>281</v>
      </c>
      <c r="C305" s="43">
        <v>185</v>
      </c>
      <c r="D305" s="43" t="s">
        <v>797</v>
      </c>
      <c r="E305" s="43" t="s">
        <v>106</v>
      </c>
      <c r="F305" s="43" t="s">
        <v>803</v>
      </c>
      <c r="G305" s="43" t="s">
        <v>385</v>
      </c>
      <c r="H305" s="43">
        <v>60</v>
      </c>
      <c r="I305" s="43">
        <v>11.860099999999999</v>
      </c>
      <c r="J305" s="28">
        <v>1.054E-7</v>
      </c>
      <c r="K305" s="43" t="s">
        <v>913</v>
      </c>
      <c r="L305" s="43" t="s">
        <v>65</v>
      </c>
      <c r="N305" s="43" t="s">
        <v>281</v>
      </c>
      <c r="O305" s="43">
        <v>185</v>
      </c>
      <c r="P305" s="43" t="s">
        <v>797</v>
      </c>
      <c r="Q305" s="43" t="s">
        <v>379</v>
      </c>
      <c r="R305" s="43" t="s">
        <v>803</v>
      </c>
      <c r="S305" s="43" t="s">
        <v>385</v>
      </c>
      <c r="T305" s="43">
        <v>10</v>
      </c>
      <c r="U305" s="43">
        <v>11.8725</v>
      </c>
      <c r="V305" s="28">
        <v>1.055E-7</v>
      </c>
      <c r="W305" s="43" t="s">
        <v>913</v>
      </c>
      <c r="X305" s="43" t="s">
        <v>65</v>
      </c>
    </row>
    <row r="306" spans="2:24" x14ac:dyDescent="0.2">
      <c r="B306" s="43" t="s">
        <v>281</v>
      </c>
      <c r="C306" s="43">
        <v>186</v>
      </c>
      <c r="D306" s="43" t="s">
        <v>804</v>
      </c>
      <c r="E306" s="43" t="s">
        <v>106</v>
      </c>
      <c r="F306" s="43" t="s">
        <v>805</v>
      </c>
      <c r="G306" s="43" t="s">
        <v>383</v>
      </c>
      <c r="H306" s="43">
        <v>60</v>
      </c>
      <c r="I306" s="43">
        <v>-53.397799999999997</v>
      </c>
      <c r="J306" s="28">
        <v>-9.9999999999999995E-7</v>
      </c>
      <c r="K306" s="43" t="s">
        <v>913</v>
      </c>
      <c r="L306" s="43" t="s">
        <v>65</v>
      </c>
      <c r="N306" s="43" t="s">
        <v>281</v>
      </c>
      <c r="O306" s="43">
        <v>186</v>
      </c>
      <c r="P306" s="43" t="s">
        <v>804</v>
      </c>
      <c r="Q306" s="43" t="s">
        <v>379</v>
      </c>
      <c r="R306" s="43" t="s">
        <v>805</v>
      </c>
      <c r="S306" s="43" t="s">
        <v>383</v>
      </c>
      <c r="T306" s="43">
        <v>10</v>
      </c>
      <c r="U306" s="43">
        <v>-53.41</v>
      </c>
      <c r="V306" s="28">
        <v>-9.9999999999999995E-7</v>
      </c>
      <c r="W306" s="43" t="s">
        <v>913</v>
      </c>
      <c r="X306" s="43" t="s">
        <v>65</v>
      </c>
    </row>
    <row r="307" spans="2:24" x14ac:dyDescent="0.2">
      <c r="B307" s="43" t="s">
        <v>281</v>
      </c>
      <c r="C307" s="43">
        <v>186</v>
      </c>
      <c r="D307" s="43" t="s">
        <v>804</v>
      </c>
      <c r="E307" s="43" t="s">
        <v>106</v>
      </c>
      <c r="F307" s="43" t="s">
        <v>806</v>
      </c>
      <c r="G307" s="43" t="s">
        <v>385</v>
      </c>
      <c r="H307" s="43">
        <v>60</v>
      </c>
      <c r="I307" s="43">
        <v>11.087</v>
      </c>
      <c r="J307" s="28">
        <v>1.1370000000000001E-7</v>
      </c>
      <c r="K307" s="43" t="s">
        <v>913</v>
      </c>
      <c r="L307" s="43" t="s">
        <v>65</v>
      </c>
      <c r="N307" s="43" t="s">
        <v>281</v>
      </c>
      <c r="O307" s="43">
        <v>186</v>
      </c>
      <c r="P307" s="43" t="s">
        <v>804</v>
      </c>
      <c r="Q307" s="43" t="s">
        <v>379</v>
      </c>
      <c r="R307" s="43" t="s">
        <v>806</v>
      </c>
      <c r="S307" s="43" t="s">
        <v>385</v>
      </c>
      <c r="T307" s="43">
        <v>10</v>
      </c>
      <c r="U307" s="43">
        <v>11.0982</v>
      </c>
      <c r="V307" s="28">
        <v>1.138E-7</v>
      </c>
      <c r="W307" s="43" t="s">
        <v>913</v>
      </c>
      <c r="X307" s="43" t="s">
        <v>65</v>
      </c>
    </row>
    <row r="308" spans="2:24" x14ac:dyDescent="0.2">
      <c r="B308" s="43" t="s">
        <v>330</v>
      </c>
      <c r="C308" s="43">
        <v>43</v>
      </c>
      <c r="D308" s="43" t="s">
        <v>807</v>
      </c>
      <c r="E308" s="43" t="s">
        <v>106</v>
      </c>
      <c r="F308" s="43" t="s">
        <v>808</v>
      </c>
      <c r="G308" s="43" t="s">
        <v>383</v>
      </c>
      <c r="H308" s="43">
        <v>60</v>
      </c>
      <c r="I308" s="43">
        <v>-42.094200000000001</v>
      </c>
      <c r="J308" s="28">
        <v>-4.3150000000000002E-7</v>
      </c>
      <c r="K308" s="43" t="s">
        <v>913</v>
      </c>
      <c r="L308" s="43" t="s">
        <v>65</v>
      </c>
      <c r="N308" s="43" t="s">
        <v>330</v>
      </c>
      <c r="O308" s="43">
        <v>43</v>
      </c>
      <c r="P308" s="43" t="s">
        <v>807</v>
      </c>
      <c r="Q308" s="43" t="s">
        <v>379</v>
      </c>
      <c r="R308" s="43" t="s">
        <v>808</v>
      </c>
      <c r="S308" s="43" t="s">
        <v>383</v>
      </c>
      <c r="T308" s="43">
        <v>10</v>
      </c>
      <c r="U308" s="43">
        <v>-42.128700000000002</v>
      </c>
      <c r="V308" s="28">
        <v>-4.319E-7</v>
      </c>
      <c r="W308" s="43" t="s">
        <v>913</v>
      </c>
      <c r="X308" s="43" t="s">
        <v>65</v>
      </c>
    </row>
    <row r="309" spans="2:24" x14ac:dyDescent="0.2">
      <c r="B309" s="43" t="s">
        <v>330</v>
      </c>
      <c r="C309" s="43">
        <v>43</v>
      </c>
      <c r="D309" s="43" t="s">
        <v>807</v>
      </c>
      <c r="E309" s="43" t="s">
        <v>106</v>
      </c>
      <c r="F309" s="43" t="s">
        <v>809</v>
      </c>
      <c r="G309" s="43" t="s">
        <v>385</v>
      </c>
      <c r="H309" s="43">
        <v>60</v>
      </c>
      <c r="I309" s="43">
        <v>0.50690000000000002</v>
      </c>
      <c r="J309" s="28">
        <v>5.1959999999999998E-9</v>
      </c>
      <c r="K309" s="43" t="s">
        <v>913</v>
      </c>
      <c r="L309" s="43" t="s">
        <v>65</v>
      </c>
      <c r="N309" s="43" t="s">
        <v>330</v>
      </c>
      <c r="O309" s="43">
        <v>43</v>
      </c>
      <c r="P309" s="43" t="s">
        <v>807</v>
      </c>
      <c r="Q309" s="43" t="s">
        <v>379</v>
      </c>
      <c r="R309" s="43" t="s">
        <v>809</v>
      </c>
      <c r="S309" s="43" t="s">
        <v>385</v>
      </c>
      <c r="T309" s="43">
        <v>10</v>
      </c>
      <c r="U309" s="43">
        <v>0.54190000000000005</v>
      </c>
      <c r="V309" s="28">
        <v>5.5549999999999999E-9</v>
      </c>
      <c r="W309" s="43" t="s">
        <v>913</v>
      </c>
      <c r="X309" s="43" t="s">
        <v>65</v>
      </c>
    </row>
    <row r="310" spans="2:24" x14ac:dyDescent="0.2">
      <c r="B310" s="43" t="s">
        <v>330</v>
      </c>
      <c r="C310" s="43">
        <v>44</v>
      </c>
      <c r="D310" s="43" t="s">
        <v>810</v>
      </c>
      <c r="E310" s="43" t="s">
        <v>106</v>
      </c>
      <c r="F310" s="43" t="s">
        <v>811</v>
      </c>
      <c r="G310" s="43" t="s">
        <v>383</v>
      </c>
      <c r="H310" s="43">
        <v>60</v>
      </c>
      <c r="I310" s="43">
        <v>-49.776499999999999</v>
      </c>
      <c r="J310" s="28">
        <v>-4.425E-7</v>
      </c>
      <c r="K310" s="43" t="s">
        <v>913</v>
      </c>
      <c r="L310" s="43" t="s">
        <v>65</v>
      </c>
      <c r="N310" s="43" t="s">
        <v>330</v>
      </c>
      <c r="O310" s="43">
        <v>44</v>
      </c>
      <c r="P310" s="43" t="s">
        <v>810</v>
      </c>
      <c r="Q310" s="43" t="s">
        <v>379</v>
      </c>
      <c r="R310" s="43" t="s">
        <v>811</v>
      </c>
      <c r="S310" s="43" t="s">
        <v>383</v>
      </c>
      <c r="T310" s="43">
        <v>10</v>
      </c>
      <c r="U310" s="43">
        <v>-49.815600000000003</v>
      </c>
      <c r="V310" s="28">
        <v>-4.4280000000000002E-7</v>
      </c>
      <c r="W310" s="43" t="s">
        <v>913</v>
      </c>
      <c r="X310" s="43" t="s">
        <v>65</v>
      </c>
    </row>
    <row r="311" spans="2:24" x14ac:dyDescent="0.2">
      <c r="B311" s="43" t="s">
        <v>330</v>
      </c>
      <c r="C311" s="43">
        <v>44</v>
      </c>
      <c r="D311" s="43" t="s">
        <v>810</v>
      </c>
      <c r="E311" s="43" t="s">
        <v>106</v>
      </c>
      <c r="F311" s="43" t="s">
        <v>812</v>
      </c>
      <c r="G311" s="43" t="s">
        <v>385</v>
      </c>
      <c r="H311" s="43">
        <v>60</v>
      </c>
      <c r="I311" s="43">
        <v>10.935600000000001</v>
      </c>
      <c r="J311" s="28">
        <v>9.7209999999999995E-8</v>
      </c>
      <c r="K311" s="43" t="s">
        <v>913</v>
      </c>
      <c r="L311" s="43" t="s">
        <v>65</v>
      </c>
      <c r="N311" s="43" t="s">
        <v>330</v>
      </c>
      <c r="O311" s="43">
        <v>44</v>
      </c>
      <c r="P311" s="43" t="s">
        <v>810</v>
      </c>
      <c r="Q311" s="43" t="s">
        <v>379</v>
      </c>
      <c r="R311" s="43" t="s">
        <v>812</v>
      </c>
      <c r="S311" s="43" t="s">
        <v>385</v>
      </c>
      <c r="T311" s="43">
        <v>10</v>
      </c>
      <c r="U311" s="43">
        <v>10.9735</v>
      </c>
      <c r="V311" s="28">
        <v>9.7539999999999999E-8</v>
      </c>
      <c r="W311" s="43" t="s">
        <v>913</v>
      </c>
      <c r="X311" s="43" t="s">
        <v>65</v>
      </c>
    </row>
    <row r="312" spans="2:24" x14ac:dyDescent="0.2">
      <c r="B312" s="43" t="s">
        <v>330</v>
      </c>
      <c r="C312" s="43">
        <v>45</v>
      </c>
      <c r="D312" s="43" t="s">
        <v>810</v>
      </c>
      <c r="E312" s="43" t="s">
        <v>106</v>
      </c>
      <c r="F312" s="43" t="s">
        <v>813</v>
      </c>
      <c r="G312" s="43" t="s">
        <v>383</v>
      </c>
      <c r="H312" s="43">
        <v>60</v>
      </c>
      <c r="I312" s="43">
        <v>-41.4407</v>
      </c>
      <c r="J312" s="28">
        <v>-3.4729999999999999E-7</v>
      </c>
      <c r="K312" s="43" t="s">
        <v>913</v>
      </c>
      <c r="L312" s="43" t="s">
        <v>65</v>
      </c>
      <c r="N312" s="43" t="s">
        <v>330</v>
      </c>
      <c r="O312" s="43">
        <v>45</v>
      </c>
      <c r="P312" s="43" t="s">
        <v>810</v>
      </c>
      <c r="Q312" s="43" t="s">
        <v>379</v>
      </c>
      <c r="R312" s="43" t="s">
        <v>813</v>
      </c>
      <c r="S312" s="43" t="s">
        <v>383</v>
      </c>
      <c r="T312" s="43">
        <v>10</v>
      </c>
      <c r="U312" s="43">
        <v>-41.480400000000003</v>
      </c>
      <c r="V312" s="28">
        <v>-3.4760000000000002E-7</v>
      </c>
      <c r="W312" s="43" t="s">
        <v>913</v>
      </c>
      <c r="X312" s="43" t="s">
        <v>65</v>
      </c>
    </row>
    <row r="313" spans="2:24" x14ac:dyDescent="0.2">
      <c r="B313" s="43" t="s">
        <v>330</v>
      </c>
      <c r="C313" s="43">
        <v>45</v>
      </c>
      <c r="D313" s="43" t="s">
        <v>810</v>
      </c>
      <c r="E313" s="43" t="s">
        <v>106</v>
      </c>
      <c r="F313" s="43" t="s">
        <v>814</v>
      </c>
      <c r="G313" s="43" t="s">
        <v>385</v>
      </c>
      <c r="H313" s="43">
        <v>60</v>
      </c>
      <c r="I313" s="43">
        <v>11.759499999999999</v>
      </c>
      <c r="J313" s="28">
        <v>9.8560000000000004E-8</v>
      </c>
      <c r="K313" s="43" t="s">
        <v>913</v>
      </c>
      <c r="L313" s="43" t="s">
        <v>65</v>
      </c>
      <c r="N313" s="43" t="s">
        <v>330</v>
      </c>
      <c r="O313" s="43">
        <v>45</v>
      </c>
      <c r="P313" s="43" t="s">
        <v>810</v>
      </c>
      <c r="Q313" s="43" t="s">
        <v>379</v>
      </c>
      <c r="R313" s="43" t="s">
        <v>814</v>
      </c>
      <c r="S313" s="43" t="s">
        <v>385</v>
      </c>
      <c r="T313" s="43">
        <v>10</v>
      </c>
      <c r="U313" s="43">
        <v>11.8</v>
      </c>
      <c r="V313" s="28">
        <v>9.8900000000000005E-8</v>
      </c>
      <c r="W313" s="43" t="s">
        <v>913</v>
      </c>
      <c r="X313" s="43" t="s">
        <v>65</v>
      </c>
    </row>
    <row r="314" spans="2:24" x14ac:dyDescent="0.2">
      <c r="B314" s="43" t="s">
        <v>330</v>
      </c>
      <c r="C314" s="43">
        <v>46</v>
      </c>
      <c r="D314" s="43" t="s">
        <v>810</v>
      </c>
      <c r="E314" s="43" t="s">
        <v>106</v>
      </c>
      <c r="F314" s="43" t="s">
        <v>815</v>
      </c>
      <c r="G314" s="43" t="s">
        <v>383</v>
      </c>
      <c r="H314" s="43">
        <v>60</v>
      </c>
      <c r="I314" s="43">
        <v>-40.767200000000003</v>
      </c>
      <c r="J314" s="28">
        <v>-3.6240000000000002E-7</v>
      </c>
      <c r="K314" s="43" t="s">
        <v>913</v>
      </c>
      <c r="L314" s="43" t="s">
        <v>65</v>
      </c>
      <c r="N314" s="43" t="s">
        <v>330</v>
      </c>
      <c r="O314" s="43">
        <v>46</v>
      </c>
      <c r="P314" s="43" t="s">
        <v>810</v>
      </c>
      <c r="Q314" s="43" t="s">
        <v>379</v>
      </c>
      <c r="R314" s="43" t="s">
        <v>815</v>
      </c>
      <c r="S314" s="43" t="s">
        <v>383</v>
      </c>
      <c r="T314" s="43">
        <v>10</v>
      </c>
      <c r="U314" s="43">
        <v>-40.805799999999998</v>
      </c>
      <c r="V314" s="28">
        <v>-3.6269999999999999E-7</v>
      </c>
      <c r="W314" s="43" t="s">
        <v>913</v>
      </c>
      <c r="X314" s="43" t="s">
        <v>65</v>
      </c>
    </row>
    <row r="315" spans="2:24" x14ac:dyDescent="0.2">
      <c r="B315" s="43" t="s">
        <v>330</v>
      </c>
      <c r="C315" s="43">
        <v>46</v>
      </c>
      <c r="D315" s="43" t="s">
        <v>810</v>
      </c>
      <c r="E315" s="43" t="s">
        <v>106</v>
      </c>
      <c r="F315" s="43" t="s">
        <v>816</v>
      </c>
      <c r="G315" s="43" t="s">
        <v>385</v>
      </c>
      <c r="H315" s="43">
        <v>60</v>
      </c>
      <c r="I315" s="43">
        <v>5.2900999999999998</v>
      </c>
      <c r="J315" s="28">
        <v>4.702E-8</v>
      </c>
      <c r="K315" s="43" t="s">
        <v>913</v>
      </c>
      <c r="L315" s="43" t="s">
        <v>65</v>
      </c>
      <c r="N315" s="43" t="s">
        <v>330</v>
      </c>
      <c r="O315" s="43">
        <v>46</v>
      </c>
      <c r="P315" s="43" t="s">
        <v>810</v>
      </c>
      <c r="Q315" s="43" t="s">
        <v>379</v>
      </c>
      <c r="R315" s="43" t="s">
        <v>816</v>
      </c>
      <c r="S315" s="43" t="s">
        <v>385</v>
      </c>
      <c r="T315" s="43">
        <v>10</v>
      </c>
      <c r="U315" s="43">
        <v>5.3308999999999997</v>
      </c>
      <c r="V315" s="28">
        <v>4.7390000000000003E-8</v>
      </c>
      <c r="W315" s="43" t="s">
        <v>913</v>
      </c>
      <c r="X315" s="43" t="s">
        <v>65</v>
      </c>
    </row>
    <row r="316" spans="2:24" x14ac:dyDescent="0.2">
      <c r="B316" s="43" t="s">
        <v>330</v>
      </c>
      <c r="C316" s="43">
        <v>47</v>
      </c>
      <c r="D316" s="43" t="s">
        <v>817</v>
      </c>
      <c r="E316" s="43" t="s">
        <v>106</v>
      </c>
      <c r="F316" s="43" t="s">
        <v>818</v>
      </c>
      <c r="G316" s="43" t="s">
        <v>383</v>
      </c>
      <c r="H316" s="43">
        <v>60</v>
      </c>
      <c r="I316" s="43">
        <v>-48.136000000000003</v>
      </c>
      <c r="J316" s="28">
        <v>-4.9340000000000001E-7</v>
      </c>
      <c r="K316" s="43" t="s">
        <v>913</v>
      </c>
      <c r="L316" s="43" t="s">
        <v>65</v>
      </c>
      <c r="N316" s="43" t="s">
        <v>330</v>
      </c>
      <c r="O316" s="43">
        <v>47</v>
      </c>
      <c r="P316" s="43" t="s">
        <v>817</v>
      </c>
      <c r="Q316" s="43" t="s">
        <v>379</v>
      </c>
      <c r="R316" s="43" t="s">
        <v>818</v>
      </c>
      <c r="S316" s="43" t="s">
        <v>383</v>
      </c>
      <c r="T316" s="43">
        <v>10</v>
      </c>
      <c r="U316" s="43">
        <v>-48.171599999999998</v>
      </c>
      <c r="V316" s="28">
        <v>-4.9380000000000004E-7</v>
      </c>
      <c r="W316" s="43" t="s">
        <v>913</v>
      </c>
      <c r="X316" s="43" t="s">
        <v>65</v>
      </c>
    </row>
    <row r="317" spans="2:24" x14ac:dyDescent="0.2">
      <c r="B317" s="43" t="s">
        <v>330</v>
      </c>
      <c r="C317" s="43">
        <v>47</v>
      </c>
      <c r="D317" s="43" t="s">
        <v>817</v>
      </c>
      <c r="E317" s="43" t="s">
        <v>106</v>
      </c>
      <c r="F317" s="43" t="s">
        <v>819</v>
      </c>
      <c r="G317" s="43" t="s">
        <v>385</v>
      </c>
      <c r="H317" s="43">
        <v>60</v>
      </c>
      <c r="I317" s="43">
        <v>6.3159999999999998</v>
      </c>
      <c r="J317" s="28">
        <v>6.4749999999999994E-8</v>
      </c>
      <c r="K317" s="43" t="s">
        <v>913</v>
      </c>
      <c r="L317" s="43" t="s">
        <v>65</v>
      </c>
      <c r="N317" s="43" t="s">
        <v>330</v>
      </c>
      <c r="O317" s="43">
        <v>47</v>
      </c>
      <c r="P317" s="43" t="s">
        <v>817</v>
      </c>
      <c r="Q317" s="43" t="s">
        <v>379</v>
      </c>
      <c r="R317" s="43" t="s">
        <v>819</v>
      </c>
      <c r="S317" s="43" t="s">
        <v>385</v>
      </c>
      <c r="T317" s="43">
        <v>10</v>
      </c>
      <c r="U317" s="43">
        <v>6.3514999999999997</v>
      </c>
      <c r="V317" s="28">
        <v>6.5110000000000005E-8</v>
      </c>
      <c r="W317" s="43" t="s">
        <v>913</v>
      </c>
      <c r="X317" s="43" t="s">
        <v>65</v>
      </c>
    </row>
    <row r="318" spans="2:24" x14ac:dyDescent="0.2">
      <c r="B318" s="43" t="s">
        <v>330</v>
      </c>
      <c r="C318" s="43">
        <v>25</v>
      </c>
      <c r="D318" s="43" t="s">
        <v>820</v>
      </c>
      <c r="E318" s="43" t="s">
        <v>106</v>
      </c>
      <c r="F318" s="43" t="s">
        <v>821</v>
      </c>
      <c r="G318" s="43" t="s">
        <v>383</v>
      </c>
      <c r="H318" s="43">
        <v>60</v>
      </c>
      <c r="I318" s="43">
        <v>-48.986499999999999</v>
      </c>
      <c r="J318" s="28">
        <v>-4.6349999999999999E-7</v>
      </c>
      <c r="K318" s="43" t="s">
        <v>913</v>
      </c>
      <c r="L318" s="43" t="s">
        <v>65</v>
      </c>
      <c r="N318" s="43" t="s">
        <v>330</v>
      </c>
      <c r="O318" s="43">
        <v>25</v>
      </c>
      <c r="P318" s="43" t="s">
        <v>820</v>
      </c>
      <c r="Q318" s="43" t="s">
        <v>379</v>
      </c>
      <c r="R318" s="43" t="s">
        <v>821</v>
      </c>
      <c r="S318" s="43" t="s">
        <v>383</v>
      </c>
      <c r="T318" s="43">
        <v>10</v>
      </c>
      <c r="U318" s="43">
        <v>-48.977800000000002</v>
      </c>
      <c r="V318" s="28">
        <v>-4.6339999999999998E-7</v>
      </c>
      <c r="W318" s="43" t="s">
        <v>913</v>
      </c>
      <c r="X318" s="43" t="s">
        <v>65</v>
      </c>
    </row>
    <row r="319" spans="2:24" x14ac:dyDescent="0.2">
      <c r="B319" s="43" t="s">
        <v>330</v>
      </c>
      <c r="C319" s="43">
        <v>25</v>
      </c>
      <c r="D319" s="43" t="s">
        <v>820</v>
      </c>
      <c r="E319" s="43" t="s">
        <v>106</v>
      </c>
      <c r="F319" s="43" t="s">
        <v>822</v>
      </c>
      <c r="G319" s="43" t="s">
        <v>385</v>
      </c>
      <c r="H319" s="43">
        <v>60</v>
      </c>
      <c r="I319" s="43">
        <v>-48.4208</v>
      </c>
      <c r="J319" s="28">
        <v>-4.5820000000000001E-7</v>
      </c>
      <c r="K319" s="43" t="s">
        <v>913</v>
      </c>
      <c r="L319" s="43" t="s">
        <v>65</v>
      </c>
      <c r="N319" s="43" t="s">
        <v>330</v>
      </c>
      <c r="O319" s="43">
        <v>25</v>
      </c>
      <c r="P319" s="43" t="s">
        <v>820</v>
      </c>
      <c r="Q319" s="43" t="s">
        <v>379</v>
      </c>
      <c r="R319" s="43" t="s">
        <v>822</v>
      </c>
      <c r="S319" s="43" t="s">
        <v>385</v>
      </c>
      <c r="T319" s="43">
        <v>10</v>
      </c>
      <c r="U319" s="43">
        <v>-48.437199999999997</v>
      </c>
      <c r="V319" s="28">
        <v>-4.5830000000000002E-7</v>
      </c>
      <c r="W319" s="43" t="s">
        <v>913</v>
      </c>
      <c r="X319" s="43" t="s">
        <v>65</v>
      </c>
    </row>
    <row r="320" spans="2:24" x14ac:dyDescent="0.2">
      <c r="B320" s="43" t="s">
        <v>330</v>
      </c>
      <c r="C320" s="43">
        <v>28</v>
      </c>
      <c r="D320" s="43" t="s">
        <v>823</v>
      </c>
      <c r="E320" s="43" t="s">
        <v>106</v>
      </c>
      <c r="F320" s="43" t="s">
        <v>824</v>
      </c>
      <c r="G320" s="43" t="s">
        <v>383</v>
      </c>
      <c r="H320" s="43">
        <v>60</v>
      </c>
      <c r="I320" s="43">
        <v>-57.022799999999997</v>
      </c>
      <c r="J320" s="28">
        <v>-3.8449999999999998E-7</v>
      </c>
      <c r="K320" s="43" t="s">
        <v>913</v>
      </c>
      <c r="L320" s="43" t="s">
        <v>65</v>
      </c>
      <c r="N320" s="43" t="s">
        <v>330</v>
      </c>
      <c r="O320" s="43">
        <v>28</v>
      </c>
      <c r="P320" s="43" t="s">
        <v>823</v>
      </c>
      <c r="Q320" s="43" t="s">
        <v>379</v>
      </c>
      <c r="R320" s="43" t="s">
        <v>824</v>
      </c>
      <c r="S320" s="43" t="s">
        <v>383</v>
      </c>
      <c r="T320" s="43">
        <v>10</v>
      </c>
      <c r="U320" s="43">
        <v>-57.005400000000002</v>
      </c>
      <c r="V320" s="28">
        <v>-3.8439999999999997E-7</v>
      </c>
      <c r="W320" s="43" t="s">
        <v>913</v>
      </c>
      <c r="X320" s="43" t="s">
        <v>65</v>
      </c>
    </row>
    <row r="321" spans="2:24" x14ac:dyDescent="0.2">
      <c r="B321" s="43" t="s">
        <v>330</v>
      </c>
      <c r="C321" s="43">
        <v>28</v>
      </c>
      <c r="D321" s="43" t="s">
        <v>823</v>
      </c>
      <c r="E321" s="43" t="s">
        <v>106</v>
      </c>
      <c r="F321" s="43" t="s">
        <v>825</v>
      </c>
      <c r="G321" s="43" t="s">
        <v>385</v>
      </c>
      <c r="H321" s="43">
        <v>60</v>
      </c>
      <c r="I321" s="43">
        <v>-73.397199999999998</v>
      </c>
      <c r="J321" s="28">
        <v>-4.9490000000000002E-7</v>
      </c>
      <c r="K321" s="43" t="s">
        <v>913</v>
      </c>
      <c r="L321" s="43" t="s">
        <v>65</v>
      </c>
      <c r="N321" s="43" t="s">
        <v>330</v>
      </c>
      <c r="O321" s="43">
        <v>28</v>
      </c>
      <c r="P321" s="43" t="s">
        <v>823</v>
      </c>
      <c r="Q321" s="43" t="s">
        <v>379</v>
      </c>
      <c r="R321" s="43" t="s">
        <v>825</v>
      </c>
      <c r="S321" s="43" t="s">
        <v>385</v>
      </c>
      <c r="T321" s="43">
        <v>10</v>
      </c>
      <c r="U321" s="43">
        <v>-73.414400000000001</v>
      </c>
      <c r="V321" s="28">
        <v>-4.9510000000000003E-7</v>
      </c>
      <c r="W321" s="43" t="s">
        <v>913</v>
      </c>
      <c r="X321" s="43" t="s">
        <v>65</v>
      </c>
    </row>
    <row r="322" spans="2:24" x14ac:dyDescent="0.2">
      <c r="B322" s="43" t="s">
        <v>330</v>
      </c>
      <c r="C322" s="43">
        <v>31</v>
      </c>
      <c r="D322" s="43" t="s">
        <v>826</v>
      </c>
      <c r="E322" s="43" t="s">
        <v>106</v>
      </c>
      <c r="F322" s="43" t="s">
        <v>827</v>
      </c>
      <c r="G322" s="43" t="s">
        <v>383</v>
      </c>
      <c r="H322" s="43">
        <v>60</v>
      </c>
      <c r="I322" s="43">
        <v>-64.253</v>
      </c>
      <c r="J322" s="28">
        <v>-4.5419999999999998E-7</v>
      </c>
      <c r="K322" s="43" t="s">
        <v>913</v>
      </c>
      <c r="L322" s="43" t="s">
        <v>65</v>
      </c>
      <c r="N322" s="43" t="s">
        <v>330</v>
      </c>
      <c r="O322" s="43">
        <v>31</v>
      </c>
      <c r="P322" s="43" t="s">
        <v>826</v>
      </c>
      <c r="Q322" s="43" t="s">
        <v>379</v>
      </c>
      <c r="R322" s="43" t="s">
        <v>827</v>
      </c>
      <c r="S322" s="43" t="s">
        <v>383</v>
      </c>
      <c r="T322" s="43">
        <v>10</v>
      </c>
      <c r="U322" s="43">
        <v>-64.240300000000005</v>
      </c>
      <c r="V322" s="28">
        <v>-4.5410000000000002E-7</v>
      </c>
      <c r="W322" s="43" t="s">
        <v>913</v>
      </c>
      <c r="X322" s="43" t="s">
        <v>65</v>
      </c>
    </row>
    <row r="323" spans="2:24" x14ac:dyDescent="0.2">
      <c r="B323" s="43" t="s">
        <v>330</v>
      </c>
      <c r="C323" s="43">
        <v>31</v>
      </c>
      <c r="D323" s="43" t="s">
        <v>826</v>
      </c>
      <c r="E323" s="43" t="s">
        <v>106</v>
      </c>
      <c r="F323" s="43" t="s">
        <v>828</v>
      </c>
      <c r="G323" s="43" t="s">
        <v>385</v>
      </c>
      <c r="H323" s="43">
        <v>60</v>
      </c>
      <c r="I323" s="43">
        <v>-58.296799999999998</v>
      </c>
      <c r="J323" s="28">
        <v>-4.1209999999999999E-7</v>
      </c>
      <c r="K323" s="43" t="s">
        <v>913</v>
      </c>
      <c r="L323" s="43" t="s">
        <v>65</v>
      </c>
      <c r="N323" s="43" t="s">
        <v>330</v>
      </c>
      <c r="O323" s="43">
        <v>31</v>
      </c>
      <c r="P323" s="43" t="s">
        <v>826</v>
      </c>
      <c r="Q323" s="43" t="s">
        <v>379</v>
      </c>
      <c r="R323" s="43" t="s">
        <v>828</v>
      </c>
      <c r="S323" s="43" t="s">
        <v>385</v>
      </c>
      <c r="T323" s="43">
        <v>10</v>
      </c>
      <c r="U323" s="43">
        <v>-58.311399999999999</v>
      </c>
      <c r="V323" s="28">
        <v>-4.122E-7</v>
      </c>
      <c r="W323" s="43" t="s">
        <v>913</v>
      </c>
      <c r="X323" s="43" t="s">
        <v>65</v>
      </c>
    </row>
    <row r="324" spans="2:24" x14ac:dyDescent="0.2">
      <c r="B324" s="43" t="s">
        <v>330</v>
      </c>
      <c r="C324" s="43">
        <v>34</v>
      </c>
      <c r="D324" s="43" t="s">
        <v>829</v>
      </c>
      <c r="E324" s="43" t="s">
        <v>106</v>
      </c>
      <c r="F324" s="43" t="s">
        <v>830</v>
      </c>
      <c r="G324" s="43" t="s">
        <v>383</v>
      </c>
      <c r="H324" s="43">
        <v>60</v>
      </c>
      <c r="I324" s="43">
        <v>-64.076499999999996</v>
      </c>
      <c r="J324" s="28">
        <v>-4.5289999999999999E-7</v>
      </c>
      <c r="K324" s="43" t="s">
        <v>913</v>
      </c>
      <c r="L324" s="43" t="s">
        <v>65</v>
      </c>
      <c r="N324" s="43" t="s">
        <v>330</v>
      </c>
      <c r="O324" s="43">
        <v>34</v>
      </c>
      <c r="P324" s="43" t="s">
        <v>829</v>
      </c>
      <c r="Q324" s="43" t="s">
        <v>379</v>
      </c>
      <c r="R324" s="43" t="s">
        <v>830</v>
      </c>
      <c r="S324" s="43" t="s">
        <v>383</v>
      </c>
      <c r="T324" s="43">
        <v>10</v>
      </c>
      <c r="U324" s="43">
        <v>-64.064700000000002</v>
      </c>
      <c r="V324" s="28">
        <v>-4.5279999999999998E-7</v>
      </c>
      <c r="W324" s="43" t="s">
        <v>913</v>
      </c>
      <c r="X324" s="43" t="s">
        <v>65</v>
      </c>
    </row>
    <row r="325" spans="2:24" x14ac:dyDescent="0.2">
      <c r="B325" s="43" t="s">
        <v>330</v>
      </c>
      <c r="C325" s="43">
        <v>34</v>
      </c>
      <c r="D325" s="43" t="s">
        <v>829</v>
      </c>
      <c r="E325" s="43" t="s">
        <v>106</v>
      </c>
      <c r="F325" s="43" t="s">
        <v>831</v>
      </c>
      <c r="G325" s="43" t="s">
        <v>385</v>
      </c>
      <c r="H325" s="43">
        <v>60</v>
      </c>
      <c r="I325" s="43">
        <v>-58.457599999999999</v>
      </c>
      <c r="J325" s="28">
        <v>-4.1320000000000002E-7</v>
      </c>
      <c r="K325" s="43" t="s">
        <v>913</v>
      </c>
      <c r="L325" s="43" t="s">
        <v>65</v>
      </c>
      <c r="N325" s="43" t="s">
        <v>330</v>
      </c>
      <c r="O325" s="43">
        <v>34</v>
      </c>
      <c r="P325" s="43" t="s">
        <v>829</v>
      </c>
      <c r="Q325" s="43" t="s">
        <v>379</v>
      </c>
      <c r="R325" s="43" t="s">
        <v>831</v>
      </c>
      <c r="S325" s="43" t="s">
        <v>385</v>
      </c>
      <c r="T325" s="43">
        <v>10</v>
      </c>
      <c r="U325" s="43">
        <v>-58.471499999999999</v>
      </c>
      <c r="V325" s="28">
        <v>-4.1329999999999998E-7</v>
      </c>
      <c r="W325" s="43" t="s">
        <v>913</v>
      </c>
      <c r="X325" s="43" t="s">
        <v>65</v>
      </c>
    </row>
    <row r="326" spans="2:24" x14ac:dyDescent="0.2">
      <c r="B326" s="43" t="s">
        <v>330</v>
      </c>
      <c r="C326" s="43">
        <v>37</v>
      </c>
      <c r="D326" s="43" t="s">
        <v>832</v>
      </c>
      <c r="E326" s="43" t="s">
        <v>106</v>
      </c>
      <c r="F326" s="43" t="s">
        <v>833</v>
      </c>
      <c r="G326" s="43" t="s">
        <v>383</v>
      </c>
      <c r="H326" s="43">
        <v>60</v>
      </c>
      <c r="I326" s="43">
        <v>-56.613799999999998</v>
      </c>
      <c r="J326" s="28">
        <v>-3.8179999999999999E-7</v>
      </c>
      <c r="K326" s="43" t="s">
        <v>913</v>
      </c>
      <c r="L326" s="43" t="s">
        <v>65</v>
      </c>
      <c r="N326" s="43" t="s">
        <v>330</v>
      </c>
      <c r="O326" s="43">
        <v>37</v>
      </c>
      <c r="P326" s="43" t="s">
        <v>832</v>
      </c>
      <c r="Q326" s="43" t="s">
        <v>379</v>
      </c>
      <c r="R326" s="43" t="s">
        <v>833</v>
      </c>
      <c r="S326" s="43" t="s">
        <v>383</v>
      </c>
      <c r="T326" s="43">
        <v>10</v>
      </c>
      <c r="U326" s="43">
        <v>-56.597999999999999</v>
      </c>
      <c r="V326" s="28">
        <v>-3.8169999999999998E-7</v>
      </c>
      <c r="W326" s="43" t="s">
        <v>913</v>
      </c>
      <c r="X326" s="43" t="s">
        <v>65</v>
      </c>
    </row>
    <row r="327" spans="2:24" x14ac:dyDescent="0.2">
      <c r="B327" s="43" t="s">
        <v>330</v>
      </c>
      <c r="C327" s="43">
        <v>37</v>
      </c>
      <c r="D327" s="43" t="s">
        <v>832</v>
      </c>
      <c r="E327" s="43" t="s">
        <v>106</v>
      </c>
      <c r="F327" s="43" t="s">
        <v>834</v>
      </c>
      <c r="G327" s="43" t="s">
        <v>385</v>
      </c>
      <c r="H327" s="43">
        <v>60</v>
      </c>
      <c r="I327" s="43">
        <v>-73.104200000000006</v>
      </c>
      <c r="J327" s="28">
        <v>-4.9299999999999998E-7</v>
      </c>
      <c r="K327" s="43" t="s">
        <v>913</v>
      </c>
      <c r="L327" s="43" t="s">
        <v>65</v>
      </c>
      <c r="N327" s="43" t="s">
        <v>330</v>
      </c>
      <c r="O327" s="43">
        <v>37</v>
      </c>
      <c r="P327" s="43" t="s">
        <v>832</v>
      </c>
      <c r="Q327" s="43" t="s">
        <v>379</v>
      </c>
      <c r="R327" s="43" t="s">
        <v>834</v>
      </c>
      <c r="S327" s="43" t="s">
        <v>385</v>
      </c>
      <c r="T327" s="43">
        <v>10</v>
      </c>
      <c r="U327" s="43">
        <v>-73.119500000000002</v>
      </c>
      <c r="V327" s="28">
        <v>-4.9309999999999999E-7</v>
      </c>
      <c r="W327" s="43" t="s">
        <v>913</v>
      </c>
      <c r="X327" s="43" t="s">
        <v>65</v>
      </c>
    </row>
    <row r="328" spans="2:24" x14ac:dyDescent="0.2">
      <c r="B328" s="43" t="s">
        <v>330</v>
      </c>
      <c r="C328" s="43">
        <v>40</v>
      </c>
      <c r="D328" s="43" t="s">
        <v>835</v>
      </c>
      <c r="E328" s="43" t="s">
        <v>106</v>
      </c>
      <c r="F328" s="43" t="s">
        <v>836</v>
      </c>
      <c r="G328" s="43" t="s">
        <v>383</v>
      </c>
      <c r="H328" s="43">
        <v>60</v>
      </c>
      <c r="I328" s="43">
        <v>-43.747900000000001</v>
      </c>
      <c r="J328" s="28">
        <v>-4.1399999999999997E-7</v>
      </c>
      <c r="K328" s="43" t="s">
        <v>913</v>
      </c>
      <c r="L328" s="43" t="s">
        <v>65</v>
      </c>
      <c r="N328" s="43" t="s">
        <v>330</v>
      </c>
      <c r="O328" s="43">
        <v>40</v>
      </c>
      <c r="P328" s="43" t="s">
        <v>835</v>
      </c>
      <c r="Q328" s="43" t="s">
        <v>379</v>
      </c>
      <c r="R328" s="43" t="s">
        <v>836</v>
      </c>
      <c r="S328" s="43" t="s">
        <v>383</v>
      </c>
      <c r="T328" s="43">
        <v>10</v>
      </c>
      <c r="U328" s="43">
        <v>-43.732599999999998</v>
      </c>
      <c r="V328" s="28">
        <v>-4.1380000000000001E-7</v>
      </c>
      <c r="W328" s="43" t="s">
        <v>913</v>
      </c>
      <c r="X328" s="43" t="s">
        <v>65</v>
      </c>
    </row>
    <row r="329" spans="2:24" x14ac:dyDescent="0.2">
      <c r="B329" s="43" t="s">
        <v>330</v>
      </c>
      <c r="C329" s="43">
        <v>40</v>
      </c>
      <c r="D329" s="43" t="s">
        <v>835</v>
      </c>
      <c r="E329" s="43" t="s">
        <v>106</v>
      </c>
      <c r="F329" s="43" t="s">
        <v>837</v>
      </c>
      <c r="G329" s="43" t="s">
        <v>385</v>
      </c>
      <c r="H329" s="43">
        <v>60</v>
      </c>
      <c r="I329" s="43">
        <v>-42.744199999999999</v>
      </c>
      <c r="J329" s="28">
        <v>-4.045E-7</v>
      </c>
      <c r="K329" s="43" t="s">
        <v>913</v>
      </c>
      <c r="L329" s="43" t="s">
        <v>65</v>
      </c>
      <c r="N329" s="43" t="s">
        <v>330</v>
      </c>
      <c r="O329" s="43">
        <v>40</v>
      </c>
      <c r="P329" s="43" t="s">
        <v>835</v>
      </c>
      <c r="Q329" s="43" t="s">
        <v>379</v>
      </c>
      <c r="R329" s="43" t="s">
        <v>837</v>
      </c>
      <c r="S329" s="43" t="s">
        <v>385</v>
      </c>
      <c r="T329" s="43">
        <v>10</v>
      </c>
      <c r="U329" s="43">
        <v>-42.751199999999997</v>
      </c>
      <c r="V329" s="28">
        <v>-4.045E-7</v>
      </c>
      <c r="W329" s="43" t="s">
        <v>913</v>
      </c>
      <c r="X329" s="43" t="s">
        <v>65</v>
      </c>
    </row>
    <row r="330" spans="2:24" x14ac:dyDescent="0.2">
      <c r="B330" s="43" t="s">
        <v>330</v>
      </c>
      <c r="C330" s="43">
        <v>48</v>
      </c>
      <c r="D330" s="43" t="s">
        <v>838</v>
      </c>
      <c r="E330" s="43" t="s">
        <v>106</v>
      </c>
      <c r="F330" s="43" t="s">
        <v>839</v>
      </c>
      <c r="G330" s="43" t="s">
        <v>383</v>
      </c>
      <c r="H330" s="43">
        <v>60</v>
      </c>
      <c r="I330" s="43">
        <v>-58.680599999999998</v>
      </c>
      <c r="J330" s="28">
        <v>-4.3809999999999999E-7</v>
      </c>
      <c r="K330" s="43" t="s">
        <v>913</v>
      </c>
      <c r="L330" s="43" t="s">
        <v>65</v>
      </c>
      <c r="N330" s="43" t="s">
        <v>330</v>
      </c>
      <c r="O330" s="43">
        <v>48</v>
      </c>
      <c r="P330" s="43" t="s">
        <v>838</v>
      </c>
      <c r="Q330" s="43" t="s">
        <v>379</v>
      </c>
      <c r="R330" s="43" t="s">
        <v>839</v>
      </c>
      <c r="S330" s="43" t="s">
        <v>383</v>
      </c>
      <c r="T330" s="43">
        <v>10</v>
      </c>
      <c r="U330" s="43">
        <v>-58.726100000000002</v>
      </c>
      <c r="V330" s="28">
        <v>-4.3850000000000002E-7</v>
      </c>
      <c r="W330" s="43" t="s">
        <v>913</v>
      </c>
      <c r="X330" s="43" t="s">
        <v>65</v>
      </c>
    </row>
    <row r="331" spans="2:24" x14ac:dyDescent="0.2">
      <c r="B331" s="43" t="s">
        <v>330</v>
      </c>
      <c r="C331" s="43">
        <v>48</v>
      </c>
      <c r="D331" s="43" t="s">
        <v>838</v>
      </c>
      <c r="E331" s="43" t="s">
        <v>106</v>
      </c>
      <c r="F331" s="43" t="s">
        <v>840</v>
      </c>
      <c r="G331" s="43" t="s">
        <v>385</v>
      </c>
      <c r="H331" s="43">
        <v>60</v>
      </c>
      <c r="I331" s="43">
        <v>11.2293</v>
      </c>
      <c r="J331" s="28">
        <v>8.385E-8</v>
      </c>
      <c r="K331" s="43" t="s">
        <v>913</v>
      </c>
      <c r="L331" s="43" t="s">
        <v>65</v>
      </c>
      <c r="N331" s="43" t="s">
        <v>330</v>
      </c>
      <c r="O331" s="43">
        <v>48</v>
      </c>
      <c r="P331" s="43" t="s">
        <v>838</v>
      </c>
      <c r="Q331" s="43" t="s">
        <v>379</v>
      </c>
      <c r="R331" s="43" t="s">
        <v>840</v>
      </c>
      <c r="S331" s="43" t="s">
        <v>385</v>
      </c>
      <c r="T331" s="43">
        <v>10</v>
      </c>
      <c r="U331" s="43">
        <v>11.269600000000001</v>
      </c>
      <c r="V331" s="28">
        <v>8.4149999999999996E-8</v>
      </c>
      <c r="W331" s="43" t="s">
        <v>913</v>
      </c>
      <c r="X331" s="43" t="s">
        <v>65</v>
      </c>
    </row>
    <row r="332" spans="2:24" x14ac:dyDescent="0.2">
      <c r="B332" s="43" t="s">
        <v>330</v>
      </c>
      <c r="C332" s="43">
        <v>49</v>
      </c>
      <c r="D332" s="43" t="s">
        <v>841</v>
      </c>
      <c r="E332" s="43" t="s">
        <v>106</v>
      </c>
      <c r="F332" s="43" t="s">
        <v>842</v>
      </c>
      <c r="G332" s="43" t="s">
        <v>383</v>
      </c>
      <c r="H332" s="43">
        <v>60</v>
      </c>
      <c r="I332" s="43">
        <v>-48.799599999999998</v>
      </c>
      <c r="J332" s="28">
        <v>-3.6440000000000001E-7</v>
      </c>
      <c r="K332" s="43" t="s">
        <v>913</v>
      </c>
      <c r="L332" s="43" t="s">
        <v>65</v>
      </c>
      <c r="N332" s="43" t="s">
        <v>330</v>
      </c>
      <c r="O332" s="43">
        <v>49</v>
      </c>
      <c r="P332" s="43" t="s">
        <v>841</v>
      </c>
      <c r="Q332" s="43" t="s">
        <v>379</v>
      </c>
      <c r="R332" s="43" t="s">
        <v>842</v>
      </c>
      <c r="S332" s="43" t="s">
        <v>383</v>
      </c>
      <c r="T332" s="43">
        <v>10</v>
      </c>
      <c r="U332" s="43">
        <v>-48.839799999999997</v>
      </c>
      <c r="V332" s="28">
        <v>-3.6469999999999998E-7</v>
      </c>
      <c r="W332" s="43" t="s">
        <v>913</v>
      </c>
      <c r="X332" s="43" t="s">
        <v>65</v>
      </c>
    </row>
    <row r="333" spans="2:24" x14ac:dyDescent="0.2">
      <c r="B333" s="43" t="s">
        <v>330</v>
      </c>
      <c r="C333" s="43">
        <v>49</v>
      </c>
      <c r="D333" s="43" t="s">
        <v>841</v>
      </c>
      <c r="E333" s="43" t="s">
        <v>106</v>
      </c>
      <c r="F333" s="43" t="s">
        <v>843</v>
      </c>
      <c r="G333" s="43" t="s">
        <v>385</v>
      </c>
      <c r="H333" s="43">
        <v>60</v>
      </c>
      <c r="I333" s="43">
        <v>3.1858</v>
      </c>
      <c r="J333" s="28">
        <v>2.379E-8</v>
      </c>
      <c r="K333" s="43" t="s">
        <v>913</v>
      </c>
      <c r="L333" s="43" t="s">
        <v>65</v>
      </c>
      <c r="N333" s="43" t="s">
        <v>330</v>
      </c>
      <c r="O333" s="43">
        <v>49</v>
      </c>
      <c r="P333" s="43" t="s">
        <v>841</v>
      </c>
      <c r="Q333" s="43" t="s">
        <v>379</v>
      </c>
      <c r="R333" s="43" t="s">
        <v>843</v>
      </c>
      <c r="S333" s="43" t="s">
        <v>385</v>
      </c>
      <c r="T333" s="43">
        <v>10</v>
      </c>
      <c r="U333" s="43">
        <v>3.2288999999999999</v>
      </c>
      <c r="V333" s="28">
        <v>2.4109999999999999E-8</v>
      </c>
      <c r="W333" s="43" t="s">
        <v>913</v>
      </c>
      <c r="X333" s="43" t="s">
        <v>65</v>
      </c>
    </row>
    <row r="334" spans="2:24" x14ac:dyDescent="0.2">
      <c r="B334" s="43" t="s">
        <v>330</v>
      </c>
      <c r="C334" s="43">
        <v>50</v>
      </c>
      <c r="D334" s="43" t="s">
        <v>841</v>
      </c>
      <c r="E334" s="43" t="s">
        <v>106</v>
      </c>
      <c r="F334" s="43" t="s">
        <v>844</v>
      </c>
      <c r="G334" s="43" t="s">
        <v>383</v>
      </c>
      <c r="H334" s="43">
        <v>60</v>
      </c>
      <c r="I334" s="43">
        <v>-57.857799999999997</v>
      </c>
      <c r="J334" s="28">
        <v>-4.5670000000000001E-7</v>
      </c>
      <c r="K334" s="43" t="s">
        <v>913</v>
      </c>
      <c r="L334" s="43" t="s">
        <v>65</v>
      </c>
      <c r="N334" s="43" t="s">
        <v>330</v>
      </c>
      <c r="O334" s="43">
        <v>50</v>
      </c>
      <c r="P334" s="43" t="s">
        <v>841</v>
      </c>
      <c r="Q334" s="43" t="s">
        <v>379</v>
      </c>
      <c r="R334" s="43" t="s">
        <v>844</v>
      </c>
      <c r="S334" s="43" t="s">
        <v>383</v>
      </c>
      <c r="T334" s="43">
        <v>10</v>
      </c>
      <c r="U334" s="43">
        <v>-57.898699999999998</v>
      </c>
      <c r="V334" s="28">
        <v>-4.5699999999999998E-7</v>
      </c>
      <c r="W334" s="43" t="s">
        <v>913</v>
      </c>
      <c r="X334" s="43" t="s">
        <v>65</v>
      </c>
    </row>
    <row r="335" spans="2:24" x14ac:dyDescent="0.2">
      <c r="B335" s="43" t="s">
        <v>330</v>
      </c>
      <c r="C335" s="43">
        <v>50</v>
      </c>
      <c r="D335" s="43" t="s">
        <v>841</v>
      </c>
      <c r="E335" s="43" t="s">
        <v>106</v>
      </c>
      <c r="F335" s="43" t="s">
        <v>845</v>
      </c>
      <c r="G335" s="43" t="s">
        <v>385</v>
      </c>
      <c r="H335" s="43">
        <v>60</v>
      </c>
      <c r="I335" s="43">
        <v>0.82640000000000002</v>
      </c>
      <c r="J335" s="28">
        <v>6.5229999999999999E-9</v>
      </c>
      <c r="K335" s="43" t="s">
        <v>913</v>
      </c>
      <c r="L335" s="43" t="s">
        <v>65</v>
      </c>
      <c r="N335" s="43" t="s">
        <v>330</v>
      </c>
      <c r="O335" s="43">
        <v>50</v>
      </c>
      <c r="P335" s="43" t="s">
        <v>841</v>
      </c>
      <c r="Q335" s="43" t="s">
        <v>379</v>
      </c>
      <c r="R335" s="43" t="s">
        <v>845</v>
      </c>
      <c r="S335" s="43" t="s">
        <v>385</v>
      </c>
      <c r="T335" s="43">
        <v>10</v>
      </c>
      <c r="U335" s="43">
        <v>0.86739999999999995</v>
      </c>
      <c r="V335" s="28">
        <v>6.847E-9</v>
      </c>
      <c r="W335" s="43" t="s">
        <v>913</v>
      </c>
      <c r="X335" s="43" t="s">
        <v>65</v>
      </c>
    </row>
    <row r="336" spans="2:24" x14ac:dyDescent="0.2">
      <c r="B336" s="43" t="s">
        <v>330</v>
      </c>
      <c r="C336" s="43">
        <v>51</v>
      </c>
      <c r="D336" s="43" t="s">
        <v>841</v>
      </c>
      <c r="E336" s="43" t="s">
        <v>106</v>
      </c>
      <c r="F336" s="43" t="s">
        <v>846</v>
      </c>
      <c r="G336" s="43" t="s">
        <v>383</v>
      </c>
      <c r="H336" s="43">
        <v>60</v>
      </c>
      <c r="I336" s="43">
        <v>-59.003399999999999</v>
      </c>
      <c r="J336" s="28">
        <v>-4.4060000000000001E-7</v>
      </c>
      <c r="K336" s="43" t="s">
        <v>913</v>
      </c>
      <c r="L336" s="43" t="s">
        <v>65</v>
      </c>
      <c r="N336" s="43" t="s">
        <v>330</v>
      </c>
      <c r="O336" s="43">
        <v>51</v>
      </c>
      <c r="P336" s="43" t="s">
        <v>841</v>
      </c>
      <c r="Q336" s="43" t="s">
        <v>379</v>
      </c>
      <c r="R336" s="43" t="s">
        <v>846</v>
      </c>
      <c r="S336" s="43" t="s">
        <v>383</v>
      </c>
      <c r="T336" s="43">
        <v>10</v>
      </c>
      <c r="U336" s="43">
        <v>-59.044699999999999</v>
      </c>
      <c r="V336" s="28">
        <v>-4.4089999999999998E-7</v>
      </c>
      <c r="W336" s="43" t="s">
        <v>913</v>
      </c>
      <c r="X336" s="43" t="s">
        <v>65</v>
      </c>
    </row>
    <row r="337" spans="2:24" x14ac:dyDescent="0.2">
      <c r="B337" s="43" t="s">
        <v>330</v>
      </c>
      <c r="C337" s="43">
        <v>51</v>
      </c>
      <c r="D337" s="43" t="s">
        <v>841</v>
      </c>
      <c r="E337" s="43" t="s">
        <v>106</v>
      </c>
      <c r="F337" s="43" t="s">
        <v>847</v>
      </c>
      <c r="G337" s="43" t="s">
        <v>385</v>
      </c>
      <c r="H337" s="43">
        <v>60</v>
      </c>
      <c r="I337" s="43">
        <v>11.4231</v>
      </c>
      <c r="J337" s="28">
        <v>8.5290000000000005E-8</v>
      </c>
      <c r="K337" s="43" t="s">
        <v>913</v>
      </c>
      <c r="L337" s="43" t="s">
        <v>65</v>
      </c>
      <c r="N337" s="43" t="s">
        <v>330</v>
      </c>
      <c r="O337" s="43">
        <v>51</v>
      </c>
      <c r="P337" s="43" t="s">
        <v>841</v>
      </c>
      <c r="Q337" s="43" t="s">
        <v>379</v>
      </c>
      <c r="R337" s="43" t="s">
        <v>847</v>
      </c>
      <c r="S337" s="43" t="s">
        <v>385</v>
      </c>
      <c r="T337" s="43">
        <v>10</v>
      </c>
      <c r="U337" s="43">
        <v>11.4617</v>
      </c>
      <c r="V337" s="28">
        <v>8.5580000000000003E-8</v>
      </c>
      <c r="W337" s="43" t="s">
        <v>913</v>
      </c>
      <c r="X337" s="43" t="s">
        <v>65</v>
      </c>
    </row>
    <row r="338" spans="2:24" x14ac:dyDescent="0.2">
      <c r="B338" s="43" t="s">
        <v>330</v>
      </c>
      <c r="C338" s="43">
        <v>52</v>
      </c>
      <c r="D338" s="43" t="s">
        <v>848</v>
      </c>
      <c r="E338" s="43" t="s">
        <v>106</v>
      </c>
      <c r="F338" s="43" t="s">
        <v>849</v>
      </c>
      <c r="G338" s="43" t="s">
        <v>383</v>
      </c>
      <c r="H338" s="43">
        <v>60</v>
      </c>
      <c r="I338" s="43">
        <v>-50.720399999999998</v>
      </c>
      <c r="J338" s="28">
        <v>-3.7870000000000002E-7</v>
      </c>
      <c r="K338" s="43" t="s">
        <v>913</v>
      </c>
      <c r="L338" s="43" t="s">
        <v>65</v>
      </c>
      <c r="N338" s="43" t="s">
        <v>330</v>
      </c>
      <c r="O338" s="43">
        <v>52</v>
      </c>
      <c r="P338" s="43" t="s">
        <v>848</v>
      </c>
      <c r="Q338" s="43" t="s">
        <v>379</v>
      </c>
      <c r="R338" s="43" t="s">
        <v>849</v>
      </c>
      <c r="S338" s="43" t="s">
        <v>383</v>
      </c>
      <c r="T338" s="43">
        <v>10</v>
      </c>
      <c r="U338" s="43">
        <v>-50.762500000000003</v>
      </c>
      <c r="V338" s="28">
        <v>-3.7899999999999999E-7</v>
      </c>
      <c r="W338" s="43" t="s">
        <v>913</v>
      </c>
      <c r="X338" s="43" t="s">
        <v>65</v>
      </c>
    </row>
    <row r="339" spans="2:24" x14ac:dyDescent="0.2">
      <c r="B339" s="43" t="s">
        <v>330</v>
      </c>
      <c r="C339" s="43">
        <v>52</v>
      </c>
      <c r="D339" s="43" t="s">
        <v>848</v>
      </c>
      <c r="E339" s="43" t="s">
        <v>106</v>
      </c>
      <c r="F339" s="43" t="s">
        <v>850</v>
      </c>
      <c r="G339" s="43" t="s">
        <v>385</v>
      </c>
      <c r="H339" s="43">
        <v>60</v>
      </c>
      <c r="I339" s="43">
        <v>8.3652999999999995</v>
      </c>
      <c r="J339" s="28">
        <v>6.2460000000000005E-8</v>
      </c>
      <c r="K339" s="43" t="s">
        <v>913</v>
      </c>
      <c r="L339" s="43" t="s">
        <v>65</v>
      </c>
      <c r="N339" s="43" t="s">
        <v>330</v>
      </c>
      <c r="O339" s="43">
        <v>52</v>
      </c>
      <c r="P339" s="43" t="s">
        <v>848</v>
      </c>
      <c r="Q339" s="43" t="s">
        <v>379</v>
      </c>
      <c r="R339" s="43" t="s">
        <v>850</v>
      </c>
      <c r="S339" s="43" t="s">
        <v>385</v>
      </c>
      <c r="T339" s="43">
        <v>10</v>
      </c>
      <c r="U339" s="43">
        <v>8.4129000000000005</v>
      </c>
      <c r="V339" s="28">
        <v>6.2820000000000003E-8</v>
      </c>
      <c r="W339" s="43" t="s">
        <v>913</v>
      </c>
      <c r="X339" s="43" t="s">
        <v>65</v>
      </c>
    </row>
    <row r="340" spans="2:24" x14ac:dyDescent="0.2">
      <c r="B340" s="43" t="s">
        <v>330</v>
      </c>
      <c r="C340" s="43">
        <v>26</v>
      </c>
      <c r="D340" s="43" t="s">
        <v>851</v>
      </c>
      <c r="E340" s="43" t="s">
        <v>106</v>
      </c>
      <c r="F340" s="43" t="s">
        <v>852</v>
      </c>
      <c r="G340" s="43" t="s">
        <v>383</v>
      </c>
      <c r="H340" s="43">
        <v>60</v>
      </c>
      <c r="I340" s="43">
        <v>-45.807899999999997</v>
      </c>
      <c r="J340" s="28">
        <v>-3.9239999999999999E-7</v>
      </c>
      <c r="K340" s="43" t="s">
        <v>913</v>
      </c>
      <c r="L340" s="43" t="s">
        <v>65</v>
      </c>
      <c r="N340" s="43" t="s">
        <v>330</v>
      </c>
      <c r="O340" s="43">
        <v>26</v>
      </c>
      <c r="P340" s="43" t="s">
        <v>851</v>
      </c>
      <c r="Q340" s="43" t="s">
        <v>379</v>
      </c>
      <c r="R340" s="43" t="s">
        <v>852</v>
      </c>
      <c r="S340" s="43" t="s">
        <v>383</v>
      </c>
      <c r="T340" s="43">
        <v>10</v>
      </c>
      <c r="U340" s="43">
        <v>-45.797699999999999</v>
      </c>
      <c r="V340" s="28">
        <v>-3.9229999999999999E-7</v>
      </c>
      <c r="W340" s="43" t="s">
        <v>913</v>
      </c>
      <c r="X340" s="43" t="s">
        <v>65</v>
      </c>
    </row>
    <row r="341" spans="2:24" x14ac:dyDescent="0.2">
      <c r="B341" s="43" t="s">
        <v>330</v>
      </c>
      <c r="C341" s="43">
        <v>26</v>
      </c>
      <c r="D341" s="43" t="s">
        <v>851</v>
      </c>
      <c r="E341" s="43" t="s">
        <v>106</v>
      </c>
      <c r="F341" s="43" t="s">
        <v>853</v>
      </c>
      <c r="G341" s="43" t="s">
        <v>385</v>
      </c>
      <c r="H341" s="43">
        <v>60</v>
      </c>
      <c r="I341" s="43">
        <v>-45.742100000000001</v>
      </c>
      <c r="J341" s="28">
        <v>-3.918E-7</v>
      </c>
      <c r="K341" s="43" t="s">
        <v>913</v>
      </c>
      <c r="L341" s="43" t="s">
        <v>65</v>
      </c>
      <c r="N341" s="43" t="s">
        <v>330</v>
      </c>
      <c r="O341" s="43">
        <v>26</v>
      </c>
      <c r="P341" s="43" t="s">
        <v>851</v>
      </c>
      <c r="Q341" s="43" t="s">
        <v>379</v>
      </c>
      <c r="R341" s="43" t="s">
        <v>853</v>
      </c>
      <c r="S341" s="43" t="s">
        <v>385</v>
      </c>
      <c r="T341" s="43">
        <v>10</v>
      </c>
      <c r="U341" s="43">
        <v>-45.759500000000003</v>
      </c>
      <c r="V341" s="28">
        <v>-3.9200000000000002E-7</v>
      </c>
      <c r="W341" s="43" t="s">
        <v>913</v>
      </c>
      <c r="X341" s="43" t="s">
        <v>65</v>
      </c>
    </row>
    <row r="342" spans="2:24" x14ac:dyDescent="0.2">
      <c r="B342" s="43" t="s">
        <v>330</v>
      </c>
      <c r="C342" s="43">
        <v>29</v>
      </c>
      <c r="D342" s="43" t="s">
        <v>854</v>
      </c>
      <c r="E342" s="43" t="s">
        <v>106</v>
      </c>
      <c r="F342" s="43" t="s">
        <v>855</v>
      </c>
      <c r="G342" s="43" t="s">
        <v>383</v>
      </c>
      <c r="H342" s="43">
        <v>60</v>
      </c>
      <c r="I342" s="43">
        <v>-73.132300000000001</v>
      </c>
      <c r="J342" s="28">
        <v>-4.8859999999999997E-7</v>
      </c>
      <c r="K342" s="43" t="s">
        <v>913</v>
      </c>
      <c r="L342" s="43" t="s">
        <v>65</v>
      </c>
      <c r="N342" s="43" t="s">
        <v>330</v>
      </c>
      <c r="O342" s="43">
        <v>29</v>
      </c>
      <c r="P342" s="43" t="s">
        <v>854</v>
      </c>
      <c r="Q342" s="43" t="s">
        <v>379</v>
      </c>
      <c r="R342" s="43" t="s">
        <v>855</v>
      </c>
      <c r="S342" s="43" t="s">
        <v>383</v>
      </c>
      <c r="T342" s="43">
        <v>10</v>
      </c>
      <c r="U342" s="43">
        <v>-73.116399999999999</v>
      </c>
      <c r="V342" s="28">
        <v>-4.8849999999999996E-7</v>
      </c>
      <c r="W342" s="43" t="s">
        <v>913</v>
      </c>
      <c r="X342" s="43" t="s">
        <v>65</v>
      </c>
    </row>
    <row r="343" spans="2:24" x14ac:dyDescent="0.2">
      <c r="B343" s="43" t="s">
        <v>330</v>
      </c>
      <c r="C343" s="43">
        <v>29</v>
      </c>
      <c r="D343" s="43" t="s">
        <v>854</v>
      </c>
      <c r="E343" s="43" t="s">
        <v>106</v>
      </c>
      <c r="F343" s="43" t="s">
        <v>856</v>
      </c>
      <c r="G343" s="43" t="s">
        <v>385</v>
      </c>
      <c r="H343" s="43">
        <v>60</v>
      </c>
      <c r="I343" s="43">
        <v>-73.091200000000001</v>
      </c>
      <c r="J343" s="28">
        <v>-4.8830000000000005E-7</v>
      </c>
      <c r="K343" s="43" t="s">
        <v>913</v>
      </c>
      <c r="L343" s="43" t="s">
        <v>65</v>
      </c>
      <c r="N343" s="43" t="s">
        <v>330</v>
      </c>
      <c r="O343" s="43">
        <v>29</v>
      </c>
      <c r="P343" s="43" t="s">
        <v>854</v>
      </c>
      <c r="Q343" s="43" t="s">
        <v>379</v>
      </c>
      <c r="R343" s="43" t="s">
        <v>856</v>
      </c>
      <c r="S343" s="43" t="s">
        <v>385</v>
      </c>
      <c r="T343" s="43">
        <v>10</v>
      </c>
      <c r="U343" s="43">
        <v>-73.107600000000005</v>
      </c>
      <c r="V343" s="28">
        <v>-4.8849999999999996E-7</v>
      </c>
      <c r="W343" s="43" t="s">
        <v>913</v>
      </c>
      <c r="X343" s="43" t="s">
        <v>65</v>
      </c>
    </row>
    <row r="344" spans="2:24" x14ac:dyDescent="0.2">
      <c r="B344" s="43" t="s">
        <v>330</v>
      </c>
      <c r="C344" s="43">
        <v>32</v>
      </c>
      <c r="D344" s="43" t="s">
        <v>857</v>
      </c>
      <c r="E344" s="43" t="s">
        <v>106</v>
      </c>
      <c r="F344" s="43" t="s">
        <v>858</v>
      </c>
      <c r="G344" s="43" t="s">
        <v>383</v>
      </c>
      <c r="H344" s="43">
        <v>60</v>
      </c>
      <c r="I344" s="43">
        <v>-56.887599999999999</v>
      </c>
      <c r="J344" s="28">
        <v>-3.875E-7</v>
      </c>
      <c r="K344" s="43" t="s">
        <v>913</v>
      </c>
      <c r="L344" s="43" t="s">
        <v>65</v>
      </c>
      <c r="N344" s="43" t="s">
        <v>330</v>
      </c>
      <c r="O344" s="43">
        <v>32</v>
      </c>
      <c r="P344" s="43" t="s">
        <v>857</v>
      </c>
      <c r="Q344" s="43" t="s">
        <v>379</v>
      </c>
      <c r="R344" s="43" t="s">
        <v>858</v>
      </c>
      <c r="S344" s="43" t="s">
        <v>383</v>
      </c>
      <c r="T344" s="43">
        <v>10</v>
      </c>
      <c r="U344" s="43">
        <v>-56.871200000000002</v>
      </c>
      <c r="V344" s="28">
        <v>-3.8739999999999999E-7</v>
      </c>
      <c r="W344" s="43" t="s">
        <v>913</v>
      </c>
      <c r="X344" s="43" t="s">
        <v>65</v>
      </c>
    </row>
    <row r="345" spans="2:24" x14ac:dyDescent="0.2">
      <c r="B345" s="43" t="s">
        <v>330</v>
      </c>
      <c r="C345" s="43">
        <v>32</v>
      </c>
      <c r="D345" s="43" t="s">
        <v>857</v>
      </c>
      <c r="E345" s="43" t="s">
        <v>106</v>
      </c>
      <c r="F345" s="43" t="s">
        <v>859</v>
      </c>
      <c r="G345" s="43" t="s">
        <v>385</v>
      </c>
      <c r="H345" s="43">
        <v>60</v>
      </c>
      <c r="I345" s="43">
        <v>-56.882800000000003</v>
      </c>
      <c r="J345" s="28">
        <v>-3.8739999999999999E-7</v>
      </c>
      <c r="K345" s="43" t="s">
        <v>913</v>
      </c>
      <c r="L345" s="43" t="s">
        <v>65</v>
      </c>
      <c r="N345" s="43" t="s">
        <v>330</v>
      </c>
      <c r="O345" s="43">
        <v>32</v>
      </c>
      <c r="P345" s="43" t="s">
        <v>857</v>
      </c>
      <c r="Q345" s="43" t="s">
        <v>379</v>
      </c>
      <c r="R345" s="43" t="s">
        <v>859</v>
      </c>
      <c r="S345" s="43" t="s">
        <v>385</v>
      </c>
      <c r="T345" s="43">
        <v>10</v>
      </c>
      <c r="U345" s="43">
        <v>-56.898600000000002</v>
      </c>
      <c r="V345" s="28">
        <v>-3.876E-7</v>
      </c>
      <c r="W345" s="43" t="s">
        <v>913</v>
      </c>
      <c r="X345" s="43" t="s">
        <v>65</v>
      </c>
    </row>
    <row r="346" spans="2:24" x14ac:dyDescent="0.2">
      <c r="B346" s="43" t="s">
        <v>330</v>
      </c>
      <c r="C346" s="43">
        <v>35</v>
      </c>
      <c r="D346" s="43" t="s">
        <v>860</v>
      </c>
      <c r="E346" s="43" t="s">
        <v>106</v>
      </c>
      <c r="F346" s="43" t="s">
        <v>861</v>
      </c>
      <c r="G346" s="43" t="s">
        <v>383</v>
      </c>
      <c r="H346" s="43">
        <v>60</v>
      </c>
      <c r="I346" s="43">
        <v>-57.302799999999998</v>
      </c>
      <c r="J346" s="28">
        <v>-3.9029999999999999E-7</v>
      </c>
      <c r="K346" s="43" t="s">
        <v>913</v>
      </c>
      <c r="L346" s="43" t="s">
        <v>65</v>
      </c>
      <c r="N346" s="43" t="s">
        <v>330</v>
      </c>
      <c r="O346" s="43">
        <v>35</v>
      </c>
      <c r="P346" s="43" t="s">
        <v>860</v>
      </c>
      <c r="Q346" s="43" t="s">
        <v>379</v>
      </c>
      <c r="R346" s="43" t="s">
        <v>861</v>
      </c>
      <c r="S346" s="43" t="s">
        <v>383</v>
      </c>
      <c r="T346" s="43">
        <v>10</v>
      </c>
      <c r="U346" s="43">
        <v>-57.287300000000002</v>
      </c>
      <c r="V346" s="28">
        <v>-3.9019999999999999E-7</v>
      </c>
      <c r="W346" s="43" t="s">
        <v>913</v>
      </c>
      <c r="X346" s="43" t="s">
        <v>65</v>
      </c>
    </row>
    <row r="347" spans="2:24" x14ac:dyDescent="0.2">
      <c r="B347" s="43" t="s">
        <v>330</v>
      </c>
      <c r="C347" s="43">
        <v>35</v>
      </c>
      <c r="D347" s="43" t="s">
        <v>860</v>
      </c>
      <c r="E347" s="43" t="s">
        <v>106</v>
      </c>
      <c r="F347" s="43" t="s">
        <v>862</v>
      </c>
      <c r="G347" s="43" t="s">
        <v>385</v>
      </c>
      <c r="H347" s="43">
        <v>60</v>
      </c>
      <c r="I347" s="43">
        <v>-57.3369</v>
      </c>
      <c r="J347" s="28">
        <v>-3.9050000000000001E-7</v>
      </c>
      <c r="K347" s="43" t="s">
        <v>913</v>
      </c>
      <c r="L347" s="43" t="s">
        <v>65</v>
      </c>
      <c r="N347" s="43" t="s">
        <v>330</v>
      </c>
      <c r="O347" s="43">
        <v>35</v>
      </c>
      <c r="P347" s="43" t="s">
        <v>860</v>
      </c>
      <c r="Q347" s="43" t="s">
        <v>379</v>
      </c>
      <c r="R347" s="43" t="s">
        <v>862</v>
      </c>
      <c r="S347" s="43" t="s">
        <v>385</v>
      </c>
      <c r="T347" s="43">
        <v>10</v>
      </c>
      <c r="U347" s="43">
        <v>-57.352600000000002</v>
      </c>
      <c r="V347" s="28">
        <v>-3.9060000000000002E-7</v>
      </c>
      <c r="W347" s="43" t="s">
        <v>913</v>
      </c>
      <c r="X347" s="43" t="s">
        <v>65</v>
      </c>
    </row>
    <row r="348" spans="2:24" x14ac:dyDescent="0.2">
      <c r="B348" s="43" t="s">
        <v>330</v>
      </c>
      <c r="C348" s="43">
        <v>38</v>
      </c>
      <c r="D348" s="43" t="s">
        <v>863</v>
      </c>
      <c r="E348" s="43" t="s">
        <v>106</v>
      </c>
      <c r="F348" s="43" t="s">
        <v>864</v>
      </c>
      <c r="G348" s="43" t="s">
        <v>383</v>
      </c>
      <c r="H348" s="43">
        <v>60</v>
      </c>
      <c r="I348" s="43">
        <v>-72.940700000000007</v>
      </c>
      <c r="J348" s="28">
        <v>-4.8729999999999998E-7</v>
      </c>
      <c r="K348" s="43" t="s">
        <v>913</v>
      </c>
      <c r="L348" s="43" t="s">
        <v>65</v>
      </c>
      <c r="N348" s="43" t="s">
        <v>330</v>
      </c>
      <c r="O348" s="43">
        <v>38</v>
      </c>
      <c r="P348" s="43" t="s">
        <v>863</v>
      </c>
      <c r="Q348" s="43" t="s">
        <v>379</v>
      </c>
      <c r="R348" s="43" t="s">
        <v>864</v>
      </c>
      <c r="S348" s="43" t="s">
        <v>383</v>
      </c>
      <c r="T348" s="43">
        <v>10</v>
      </c>
      <c r="U348" s="43">
        <v>-72.926100000000005</v>
      </c>
      <c r="V348" s="28">
        <v>-4.8719999999999997E-7</v>
      </c>
      <c r="W348" s="43" t="s">
        <v>913</v>
      </c>
      <c r="X348" s="43" t="s">
        <v>65</v>
      </c>
    </row>
    <row r="349" spans="2:24" x14ac:dyDescent="0.2">
      <c r="B349" s="43" t="s">
        <v>330</v>
      </c>
      <c r="C349" s="43">
        <v>38</v>
      </c>
      <c r="D349" s="43" t="s">
        <v>863</v>
      </c>
      <c r="E349" s="43" t="s">
        <v>106</v>
      </c>
      <c r="F349" s="43" t="s">
        <v>865</v>
      </c>
      <c r="G349" s="43" t="s">
        <v>385</v>
      </c>
      <c r="H349" s="43">
        <v>60</v>
      </c>
      <c r="I349" s="43">
        <v>-73.013599999999997</v>
      </c>
      <c r="J349" s="28">
        <v>-4.8780000000000001E-7</v>
      </c>
      <c r="K349" s="43" t="s">
        <v>913</v>
      </c>
      <c r="L349" s="43" t="s">
        <v>65</v>
      </c>
      <c r="N349" s="43" t="s">
        <v>330</v>
      </c>
      <c r="O349" s="43">
        <v>38</v>
      </c>
      <c r="P349" s="43" t="s">
        <v>863</v>
      </c>
      <c r="Q349" s="43" t="s">
        <v>379</v>
      </c>
      <c r="R349" s="43" t="s">
        <v>865</v>
      </c>
      <c r="S349" s="43" t="s">
        <v>385</v>
      </c>
      <c r="T349" s="43">
        <v>10</v>
      </c>
      <c r="U349" s="43">
        <v>-73.028400000000005</v>
      </c>
      <c r="V349" s="28">
        <v>-4.8790000000000002E-7</v>
      </c>
      <c r="W349" s="43" t="s">
        <v>913</v>
      </c>
      <c r="X349" s="43" t="s">
        <v>65</v>
      </c>
    </row>
    <row r="350" spans="2:24" x14ac:dyDescent="0.2">
      <c r="B350" s="43" t="s">
        <v>330</v>
      </c>
      <c r="C350" s="43">
        <v>41</v>
      </c>
      <c r="D350" s="43" t="s">
        <v>866</v>
      </c>
      <c r="E350" s="43" t="s">
        <v>106</v>
      </c>
      <c r="F350" s="43" t="s">
        <v>867</v>
      </c>
      <c r="G350" s="43" t="s">
        <v>383</v>
      </c>
      <c r="H350" s="43">
        <v>60</v>
      </c>
      <c r="I350" s="43">
        <v>-40.239100000000001</v>
      </c>
      <c r="J350" s="28">
        <v>-3.4470000000000001E-7</v>
      </c>
      <c r="K350" s="43" t="s">
        <v>913</v>
      </c>
      <c r="L350" s="43" t="s">
        <v>65</v>
      </c>
      <c r="N350" s="43" t="s">
        <v>330</v>
      </c>
      <c r="O350" s="43">
        <v>41</v>
      </c>
      <c r="P350" s="43" t="s">
        <v>866</v>
      </c>
      <c r="Q350" s="43" t="s">
        <v>379</v>
      </c>
      <c r="R350" s="43" t="s">
        <v>867</v>
      </c>
      <c r="S350" s="43" t="s">
        <v>383</v>
      </c>
      <c r="T350" s="43">
        <v>10</v>
      </c>
      <c r="U350" s="43">
        <v>-40.223500000000001</v>
      </c>
      <c r="V350" s="28">
        <v>-3.4449999999999999E-7</v>
      </c>
      <c r="W350" s="43" t="s">
        <v>913</v>
      </c>
      <c r="X350" s="43" t="s">
        <v>65</v>
      </c>
    </row>
    <row r="351" spans="2:24" x14ac:dyDescent="0.2">
      <c r="B351" s="43" t="s">
        <v>330</v>
      </c>
      <c r="C351" s="43">
        <v>41</v>
      </c>
      <c r="D351" s="43" t="s">
        <v>866</v>
      </c>
      <c r="E351" s="43" t="s">
        <v>106</v>
      </c>
      <c r="F351" s="43" t="s">
        <v>868</v>
      </c>
      <c r="G351" s="43" t="s">
        <v>385</v>
      </c>
      <c r="H351" s="43">
        <v>60</v>
      </c>
      <c r="I351" s="43">
        <v>-40.329599999999999</v>
      </c>
      <c r="J351" s="28">
        <v>-3.4540000000000001E-7</v>
      </c>
      <c r="K351" s="43" t="s">
        <v>913</v>
      </c>
      <c r="L351" s="43" t="s">
        <v>65</v>
      </c>
      <c r="N351" s="43" t="s">
        <v>330</v>
      </c>
      <c r="O351" s="43">
        <v>41</v>
      </c>
      <c r="P351" s="43" t="s">
        <v>866</v>
      </c>
      <c r="Q351" s="43" t="s">
        <v>379</v>
      </c>
      <c r="R351" s="43" t="s">
        <v>868</v>
      </c>
      <c r="S351" s="43" t="s">
        <v>385</v>
      </c>
      <c r="T351" s="43">
        <v>10</v>
      </c>
      <c r="U351" s="43">
        <v>-40.337699999999998</v>
      </c>
      <c r="V351" s="28">
        <v>-3.4550000000000002E-7</v>
      </c>
      <c r="W351" s="43" t="s">
        <v>913</v>
      </c>
      <c r="X351" s="43" t="s">
        <v>65</v>
      </c>
    </row>
    <row r="352" spans="2:24" x14ac:dyDescent="0.2">
      <c r="B352" s="43" t="s">
        <v>330</v>
      </c>
      <c r="C352" s="43">
        <v>53</v>
      </c>
      <c r="D352" s="43" t="s">
        <v>869</v>
      </c>
      <c r="E352" s="43" t="s">
        <v>106</v>
      </c>
      <c r="F352" s="43" t="s">
        <v>870</v>
      </c>
      <c r="G352" s="43" t="s">
        <v>383</v>
      </c>
      <c r="H352" s="43">
        <v>60</v>
      </c>
      <c r="I352" s="43">
        <v>-58.704900000000002</v>
      </c>
      <c r="J352" s="28">
        <v>-4.383E-7</v>
      </c>
      <c r="K352" s="43" t="s">
        <v>913</v>
      </c>
      <c r="L352" s="43" t="s">
        <v>65</v>
      </c>
      <c r="N352" s="43" t="s">
        <v>330</v>
      </c>
      <c r="O352" s="43">
        <v>53</v>
      </c>
      <c r="P352" s="43" t="s">
        <v>869</v>
      </c>
      <c r="Q352" s="43" t="s">
        <v>379</v>
      </c>
      <c r="R352" s="43" t="s">
        <v>870</v>
      </c>
      <c r="S352" s="43" t="s">
        <v>383</v>
      </c>
      <c r="T352" s="43">
        <v>10</v>
      </c>
      <c r="U352" s="43">
        <v>-58.7498</v>
      </c>
      <c r="V352" s="28">
        <v>-4.3869999999999998E-7</v>
      </c>
      <c r="W352" s="43" t="s">
        <v>913</v>
      </c>
      <c r="X352" s="43" t="s">
        <v>65</v>
      </c>
    </row>
    <row r="353" spans="2:24" x14ac:dyDescent="0.2">
      <c r="B353" s="43" t="s">
        <v>330</v>
      </c>
      <c r="C353" s="43">
        <v>53</v>
      </c>
      <c r="D353" s="43" t="s">
        <v>869</v>
      </c>
      <c r="E353" s="43" t="s">
        <v>106</v>
      </c>
      <c r="F353" s="43" t="s">
        <v>871</v>
      </c>
      <c r="G353" s="43" t="s">
        <v>385</v>
      </c>
      <c r="H353" s="43">
        <v>60</v>
      </c>
      <c r="I353" s="43">
        <v>11.2516</v>
      </c>
      <c r="J353" s="28">
        <v>8.4009999999999996E-8</v>
      </c>
      <c r="K353" s="43" t="s">
        <v>913</v>
      </c>
      <c r="L353" s="43" t="s">
        <v>65</v>
      </c>
      <c r="N353" s="43" t="s">
        <v>330</v>
      </c>
      <c r="O353" s="43">
        <v>53</v>
      </c>
      <c r="P353" s="43" t="s">
        <v>869</v>
      </c>
      <c r="Q353" s="43" t="s">
        <v>379</v>
      </c>
      <c r="R353" s="43" t="s">
        <v>871</v>
      </c>
      <c r="S353" s="43" t="s">
        <v>385</v>
      </c>
      <c r="T353" s="43">
        <v>10</v>
      </c>
      <c r="U353" s="43">
        <v>11.2913</v>
      </c>
      <c r="V353" s="28">
        <v>8.4310000000000005E-8</v>
      </c>
      <c r="W353" s="43" t="s">
        <v>913</v>
      </c>
      <c r="X353" s="43" t="s">
        <v>65</v>
      </c>
    </row>
    <row r="354" spans="2:24" x14ac:dyDescent="0.2">
      <c r="B354" s="43" t="s">
        <v>330</v>
      </c>
      <c r="C354" s="43">
        <v>54</v>
      </c>
      <c r="D354" s="43" t="s">
        <v>872</v>
      </c>
      <c r="E354" s="43" t="s">
        <v>106</v>
      </c>
      <c r="F354" s="43" t="s">
        <v>873</v>
      </c>
      <c r="G354" s="43" t="s">
        <v>383</v>
      </c>
      <c r="H354" s="43">
        <v>60</v>
      </c>
      <c r="I354" s="43">
        <v>-48.821899999999999</v>
      </c>
      <c r="J354" s="28">
        <v>-3.6450000000000001E-7</v>
      </c>
      <c r="K354" s="43" t="s">
        <v>913</v>
      </c>
      <c r="L354" s="43" t="s">
        <v>65</v>
      </c>
      <c r="N354" s="43" t="s">
        <v>330</v>
      </c>
      <c r="O354" s="43">
        <v>54</v>
      </c>
      <c r="P354" s="43" t="s">
        <v>872</v>
      </c>
      <c r="Q354" s="43" t="s">
        <v>379</v>
      </c>
      <c r="R354" s="43" t="s">
        <v>873</v>
      </c>
      <c r="S354" s="43" t="s">
        <v>383</v>
      </c>
      <c r="T354" s="43">
        <v>10</v>
      </c>
      <c r="U354" s="43">
        <v>-48.861600000000003</v>
      </c>
      <c r="V354" s="28">
        <v>-3.6479999999999998E-7</v>
      </c>
      <c r="W354" s="43" t="s">
        <v>913</v>
      </c>
      <c r="X354" s="43" t="s">
        <v>65</v>
      </c>
    </row>
    <row r="355" spans="2:24" x14ac:dyDescent="0.2">
      <c r="B355" s="43" t="s">
        <v>330</v>
      </c>
      <c r="C355" s="43">
        <v>54</v>
      </c>
      <c r="D355" s="43" t="s">
        <v>872</v>
      </c>
      <c r="E355" s="43" t="s">
        <v>106</v>
      </c>
      <c r="F355" s="43" t="s">
        <v>874</v>
      </c>
      <c r="G355" s="43" t="s">
        <v>385</v>
      </c>
      <c r="H355" s="43">
        <v>60</v>
      </c>
      <c r="I355" s="43">
        <v>3.2090999999999998</v>
      </c>
      <c r="J355" s="28">
        <v>2.3960000000000001E-8</v>
      </c>
      <c r="K355" s="43" t="s">
        <v>913</v>
      </c>
      <c r="L355" s="43" t="s">
        <v>65</v>
      </c>
      <c r="N355" s="43" t="s">
        <v>330</v>
      </c>
      <c r="O355" s="43">
        <v>54</v>
      </c>
      <c r="P355" s="43" t="s">
        <v>872</v>
      </c>
      <c r="Q355" s="43" t="s">
        <v>379</v>
      </c>
      <c r="R355" s="43" t="s">
        <v>874</v>
      </c>
      <c r="S355" s="43" t="s">
        <v>385</v>
      </c>
      <c r="T355" s="43">
        <v>10</v>
      </c>
      <c r="U355" s="43">
        <v>3.2515999999999998</v>
      </c>
      <c r="V355" s="28">
        <v>2.428E-8</v>
      </c>
      <c r="W355" s="43" t="s">
        <v>913</v>
      </c>
      <c r="X355" s="43" t="s">
        <v>65</v>
      </c>
    </row>
    <row r="356" spans="2:24" x14ac:dyDescent="0.2">
      <c r="B356" s="43" t="s">
        <v>330</v>
      </c>
      <c r="C356" s="43">
        <v>55</v>
      </c>
      <c r="D356" s="43" t="s">
        <v>872</v>
      </c>
      <c r="E356" s="43" t="s">
        <v>106</v>
      </c>
      <c r="F356" s="43" t="s">
        <v>875</v>
      </c>
      <c r="G356" s="43" t="s">
        <v>383</v>
      </c>
      <c r="H356" s="43">
        <v>60</v>
      </c>
      <c r="I356" s="43">
        <v>-57.880099999999999</v>
      </c>
      <c r="J356" s="28">
        <v>-4.5690000000000002E-7</v>
      </c>
      <c r="K356" s="43" t="s">
        <v>913</v>
      </c>
      <c r="L356" s="43" t="s">
        <v>65</v>
      </c>
      <c r="N356" s="43" t="s">
        <v>330</v>
      </c>
      <c r="O356" s="43">
        <v>55</v>
      </c>
      <c r="P356" s="43" t="s">
        <v>872</v>
      </c>
      <c r="Q356" s="43" t="s">
        <v>379</v>
      </c>
      <c r="R356" s="43" t="s">
        <v>875</v>
      </c>
      <c r="S356" s="43" t="s">
        <v>383</v>
      </c>
      <c r="T356" s="43">
        <v>10</v>
      </c>
      <c r="U356" s="43">
        <v>-57.920499999999997</v>
      </c>
      <c r="V356" s="28">
        <v>-4.5719999999999999E-7</v>
      </c>
      <c r="W356" s="43" t="s">
        <v>913</v>
      </c>
      <c r="X356" s="43" t="s">
        <v>65</v>
      </c>
    </row>
    <row r="357" spans="2:24" x14ac:dyDescent="0.2">
      <c r="B357" s="43" t="s">
        <v>330</v>
      </c>
      <c r="C357" s="43">
        <v>55</v>
      </c>
      <c r="D357" s="43" t="s">
        <v>872</v>
      </c>
      <c r="E357" s="43" t="s">
        <v>106</v>
      </c>
      <c r="F357" s="43" t="s">
        <v>876</v>
      </c>
      <c r="G357" s="43" t="s">
        <v>385</v>
      </c>
      <c r="H357" s="43">
        <v>60</v>
      </c>
      <c r="I357" s="43">
        <v>0.84870000000000001</v>
      </c>
      <c r="J357" s="28">
        <v>6.6990000000000001E-9</v>
      </c>
      <c r="K357" s="43" t="s">
        <v>913</v>
      </c>
      <c r="L357" s="43" t="s">
        <v>65</v>
      </c>
      <c r="N357" s="43" t="s">
        <v>330</v>
      </c>
      <c r="O357" s="43">
        <v>55</v>
      </c>
      <c r="P357" s="43" t="s">
        <v>872</v>
      </c>
      <c r="Q357" s="43" t="s">
        <v>379</v>
      </c>
      <c r="R357" s="43" t="s">
        <v>876</v>
      </c>
      <c r="S357" s="43" t="s">
        <v>385</v>
      </c>
      <c r="T357" s="43">
        <v>10</v>
      </c>
      <c r="U357" s="43">
        <v>0.8891</v>
      </c>
      <c r="V357" s="28">
        <v>7.0180000000000004E-9</v>
      </c>
      <c r="W357" s="43" t="s">
        <v>913</v>
      </c>
      <c r="X357" s="43" t="s">
        <v>65</v>
      </c>
    </row>
    <row r="358" spans="2:24" x14ac:dyDescent="0.2">
      <c r="B358" s="43" t="s">
        <v>330</v>
      </c>
      <c r="C358" s="43">
        <v>56</v>
      </c>
      <c r="D358" s="43" t="s">
        <v>872</v>
      </c>
      <c r="E358" s="43" t="s">
        <v>106</v>
      </c>
      <c r="F358" s="43" t="s">
        <v>877</v>
      </c>
      <c r="G358" s="43" t="s">
        <v>383</v>
      </c>
      <c r="H358" s="43">
        <v>60</v>
      </c>
      <c r="I358" s="43">
        <v>-59.026200000000003</v>
      </c>
      <c r="J358" s="28">
        <v>-4.4070000000000002E-7</v>
      </c>
      <c r="K358" s="43" t="s">
        <v>913</v>
      </c>
      <c r="L358" s="43" t="s">
        <v>65</v>
      </c>
      <c r="N358" s="43" t="s">
        <v>330</v>
      </c>
      <c r="O358" s="43">
        <v>56</v>
      </c>
      <c r="P358" s="43" t="s">
        <v>872</v>
      </c>
      <c r="Q358" s="43" t="s">
        <v>379</v>
      </c>
      <c r="R358" s="43" t="s">
        <v>877</v>
      </c>
      <c r="S358" s="43" t="s">
        <v>383</v>
      </c>
      <c r="T358" s="43">
        <v>10</v>
      </c>
      <c r="U358" s="43">
        <v>-59.066899999999997</v>
      </c>
      <c r="V358" s="28">
        <v>-4.4099999999999999E-7</v>
      </c>
      <c r="W358" s="43" t="s">
        <v>913</v>
      </c>
      <c r="X358" s="43" t="s">
        <v>65</v>
      </c>
    </row>
    <row r="359" spans="2:24" x14ac:dyDescent="0.2">
      <c r="B359" s="43" t="s">
        <v>330</v>
      </c>
      <c r="C359" s="43">
        <v>56</v>
      </c>
      <c r="D359" s="43" t="s">
        <v>872</v>
      </c>
      <c r="E359" s="43" t="s">
        <v>106</v>
      </c>
      <c r="F359" s="43" t="s">
        <v>878</v>
      </c>
      <c r="G359" s="43" t="s">
        <v>385</v>
      </c>
      <c r="H359" s="43">
        <v>60</v>
      </c>
      <c r="I359" s="43">
        <v>11.444599999999999</v>
      </c>
      <c r="J359" s="28">
        <v>8.5450000000000001E-8</v>
      </c>
      <c r="K359" s="43" t="s">
        <v>913</v>
      </c>
      <c r="L359" s="43" t="s">
        <v>65</v>
      </c>
      <c r="N359" s="43" t="s">
        <v>330</v>
      </c>
      <c r="O359" s="43">
        <v>56</v>
      </c>
      <c r="P359" s="43" t="s">
        <v>872</v>
      </c>
      <c r="Q359" s="43" t="s">
        <v>379</v>
      </c>
      <c r="R359" s="43" t="s">
        <v>878</v>
      </c>
      <c r="S359" s="43" t="s">
        <v>385</v>
      </c>
      <c r="T359" s="43">
        <v>10</v>
      </c>
      <c r="U359" s="43">
        <v>11.482699999999999</v>
      </c>
      <c r="V359" s="28">
        <v>8.5739999999999999E-8</v>
      </c>
      <c r="W359" s="43" t="s">
        <v>913</v>
      </c>
      <c r="X359" s="43" t="s">
        <v>65</v>
      </c>
    </row>
    <row r="360" spans="2:24" x14ac:dyDescent="0.2">
      <c r="B360" s="43" t="s">
        <v>330</v>
      </c>
      <c r="C360" s="43">
        <v>57</v>
      </c>
      <c r="D360" s="43" t="s">
        <v>879</v>
      </c>
      <c r="E360" s="43" t="s">
        <v>106</v>
      </c>
      <c r="F360" s="43" t="s">
        <v>880</v>
      </c>
      <c r="G360" s="43" t="s">
        <v>383</v>
      </c>
      <c r="H360" s="43">
        <v>60</v>
      </c>
      <c r="I360" s="43">
        <v>-50.743400000000001</v>
      </c>
      <c r="J360" s="28">
        <v>-3.7889999999999998E-7</v>
      </c>
      <c r="K360" s="43" t="s">
        <v>913</v>
      </c>
      <c r="L360" s="43" t="s">
        <v>65</v>
      </c>
      <c r="N360" s="43" t="s">
        <v>330</v>
      </c>
      <c r="O360" s="43">
        <v>57</v>
      </c>
      <c r="P360" s="43" t="s">
        <v>879</v>
      </c>
      <c r="Q360" s="43" t="s">
        <v>379</v>
      </c>
      <c r="R360" s="43" t="s">
        <v>880</v>
      </c>
      <c r="S360" s="43" t="s">
        <v>383</v>
      </c>
      <c r="T360" s="43">
        <v>10</v>
      </c>
      <c r="U360" s="43">
        <v>-50.784799999999997</v>
      </c>
      <c r="V360" s="28">
        <v>-3.7920000000000001E-7</v>
      </c>
      <c r="W360" s="43" t="s">
        <v>913</v>
      </c>
      <c r="X360" s="43" t="s">
        <v>65</v>
      </c>
    </row>
    <row r="361" spans="2:24" x14ac:dyDescent="0.2">
      <c r="B361" s="43" t="s">
        <v>330</v>
      </c>
      <c r="C361" s="43">
        <v>57</v>
      </c>
      <c r="D361" s="43" t="s">
        <v>879</v>
      </c>
      <c r="E361" s="43" t="s">
        <v>106</v>
      </c>
      <c r="F361" s="43" t="s">
        <v>881</v>
      </c>
      <c r="G361" s="43" t="s">
        <v>385</v>
      </c>
      <c r="H361" s="43">
        <v>60</v>
      </c>
      <c r="I361" s="43">
        <v>8.3917000000000002</v>
      </c>
      <c r="J361" s="28">
        <v>6.2660000000000007E-8</v>
      </c>
      <c r="K361" s="43" t="s">
        <v>913</v>
      </c>
      <c r="L361" s="43" t="s">
        <v>65</v>
      </c>
      <c r="N361" s="43" t="s">
        <v>330</v>
      </c>
      <c r="O361" s="43">
        <v>57</v>
      </c>
      <c r="P361" s="43" t="s">
        <v>879</v>
      </c>
      <c r="Q361" s="43" t="s">
        <v>379</v>
      </c>
      <c r="R361" s="43" t="s">
        <v>881</v>
      </c>
      <c r="S361" s="43" t="s">
        <v>385</v>
      </c>
      <c r="T361" s="43">
        <v>10</v>
      </c>
      <c r="U361" s="43">
        <v>8.4384999999999994</v>
      </c>
      <c r="V361" s="28">
        <v>6.3010000000000006E-8</v>
      </c>
      <c r="W361" s="43" t="s">
        <v>913</v>
      </c>
      <c r="X361" s="43" t="s">
        <v>65</v>
      </c>
    </row>
    <row r="362" spans="2:24" x14ac:dyDescent="0.2">
      <c r="B362" s="43" t="s">
        <v>330</v>
      </c>
      <c r="C362" s="43">
        <v>27</v>
      </c>
      <c r="D362" s="43" t="s">
        <v>882</v>
      </c>
      <c r="E362" s="43" t="s">
        <v>106</v>
      </c>
      <c r="F362" s="43" t="s">
        <v>883</v>
      </c>
      <c r="G362" s="43" t="s">
        <v>383</v>
      </c>
      <c r="H362" s="43">
        <v>60</v>
      </c>
      <c r="I362" s="43">
        <v>-48.484200000000001</v>
      </c>
      <c r="J362" s="28">
        <v>-4.5880000000000001E-7</v>
      </c>
      <c r="K362" s="43" t="s">
        <v>913</v>
      </c>
      <c r="L362" s="43" t="s">
        <v>65</v>
      </c>
      <c r="N362" s="43" t="s">
        <v>330</v>
      </c>
      <c r="O362" s="43">
        <v>27</v>
      </c>
      <c r="P362" s="43" t="s">
        <v>882</v>
      </c>
      <c r="Q362" s="43" t="s">
        <v>379</v>
      </c>
      <c r="R362" s="43" t="s">
        <v>883</v>
      </c>
      <c r="S362" s="43" t="s">
        <v>383</v>
      </c>
      <c r="T362" s="43">
        <v>10</v>
      </c>
      <c r="U362" s="43">
        <v>-48.475299999999997</v>
      </c>
      <c r="V362" s="28">
        <v>-4.587E-7</v>
      </c>
      <c r="W362" s="43" t="s">
        <v>913</v>
      </c>
      <c r="X362" s="43" t="s">
        <v>65</v>
      </c>
    </row>
    <row r="363" spans="2:24" x14ac:dyDescent="0.2">
      <c r="B363" s="43" t="s">
        <v>330</v>
      </c>
      <c r="C363" s="43">
        <v>27</v>
      </c>
      <c r="D363" s="43" t="s">
        <v>882</v>
      </c>
      <c r="E363" s="43" t="s">
        <v>106</v>
      </c>
      <c r="F363" s="43" t="s">
        <v>884</v>
      </c>
      <c r="G363" s="43" t="s">
        <v>385</v>
      </c>
      <c r="H363" s="43">
        <v>60</v>
      </c>
      <c r="I363" s="43">
        <v>-48.932699999999997</v>
      </c>
      <c r="J363" s="28">
        <v>-4.63E-7</v>
      </c>
      <c r="K363" s="43" t="s">
        <v>913</v>
      </c>
      <c r="L363" s="43" t="s">
        <v>65</v>
      </c>
      <c r="N363" s="43" t="s">
        <v>330</v>
      </c>
      <c r="O363" s="43">
        <v>27</v>
      </c>
      <c r="P363" s="43" t="s">
        <v>882</v>
      </c>
      <c r="Q363" s="43" t="s">
        <v>379</v>
      </c>
      <c r="R363" s="43" t="s">
        <v>884</v>
      </c>
      <c r="S363" s="43" t="s">
        <v>385</v>
      </c>
      <c r="T363" s="43">
        <v>10</v>
      </c>
      <c r="U363" s="43">
        <v>-48.948999999999998</v>
      </c>
      <c r="V363" s="28">
        <v>-4.6320000000000002E-7</v>
      </c>
      <c r="W363" s="43" t="s">
        <v>913</v>
      </c>
      <c r="X363" s="43" t="s">
        <v>65</v>
      </c>
    </row>
    <row r="364" spans="2:24" x14ac:dyDescent="0.2">
      <c r="B364" s="43" t="s">
        <v>330</v>
      </c>
      <c r="C364" s="43">
        <v>30</v>
      </c>
      <c r="D364" s="43" t="s">
        <v>885</v>
      </c>
      <c r="E364" s="43" t="s">
        <v>106</v>
      </c>
      <c r="F364" s="43" t="s">
        <v>886</v>
      </c>
      <c r="G364" s="43" t="s">
        <v>383</v>
      </c>
      <c r="H364" s="43">
        <v>60</v>
      </c>
      <c r="I364" s="43">
        <v>-73.440200000000004</v>
      </c>
      <c r="J364" s="28">
        <v>-4.9520000000000004E-7</v>
      </c>
      <c r="K364" s="43" t="s">
        <v>913</v>
      </c>
      <c r="L364" s="43" t="s">
        <v>65</v>
      </c>
      <c r="N364" s="43" t="s">
        <v>330</v>
      </c>
      <c r="O364" s="43">
        <v>30</v>
      </c>
      <c r="P364" s="43" t="s">
        <v>885</v>
      </c>
      <c r="Q364" s="43" t="s">
        <v>379</v>
      </c>
      <c r="R364" s="43" t="s">
        <v>886</v>
      </c>
      <c r="S364" s="43" t="s">
        <v>383</v>
      </c>
      <c r="T364" s="43">
        <v>10</v>
      </c>
      <c r="U364" s="43">
        <v>-73.424700000000001</v>
      </c>
      <c r="V364" s="28">
        <v>-4.9510000000000003E-7</v>
      </c>
      <c r="W364" s="43" t="s">
        <v>913</v>
      </c>
      <c r="X364" s="43" t="s">
        <v>65</v>
      </c>
    </row>
    <row r="365" spans="2:24" x14ac:dyDescent="0.2">
      <c r="B365" s="43" t="s">
        <v>330</v>
      </c>
      <c r="C365" s="43">
        <v>30</v>
      </c>
      <c r="D365" s="43" t="s">
        <v>885</v>
      </c>
      <c r="E365" s="43" t="s">
        <v>106</v>
      </c>
      <c r="F365" s="43" t="s">
        <v>887</v>
      </c>
      <c r="G365" s="43" t="s">
        <v>385</v>
      </c>
      <c r="H365" s="43">
        <v>60</v>
      </c>
      <c r="I365" s="43">
        <v>-56.978299999999997</v>
      </c>
      <c r="J365" s="28">
        <v>-3.8420000000000001E-7</v>
      </c>
      <c r="K365" s="43" t="s">
        <v>913</v>
      </c>
      <c r="L365" s="43" t="s">
        <v>65</v>
      </c>
      <c r="N365" s="43" t="s">
        <v>330</v>
      </c>
      <c r="O365" s="43">
        <v>30</v>
      </c>
      <c r="P365" s="43" t="s">
        <v>885</v>
      </c>
      <c r="Q365" s="43" t="s">
        <v>379</v>
      </c>
      <c r="R365" s="43" t="s">
        <v>887</v>
      </c>
      <c r="S365" s="43" t="s">
        <v>385</v>
      </c>
      <c r="T365" s="43">
        <v>10</v>
      </c>
      <c r="U365" s="43">
        <v>-56.994700000000002</v>
      </c>
      <c r="V365" s="28">
        <v>-3.8430000000000002E-7</v>
      </c>
      <c r="W365" s="43" t="s">
        <v>913</v>
      </c>
      <c r="X365" s="43" t="s">
        <v>65</v>
      </c>
    </row>
    <row r="366" spans="2:24" x14ac:dyDescent="0.2">
      <c r="B366" s="43" t="s">
        <v>330</v>
      </c>
      <c r="C366" s="43">
        <v>33</v>
      </c>
      <c r="D366" s="43" t="s">
        <v>888</v>
      </c>
      <c r="E366" s="43" t="s">
        <v>106</v>
      </c>
      <c r="F366" s="43" t="s">
        <v>889</v>
      </c>
      <c r="G366" s="43" t="s">
        <v>383</v>
      </c>
      <c r="H366" s="43">
        <v>60</v>
      </c>
      <c r="I366" s="43">
        <v>-58.301900000000003</v>
      </c>
      <c r="J366" s="28">
        <v>-4.1209999999999999E-7</v>
      </c>
      <c r="K366" s="43" t="s">
        <v>913</v>
      </c>
      <c r="L366" s="43" t="s">
        <v>65</v>
      </c>
      <c r="N366" s="43" t="s">
        <v>330</v>
      </c>
      <c r="O366" s="43">
        <v>33</v>
      </c>
      <c r="P366" s="43" t="s">
        <v>888</v>
      </c>
      <c r="Q366" s="43" t="s">
        <v>379</v>
      </c>
      <c r="R366" s="43" t="s">
        <v>889</v>
      </c>
      <c r="S366" s="43" t="s">
        <v>383</v>
      </c>
      <c r="T366" s="43">
        <v>10</v>
      </c>
      <c r="U366" s="43">
        <v>-58.284999999999997</v>
      </c>
      <c r="V366" s="28">
        <v>-4.1199999999999998E-7</v>
      </c>
      <c r="W366" s="43" t="s">
        <v>913</v>
      </c>
      <c r="X366" s="43" t="s">
        <v>65</v>
      </c>
    </row>
    <row r="367" spans="2:24" x14ac:dyDescent="0.2">
      <c r="B367" s="43" t="s">
        <v>330</v>
      </c>
      <c r="C367" s="43">
        <v>33</v>
      </c>
      <c r="D367" s="43" t="s">
        <v>888</v>
      </c>
      <c r="E367" s="43" t="s">
        <v>106</v>
      </c>
      <c r="F367" s="43" t="s">
        <v>890</v>
      </c>
      <c r="G367" s="43" t="s">
        <v>385</v>
      </c>
      <c r="H367" s="43">
        <v>60</v>
      </c>
      <c r="I367" s="43">
        <v>-64.247200000000007</v>
      </c>
      <c r="J367" s="28">
        <v>-4.5410000000000002E-7</v>
      </c>
      <c r="K367" s="43" t="s">
        <v>913</v>
      </c>
      <c r="L367" s="43" t="s">
        <v>65</v>
      </c>
      <c r="N367" s="43" t="s">
        <v>330</v>
      </c>
      <c r="O367" s="43">
        <v>33</v>
      </c>
      <c r="P367" s="43" t="s">
        <v>888</v>
      </c>
      <c r="Q367" s="43" t="s">
        <v>379</v>
      </c>
      <c r="R367" s="43" t="s">
        <v>890</v>
      </c>
      <c r="S367" s="43" t="s">
        <v>385</v>
      </c>
      <c r="T367" s="43">
        <v>10</v>
      </c>
      <c r="U367" s="43">
        <v>-64.267099999999999</v>
      </c>
      <c r="V367" s="28">
        <v>-4.5429999999999999E-7</v>
      </c>
      <c r="W367" s="43" t="s">
        <v>913</v>
      </c>
      <c r="X367" s="43" t="s">
        <v>65</v>
      </c>
    </row>
    <row r="368" spans="2:24" x14ac:dyDescent="0.2">
      <c r="B368" s="43" t="s">
        <v>330</v>
      </c>
      <c r="C368" s="43">
        <v>36</v>
      </c>
      <c r="D368" s="43" t="s">
        <v>891</v>
      </c>
      <c r="E368" s="43" t="s">
        <v>106</v>
      </c>
      <c r="F368" s="43" t="s">
        <v>892</v>
      </c>
      <c r="G368" s="43" t="s">
        <v>383</v>
      </c>
      <c r="H368" s="43">
        <v>60</v>
      </c>
      <c r="I368" s="43">
        <v>-58.424199999999999</v>
      </c>
      <c r="J368" s="28">
        <v>-4.1300000000000001E-7</v>
      </c>
      <c r="K368" s="43" t="s">
        <v>913</v>
      </c>
      <c r="L368" s="43" t="s">
        <v>65</v>
      </c>
      <c r="N368" s="43" t="s">
        <v>330</v>
      </c>
      <c r="O368" s="43">
        <v>36</v>
      </c>
      <c r="P368" s="43" t="s">
        <v>891</v>
      </c>
      <c r="Q368" s="43" t="s">
        <v>379</v>
      </c>
      <c r="R368" s="43" t="s">
        <v>892</v>
      </c>
      <c r="S368" s="43" t="s">
        <v>383</v>
      </c>
      <c r="T368" s="43">
        <v>10</v>
      </c>
      <c r="U368" s="43">
        <v>-58.407400000000003</v>
      </c>
      <c r="V368" s="28">
        <v>-4.1279999999999999E-7</v>
      </c>
      <c r="W368" s="43" t="s">
        <v>913</v>
      </c>
      <c r="X368" s="43" t="s">
        <v>65</v>
      </c>
    </row>
    <row r="369" spans="2:24" x14ac:dyDescent="0.2">
      <c r="B369" s="43" t="s">
        <v>330</v>
      </c>
      <c r="C369" s="43">
        <v>36</v>
      </c>
      <c r="D369" s="43" t="s">
        <v>891</v>
      </c>
      <c r="E369" s="43" t="s">
        <v>106</v>
      </c>
      <c r="F369" s="43" t="s">
        <v>893</v>
      </c>
      <c r="G369" s="43" t="s">
        <v>385</v>
      </c>
      <c r="H369" s="43">
        <v>60</v>
      </c>
      <c r="I369" s="43">
        <v>-64.108699999999999</v>
      </c>
      <c r="J369" s="28">
        <v>-4.531E-7</v>
      </c>
      <c r="K369" s="43" t="s">
        <v>913</v>
      </c>
      <c r="L369" s="43" t="s">
        <v>65</v>
      </c>
      <c r="N369" s="43" t="s">
        <v>330</v>
      </c>
      <c r="O369" s="43">
        <v>36</v>
      </c>
      <c r="P369" s="43" t="s">
        <v>891</v>
      </c>
      <c r="Q369" s="43" t="s">
        <v>379</v>
      </c>
      <c r="R369" s="43" t="s">
        <v>893</v>
      </c>
      <c r="S369" s="43" t="s">
        <v>385</v>
      </c>
      <c r="T369" s="43">
        <v>10</v>
      </c>
      <c r="U369" s="43">
        <v>-64.128500000000003</v>
      </c>
      <c r="V369" s="28">
        <v>-4.5330000000000002E-7</v>
      </c>
      <c r="W369" s="43" t="s">
        <v>913</v>
      </c>
      <c r="X369" s="43" t="s">
        <v>65</v>
      </c>
    </row>
    <row r="370" spans="2:24" x14ac:dyDescent="0.2">
      <c r="B370" s="43" t="s">
        <v>330</v>
      </c>
      <c r="C370" s="43">
        <v>39</v>
      </c>
      <c r="D370" s="43" t="s">
        <v>894</v>
      </c>
      <c r="E370" s="43" t="s">
        <v>106</v>
      </c>
      <c r="F370" s="43" t="s">
        <v>895</v>
      </c>
      <c r="G370" s="43" t="s">
        <v>383</v>
      </c>
      <c r="H370" s="43">
        <v>60</v>
      </c>
      <c r="I370" s="43">
        <v>-73.032399999999996</v>
      </c>
      <c r="J370" s="28">
        <v>-4.9250000000000005E-7</v>
      </c>
      <c r="K370" s="43" t="s">
        <v>913</v>
      </c>
      <c r="L370" s="43" t="s">
        <v>65</v>
      </c>
      <c r="N370" s="43" t="s">
        <v>330</v>
      </c>
      <c r="O370" s="43">
        <v>39</v>
      </c>
      <c r="P370" s="43" t="s">
        <v>894</v>
      </c>
      <c r="Q370" s="43" t="s">
        <v>379</v>
      </c>
      <c r="R370" s="43" t="s">
        <v>895</v>
      </c>
      <c r="S370" s="43" t="s">
        <v>383</v>
      </c>
      <c r="T370" s="43">
        <v>10</v>
      </c>
      <c r="U370" s="43">
        <v>-73.017700000000005</v>
      </c>
      <c r="V370" s="28">
        <v>-4.9240000000000004E-7</v>
      </c>
      <c r="W370" s="43" t="s">
        <v>913</v>
      </c>
      <c r="X370" s="43" t="s">
        <v>65</v>
      </c>
    </row>
    <row r="371" spans="2:24" x14ac:dyDescent="0.2">
      <c r="B371" s="43" t="s">
        <v>330</v>
      </c>
      <c r="C371" s="43">
        <v>39</v>
      </c>
      <c r="D371" s="43" t="s">
        <v>894</v>
      </c>
      <c r="E371" s="43" t="s">
        <v>106</v>
      </c>
      <c r="F371" s="43" t="s">
        <v>896</v>
      </c>
      <c r="G371" s="43" t="s">
        <v>385</v>
      </c>
      <c r="H371" s="43">
        <v>60</v>
      </c>
      <c r="I371" s="43">
        <v>-56.686599999999999</v>
      </c>
      <c r="J371" s="28">
        <v>-3.8229999999999998E-7</v>
      </c>
      <c r="K371" s="43" t="s">
        <v>913</v>
      </c>
      <c r="L371" s="43" t="s">
        <v>65</v>
      </c>
      <c r="N371" s="43" t="s">
        <v>330</v>
      </c>
      <c r="O371" s="43">
        <v>39</v>
      </c>
      <c r="P371" s="43" t="s">
        <v>894</v>
      </c>
      <c r="Q371" s="43" t="s">
        <v>379</v>
      </c>
      <c r="R371" s="43" t="s">
        <v>896</v>
      </c>
      <c r="S371" s="43" t="s">
        <v>385</v>
      </c>
      <c r="T371" s="43">
        <v>10</v>
      </c>
      <c r="U371" s="43">
        <v>-56.701799999999999</v>
      </c>
      <c r="V371" s="28">
        <v>-3.8239999999999998E-7</v>
      </c>
      <c r="W371" s="43" t="s">
        <v>913</v>
      </c>
      <c r="X371" s="43" t="s">
        <v>65</v>
      </c>
    </row>
    <row r="372" spans="2:24" x14ac:dyDescent="0.2">
      <c r="B372" s="43" t="s">
        <v>330</v>
      </c>
      <c r="C372" s="43">
        <v>42</v>
      </c>
      <c r="D372" s="43" t="s">
        <v>897</v>
      </c>
      <c r="E372" s="43" t="s">
        <v>106</v>
      </c>
      <c r="F372" s="43" t="s">
        <v>898</v>
      </c>
      <c r="G372" s="43" t="s">
        <v>383</v>
      </c>
      <c r="H372" s="43">
        <v>60</v>
      </c>
      <c r="I372" s="43">
        <v>-42.66</v>
      </c>
      <c r="J372" s="28">
        <v>-4.037E-7</v>
      </c>
      <c r="K372" s="43" t="s">
        <v>913</v>
      </c>
      <c r="L372" s="43" t="s">
        <v>65</v>
      </c>
      <c r="N372" s="43" t="s">
        <v>330</v>
      </c>
      <c r="O372" s="43">
        <v>42</v>
      </c>
      <c r="P372" s="43" t="s">
        <v>897</v>
      </c>
      <c r="Q372" s="43" t="s">
        <v>379</v>
      </c>
      <c r="R372" s="43" t="s">
        <v>898</v>
      </c>
      <c r="S372" s="43" t="s">
        <v>383</v>
      </c>
      <c r="T372" s="43">
        <v>10</v>
      </c>
      <c r="U372" s="43">
        <v>-42.645400000000002</v>
      </c>
      <c r="V372" s="28">
        <v>-4.0349999999999998E-7</v>
      </c>
      <c r="W372" s="43" t="s">
        <v>913</v>
      </c>
      <c r="X372" s="43" t="s">
        <v>65</v>
      </c>
    </row>
    <row r="373" spans="2:24" x14ac:dyDescent="0.2">
      <c r="B373" s="43" t="s">
        <v>330</v>
      </c>
      <c r="C373" s="43">
        <v>42</v>
      </c>
      <c r="D373" s="43" t="s">
        <v>897</v>
      </c>
      <c r="E373" s="43" t="s">
        <v>106</v>
      </c>
      <c r="F373" s="43" t="s">
        <v>899</v>
      </c>
      <c r="G373" s="43" t="s">
        <v>385</v>
      </c>
      <c r="H373" s="43">
        <v>60</v>
      </c>
      <c r="I373" s="43">
        <v>-43.819499999999998</v>
      </c>
      <c r="J373" s="28">
        <v>-4.1460000000000002E-7</v>
      </c>
      <c r="K373" s="43" t="s">
        <v>913</v>
      </c>
      <c r="L373" s="43" t="s">
        <v>65</v>
      </c>
      <c r="N373" s="43" t="s">
        <v>330</v>
      </c>
      <c r="O373" s="43">
        <v>42</v>
      </c>
      <c r="P373" s="43" t="s">
        <v>897</v>
      </c>
      <c r="Q373" s="43" t="s">
        <v>379</v>
      </c>
      <c r="R373" s="43" t="s">
        <v>899</v>
      </c>
      <c r="S373" s="43" t="s">
        <v>385</v>
      </c>
      <c r="T373" s="43">
        <v>10</v>
      </c>
      <c r="U373" s="43">
        <v>-43.826099999999997</v>
      </c>
      <c r="V373" s="28">
        <v>-4.1469999999999997E-7</v>
      </c>
      <c r="W373" s="43" t="s">
        <v>913</v>
      </c>
      <c r="X373" s="43" t="s">
        <v>65</v>
      </c>
    </row>
    <row r="374" spans="2:24" x14ac:dyDescent="0.2">
      <c r="B374" s="43" t="s">
        <v>330</v>
      </c>
      <c r="C374" s="43">
        <v>58</v>
      </c>
      <c r="D374" s="43" t="s">
        <v>900</v>
      </c>
      <c r="E374" s="43" t="s">
        <v>106</v>
      </c>
      <c r="F374" s="43" t="s">
        <v>901</v>
      </c>
      <c r="G374" s="43" t="s">
        <v>383</v>
      </c>
      <c r="H374" s="43">
        <v>60</v>
      </c>
      <c r="I374" s="43">
        <v>-42.145600000000002</v>
      </c>
      <c r="J374" s="28">
        <v>-4.32E-7</v>
      </c>
      <c r="K374" s="43" t="s">
        <v>913</v>
      </c>
      <c r="L374" s="43" t="s">
        <v>65</v>
      </c>
      <c r="N374" s="43" t="s">
        <v>330</v>
      </c>
      <c r="O374" s="43">
        <v>58</v>
      </c>
      <c r="P374" s="43" t="s">
        <v>900</v>
      </c>
      <c r="Q374" s="43" t="s">
        <v>379</v>
      </c>
      <c r="R374" s="43" t="s">
        <v>901</v>
      </c>
      <c r="S374" s="43" t="s">
        <v>383</v>
      </c>
      <c r="T374" s="43">
        <v>10</v>
      </c>
      <c r="U374" s="43">
        <v>-42.178899999999999</v>
      </c>
      <c r="V374" s="28">
        <v>-4.3239999999999998E-7</v>
      </c>
      <c r="W374" s="43" t="s">
        <v>913</v>
      </c>
      <c r="X374" s="43" t="s">
        <v>65</v>
      </c>
    </row>
    <row r="375" spans="2:24" x14ac:dyDescent="0.2">
      <c r="B375" s="43" t="s">
        <v>330</v>
      </c>
      <c r="C375" s="43">
        <v>58</v>
      </c>
      <c r="D375" s="43" t="s">
        <v>900</v>
      </c>
      <c r="E375" s="43" t="s">
        <v>106</v>
      </c>
      <c r="F375" s="43" t="s">
        <v>902</v>
      </c>
      <c r="G375" s="43" t="s">
        <v>385</v>
      </c>
      <c r="H375" s="43">
        <v>60</v>
      </c>
      <c r="I375" s="43">
        <v>0.56069999999999998</v>
      </c>
      <c r="J375" s="28">
        <v>5.7479999999999996E-9</v>
      </c>
      <c r="K375" s="43" t="s">
        <v>913</v>
      </c>
      <c r="L375" s="43" t="s">
        <v>65</v>
      </c>
      <c r="N375" s="43" t="s">
        <v>330</v>
      </c>
      <c r="O375" s="43">
        <v>58</v>
      </c>
      <c r="P375" s="43" t="s">
        <v>900</v>
      </c>
      <c r="Q375" s="43" t="s">
        <v>379</v>
      </c>
      <c r="R375" s="43" t="s">
        <v>902</v>
      </c>
      <c r="S375" s="43" t="s">
        <v>385</v>
      </c>
      <c r="T375" s="43">
        <v>10</v>
      </c>
      <c r="U375" s="43">
        <v>0.59340000000000004</v>
      </c>
      <c r="V375" s="28">
        <v>6.0829999999999998E-9</v>
      </c>
      <c r="W375" s="43" t="s">
        <v>913</v>
      </c>
      <c r="X375" s="43" t="s">
        <v>65</v>
      </c>
    </row>
    <row r="376" spans="2:24" x14ac:dyDescent="0.2">
      <c r="B376" s="43" t="s">
        <v>330</v>
      </c>
      <c r="C376" s="43">
        <v>59</v>
      </c>
      <c r="D376" s="43" t="s">
        <v>903</v>
      </c>
      <c r="E376" s="43" t="s">
        <v>106</v>
      </c>
      <c r="F376" s="43" t="s">
        <v>904</v>
      </c>
      <c r="G376" s="43" t="s">
        <v>383</v>
      </c>
      <c r="H376" s="43">
        <v>60</v>
      </c>
      <c r="I376" s="43">
        <v>-49.834800000000001</v>
      </c>
      <c r="J376" s="28">
        <v>-4.4299999999999998E-7</v>
      </c>
      <c r="K376" s="43" t="s">
        <v>913</v>
      </c>
      <c r="L376" s="43" t="s">
        <v>65</v>
      </c>
      <c r="N376" s="43" t="s">
        <v>330</v>
      </c>
      <c r="O376" s="43">
        <v>59</v>
      </c>
      <c r="P376" s="43" t="s">
        <v>903</v>
      </c>
      <c r="Q376" s="43" t="s">
        <v>379</v>
      </c>
      <c r="R376" s="43" t="s">
        <v>904</v>
      </c>
      <c r="S376" s="43" t="s">
        <v>383</v>
      </c>
      <c r="T376" s="43">
        <v>10</v>
      </c>
      <c r="U376" s="43">
        <v>-49.872900000000001</v>
      </c>
      <c r="V376" s="28">
        <v>-4.4330000000000001E-7</v>
      </c>
      <c r="W376" s="43" t="s">
        <v>913</v>
      </c>
      <c r="X376" s="43" t="s">
        <v>65</v>
      </c>
    </row>
    <row r="377" spans="2:24" x14ac:dyDescent="0.2">
      <c r="B377" s="43" t="s">
        <v>330</v>
      </c>
      <c r="C377" s="43">
        <v>59</v>
      </c>
      <c r="D377" s="43" t="s">
        <v>903</v>
      </c>
      <c r="E377" s="43" t="s">
        <v>106</v>
      </c>
      <c r="F377" s="43" t="s">
        <v>905</v>
      </c>
      <c r="G377" s="43" t="s">
        <v>385</v>
      </c>
      <c r="H377" s="43">
        <v>60</v>
      </c>
      <c r="I377" s="43">
        <v>10.9915</v>
      </c>
      <c r="J377" s="28">
        <v>9.7699999999999995E-8</v>
      </c>
      <c r="K377" s="43" t="s">
        <v>913</v>
      </c>
      <c r="L377" s="43" t="s">
        <v>65</v>
      </c>
      <c r="N377" s="43" t="s">
        <v>330</v>
      </c>
      <c r="O377" s="43">
        <v>59</v>
      </c>
      <c r="P377" s="43" t="s">
        <v>903</v>
      </c>
      <c r="Q377" s="43" t="s">
        <v>379</v>
      </c>
      <c r="R377" s="43" t="s">
        <v>905</v>
      </c>
      <c r="S377" s="43" t="s">
        <v>385</v>
      </c>
      <c r="T377" s="43">
        <v>10</v>
      </c>
      <c r="U377" s="43">
        <v>11.027900000000001</v>
      </c>
      <c r="V377" s="28">
        <v>9.8029999999999998E-8</v>
      </c>
      <c r="W377" s="43" t="s">
        <v>913</v>
      </c>
      <c r="X377" s="43" t="s">
        <v>65</v>
      </c>
    </row>
    <row r="378" spans="2:24" x14ac:dyDescent="0.2">
      <c r="B378" s="43" t="s">
        <v>330</v>
      </c>
      <c r="C378" s="43">
        <v>60</v>
      </c>
      <c r="D378" s="43" t="s">
        <v>903</v>
      </c>
      <c r="E378" s="43" t="s">
        <v>106</v>
      </c>
      <c r="F378" s="43" t="s">
        <v>906</v>
      </c>
      <c r="G378" s="43" t="s">
        <v>383</v>
      </c>
      <c r="H378" s="43">
        <v>60</v>
      </c>
      <c r="I378" s="43">
        <v>-41.498199999999997</v>
      </c>
      <c r="J378" s="28">
        <v>-3.4779999999999998E-7</v>
      </c>
      <c r="K378" s="43" t="s">
        <v>913</v>
      </c>
      <c r="L378" s="43" t="s">
        <v>65</v>
      </c>
      <c r="N378" s="43" t="s">
        <v>330</v>
      </c>
      <c r="O378" s="43">
        <v>60</v>
      </c>
      <c r="P378" s="43" t="s">
        <v>903</v>
      </c>
      <c r="Q378" s="43" t="s">
        <v>379</v>
      </c>
      <c r="R378" s="43" t="s">
        <v>906</v>
      </c>
      <c r="S378" s="43" t="s">
        <v>383</v>
      </c>
      <c r="T378" s="43">
        <v>10</v>
      </c>
      <c r="U378" s="43">
        <v>-41.537300000000002</v>
      </c>
      <c r="V378" s="28">
        <v>-3.481E-7</v>
      </c>
      <c r="W378" s="43" t="s">
        <v>913</v>
      </c>
      <c r="X378" s="43" t="s">
        <v>65</v>
      </c>
    </row>
    <row r="379" spans="2:24" x14ac:dyDescent="0.2">
      <c r="B379" s="43" t="s">
        <v>330</v>
      </c>
      <c r="C379" s="43">
        <v>60</v>
      </c>
      <c r="D379" s="43" t="s">
        <v>903</v>
      </c>
      <c r="E379" s="43" t="s">
        <v>106</v>
      </c>
      <c r="F379" s="43" t="s">
        <v>907</v>
      </c>
      <c r="G379" s="43" t="s">
        <v>385</v>
      </c>
      <c r="H379" s="43">
        <v>60</v>
      </c>
      <c r="I379" s="43">
        <v>11.816599999999999</v>
      </c>
      <c r="J379" s="28">
        <v>9.9029999999999994E-8</v>
      </c>
      <c r="K379" s="43" t="s">
        <v>913</v>
      </c>
      <c r="L379" s="43" t="s">
        <v>65</v>
      </c>
      <c r="N379" s="43" t="s">
        <v>330</v>
      </c>
      <c r="O379" s="43">
        <v>60</v>
      </c>
      <c r="P379" s="43" t="s">
        <v>903</v>
      </c>
      <c r="Q379" s="43" t="s">
        <v>379</v>
      </c>
      <c r="R379" s="43" t="s">
        <v>907</v>
      </c>
      <c r="S379" s="43" t="s">
        <v>385</v>
      </c>
      <c r="T379" s="43">
        <v>10</v>
      </c>
      <c r="U379" s="43">
        <v>11.8558</v>
      </c>
      <c r="V379" s="28">
        <v>9.9359999999999998E-8</v>
      </c>
      <c r="W379" s="43" t="s">
        <v>913</v>
      </c>
      <c r="X379" s="43" t="s">
        <v>65</v>
      </c>
    </row>
    <row r="380" spans="2:24" x14ac:dyDescent="0.2">
      <c r="B380" s="43" t="s">
        <v>330</v>
      </c>
      <c r="C380" s="43">
        <v>61</v>
      </c>
      <c r="D380" s="43" t="s">
        <v>903</v>
      </c>
      <c r="E380" s="43" t="s">
        <v>106</v>
      </c>
      <c r="F380" s="43" t="s">
        <v>908</v>
      </c>
      <c r="G380" s="43" t="s">
        <v>383</v>
      </c>
      <c r="H380" s="43">
        <v>60</v>
      </c>
      <c r="I380" s="43">
        <v>-40.824100000000001</v>
      </c>
      <c r="J380" s="28">
        <v>-3.629E-7</v>
      </c>
      <c r="K380" s="43" t="s">
        <v>913</v>
      </c>
      <c r="L380" s="43" t="s">
        <v>65</v>
      </c>
      <c r="N380" s="43" t="s">
        <v>330</v>
      </c>
      <c r="O380" s="43">
        <v>61</v>
      </c>
      <c r="P380" s="43" t="s">
        <v>903</v>
      </c>
      <c r="Q380" s="43" t="s">
        <v>379</v>
      </c>
      <c r="R380" s="43" t="s">
        <v>908</v>
      </c>
      <c r="S380" s="43" t="s">
        <v>383</v>
      </c>
      <c r="T380" s="43">
        <v>10</v>
      </c>
      <c r="U380" s="43">
        <v>-40.861800000000002</v>
      </c>
      <c r="V380" s="28">
        <v>-3.6320000000000002E-7</v>
      </c>
      <c r="W380" s="43" t="s">
        <v>913</v>
      </c>
      <c r="X380" s="43" t="s">
        <v>65</v>
      </c>
    </row>
    <row r="381" spans="2:24" x14ac:dyDescent="0.2">
      <c r="B381" s="43" t="s">
        <v>330</v>
      </c>
      <c r="C381" s="43">
        <v>61</v>
      </c>
      <c r="D381" s="43" t="s">
        <v>903</v>
      </c>
      <c r="E381" s="43" t="s">
        <v>106</v>
      </c>
      <c r="F381" s="43" t="s">
        <v>909</v>
      </c>
      <c r="G381" s="43" t="s">
        <v>385</v>
      </c>
      <c r="H381" s="43">
        <v>60</v>
      </c>
      <c r="I381" s="43">
        <v>5.3472</v>
      </c>
      <c r="J381" s="28">
        <v>4.7530000000000003E-8</v>
      </c>
      <c r="K381" s="43" t="s">
        <v>913</v>
      </c>
      <c r="L381" s="43" t="s">
        <v>65</v>
      </c>
      <c r="N381" s="43" t="s">
        <v>330</v>
      </c>
      <c r="O381" s="43">
        <v>61</v>
      </c>
      <c r="P381" s="43" t="s">
        <v>903</v>
      </c>
      <c r="Q381" s="43" t="s">
        <v>379</v>
      </c>
      <c r="R381" s="43" t="s">
        <v>909</v>
      </c>
      <c r="S381" s="43" t="s">
        <v>385</v>
      </c>
      <c r="T381" s="43">
        <v>10</v>
      </c>
      <c r="U381" s="43">
        <v>5.3863000000000003</v>
      </c>
      <c r="V381" s="28">
        <v>4.7880000000000003E-8</v>
      </c>
      <c r="W381" s="43" t="s">
        <v>913</v>
      </c>
      <c r="X381" s="43" t="s">
        <v>65</v>
      </c>
    </row>
    <row r="382" spans="2:24" x14ac:dyDescent="0.2">
      <c r="B382" s="43" t="s">
        <v>330</v>
      </c>
      <c r="C382" s="43">
        <v>62</v>
      </c>
      <c r="D382" s="43" t="s">
        <v>910</v>
      </c>
      <c r="E382" s="43" t="s">
        <v>106</v>
      </c>
      <c r="F382" s="43" t="s">
        <v>911</v>
      </c>
      <c r="G382" s="43" t="s">
        <v>383</v>
      </c>
      <c r="H382" s="43">
        <v>60</v>
      </c>
      <c r="I382" s="43">
        <v>-48.189100000000003</v>
      </c>
      <c r="J382" s="28">
        <v>-4.9399999999999995E-7</v>
      </c>
      <c r="K382" s="43" t="s">
        <v>913</v>
      </c>
      <c r="L382" s="43" t="s">
        <v>65</v>
      </c>
      <c r="N382" s="43" t="s">
        <v>330</v>
      </c>
      <c r="O382" s="43">
        <v>62</v>
      </c>
      <c r="P382" s="43" t="s">
        <v>910</v>
      </c>
      <c r="Q382" s="43" t="s">
        <v>379</v>
      </c>
      <c r="R382" s="43" t="s">
        <v>911</v>
      </c>
      <c r="S382" s="43" t="s">
        <v>383</v>
      </c>
      <c r="T382" s="43">
        <v>10</v>
      </c>
      <c r="U382" s="43">
        <v>-48.223999999999997</v>
      </c>
      <c r="V382" s="28">
        <v>-4.9429999999999997E-7</v>
      </c>
      <c r="W382" s="43" t="s">
        <v>913</v>
      </c>
      <c r="X382" s="43" t="s">
        <v>65</v>
      </c>
    </row>
    <row r="383" spans="2:24" x14ac:dyDescent="0.2">
      <c r="B383" s="43" t="s">
        <v>330</v>
      </c>
      <c r="C383" s="43">
        <v>62</v>
      </c>
      <c r="D383" s="43" t="s">
        <v>910</v>
      </c>
      <c r="E383" s="43" t="s">
        <v>106</v>
      </c>
      <c r="F383" s="43" t="s">
        <v>912</v>
      </c>
      <c r="G383" s="43" t="s">
        <v>385</v>
      </c>
      <c r="H383" s="43">
        <v>60</v>
      </c>
      <c r="I383" s="43">
        <v>6.3686999999999996</v>
      </c>
      <c r="J383" s="28">
        <v>6.5289999999999998E-8</v>
      </c>
      <c r="K383" s="43" t="s">
        <v>913</v>
      </c>
      <c r="L383" s="43" t="s">
        <v>65</v>
      </c>
      <c r="N383" s="43" t="s">
        <v>330</v>
      </c>
      <c r="O383" s="43">
        <v>62</v>
      </c>
      <c r="P383" s="43" t="s">
        <v>910</v>
      </c>
      <c r="Q383" s="43" t="s">
        <v>379</v>
      </c>
      <c r="R383" s="43" t="s">
        <v>912</v>
      </c>
      <c r="S383" s="43" t="s">
        <v>385</v>
      </c>
      <c r="T383" s="43">
        <v>10</v>
      </c>
      <c r="U383" s="43">
        <v>6.4025999999999996</v>
      </c>
      <c r="V383" s="28">
        <v>6.5629999999999999E-8</v>
      </c>
      <c r="W383" s="43" t="s">
        <v>913</v>
      </c>
      <c r="X383" s="43" t="s">
        <v>65</v>
      </c>
    </row>
  </sheetData>
  <mergeCells count="18">
    <mergeCell ref="T2:T3"/>
    <mergeCell ref="X2:X3"/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1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103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5" customHeight="1" x14ac:dyDescent="0.2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2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  <row r="4" spans="2:24" x14ac:dyDescent="0.2">
      <c r="B4" s="43" t="s">
        <v>134</v>
      </c>
      <c r="C4" s="43">
        <v>229</v>
      </c>
      <c r="D4" s="43" t="s">
        <v>381</v>
      </c>
      <c r="E4" s="43" t="s">
        <v>107</v>
      </c>
      <c r="F4" s="43" t="s">
        <v>382</v>
      </c>
      <c r="G4" s="43" t="s">
        <v>383</v>
      </c>
      <c r="H4" s="43">
        <v>60</v>
      </c>
      <c r="I4" s="43">
        <v>-10.044600000000001</v>
      </c>
      <c r="J4" s="28">
        <v>-1.149E-7</v>
      </c>
      <c r="K4" s="43" t="s">
        <v>913</v>
      </c>
      <c r="L4" s="43" t="s">
        <v>65</v>
      </c>
      <c r="N4" s="43" t="s">
        <v>134</v>
      </c>
      <c r="O4" s="43">
        <v>229</v>
      </c>
      <c r="P4" s="43" t="s">
        <v>381</v>
      </c>
      <c r="Q4" s="43" t="s">
        <v>380</v>
      </c>
      <c r="R4" s="43" t="s">
        <v>382</v>
      </c>
      <c r="S4" s="43" t="s">
        <v>383</v>
      </c>
      <c r="T4" s="43">
        <v>10</v>
      </c>
      <c r="U4" s="43">
        <v>-10.0662</v>
      </c>
      <c r="V4" s="28">
        <v>-1.152E-7</v>
      </c>
      <c r="W4" s="43" t="s">
        <v>913</v>
      </c>
      <c r="X4" s="43" t="s">
        <v>65</v>
      </c>
    </row>
    <row r="5" spans="2:24" x14ac:dyDescent="0.2">
      <c r="B5" s="43" t="s">
        <v>134</v>
      </c>
      <c r="C5" s="43">
        <v>229</v>
      </c>
      <c r="D5" s="43" t="s">
        <v>381</v>
      </c>
      <c r="E5" s="43" t="s">
        <v>107</v>
      </c>
      <c r="F5" s="43" t="s">
        <v>384</v>
      </c>
      <c r="G5" s="43" t="s">
        <v>385</v>
      </c>
      <c r="H5" s="43">
        <v>60</v>
      </c>
      <c r="I5" s="43">
        <v>-18.601700000000001</v>
      </c>
      <c r="J5" s="28">
        <v>-2.128E-7</v>
      </c>
      <c r="K5" s="43" t="s">
        <v>913</v>
      </c>
      <c r="L5" s="43" t="s">
        <v>65</v>
      </c>
      <c r="N5" s="43" t="s">
        <v>134</v>
      </c>
      <c r="O5" s="43">
        <v>229</v>
      </c>
      <c r="P5" s="43" t="s">
        <v>381</v>
      </c>
      <c r="Q5" s="43" t="s">
        <v>380</v>
      </c>
      <c r="R5" s="43" t="s">
        <v>384</v>
      </c>
      <c r="S5" s="43" t="s">
        <v>385</v>
      </c>
      <c r="T5" s="43">
        <v>10</v>
      </c>
      <c r="U5" s="43">
        <v>-18.5794</v>
      </c>
      <c r="V5" s="28">
        <v>-2.125E-7</v>
      </c>
      <c r="W5" s="43" t="s">
        <v>913</v>
      </c>
      <c r="X5" s="43" t="s">
        <v>65</v>
      </c>
    </row>
    <row r="6" spans="2:24" x14ac:dyDescent="0.2">
      <c r="B6" s="43" t="s">
        <v>134</v>
      </c>
      <c r="C6" s="43">
        <v>230</v>
      </c>
      <c r="D6" s="43" t="s">
        <v>386</v>
      </c>
      <c r="E6" s="43" t="s">
        <v>107</v>
      </c>
      <c r="F6" s="43" t="s">
        <v>387</v>
      </c>
      <c r="G6" s="43" t="s">
        <v>383</v>
      </c>
      <c r="H6" s="43">
        <v>60</v>
      </c>
      <c r="I6" s="43">
        <v>-15.893599999999999</v>
      </c>
      <c r="J6" s="28">
        <v>-1.72E-7</v>
      </c>
      <c r="K6" s="43" t="s">
        <v>913</v>
      </c>
      <c r="L6" s="43" t="s">
        <v>65</v>
      </c>
      <c r="N6" s="43" t="s">
        <v>134</v>
      </c>
      <c r="O6" s="43">
        <v>230</v>
      </c>
      <c r="P6" s="43" t="s">
        <v>386</v>
      </c>
      <c r="Q6" s="43" t="s">
        <v>380</v>
      </c>
      <c r="R6" s="43" t="s">
        <v>387</v>
      </c>
      <c r="S6" s="43" t="s">
        <v>383</v>
      </c>
      <c r="T6" s="43">
        <v>10</v>
      </c>
      <c r="U6" s="43">
        <v>-15.9192</v>
      </c>
      <c r="V6" s="28">
        <v>-1.723E-7</v>
      </c>
      <c r="W6" s="43" t="s">
        <v>913</v>
      </c>
      <c r="X6" s="43" t="s">
        <v>65</v>
      </c>
    </row>
    <row r="7" spans="2:24" x14ac:dyDescent="0.2">
      <c r="B7" s="43" t="s">
        <v>134</v>
      </c>
      <c r="C7" s="43">
        <v>230</v>
      </c>
      <c r="D7" s="43" t="s">
        <v>386</v>
      </c>
      <c r="E7" s="43" t="s">
        <v>107</v>
      </c>
      <c r="F7" s="43" t="s">
        <v>388</v>
      </c>
      <c r="G7" s="43" t="s">
        <v>385</v>
      </c>
      <c r="H7" s="43">
        <v>60</v>
      </c>
      <c r="I7" s="43">
        <v>-10.3642</v>
      </c>
      <c r="J7" s="28">
        <v>-1.122E-7</v>
      </c>
      <c r="K7" s="43" t="s">
        <v>913</v>
      </c>
      <c r="L7" s="43" t="s">
        <v>65</v>
      </c>
      <c r="N7" s="43" t="s">
        <v>134</v>
      </c>
      <c r="O7" s="43">
        <v>230</v>
      </c>
      <c r="P7" s="43" t="s">
        <v>386</v>
      </c>
      <c r="Q7" s="43" t="s">
        <v>380</v>
      </c>
      <c r="R7" s="43" t="s">
        <v>388</v>
      </c>
      <c r="S7" s="43" t="s">
        <v>385</v>
      </c>
      <c r="T7" s="43">
        <v>10</v>
      </c>
      <c r="U7" s="43">
        <v>-10.3391</v>
      </c>
      <c r="V7" s="28">
        <v>-1.119E-7</v>
      </c>
      <c r="W7" s="43" t="s">
        <v>913</v>
      </c>
      <c r="X7" s="43" t="s">
        <v>65</v>
      </c>
    </row>
    <row r="8" spans="2:24" x14ac:dyDescent="0.2">
      <c r="B8" s="43" t="s">
        <v>134</v>
      </c>
      <c r="C8" s="43">
        <v>231</v>
      </c>
      <c r="D8" s="43" t="s">
        <v>386</v>
      </c>
      <c r="E8" s="43" t="s">
        <v>107</v>
      </c>
      <c r="F8" s="43" t="s">
        <v>389</v>
      </c>
      <c r="G8" s="43" t="s">
        <v>383</v>
      </c>
      <c r="H8" s="43">
        <v>60</v>
      </c>
      <c r="I8" s="43">
        <v>-10.293799999999999</v>
      </c>
      <c r="J8" s="28">
        <v>-1.05E-7</v>
      </c>
      <c r="K8" s="43" t="s">
        <v>913</v>
      </c>
      <c r="L8" s="43" t="s">
        <v>65</v>
      </c>
      <c r="N8" s="43" t="s">
        <v>134</v>
      </c>
      <c r="O8" s="43">
        <v>231</v>
      </c>
      <c r="P8" s="43" t="s">
        <v>386</v>
      </c>
      <c r="Q8" s="43" t="s">
        <v>380</v>
      </c>
      <c r="R8" s="43" t="s">
        <v>389</v>
      </c>
      <c r="S8" s="43" t="s">
        <v>383</v>
      </c>
      <c r="T8" s="43">
        <v>10</v>
      </c>
      <c r="U8" s="43">
        <v>-10.318300000000001</v>
      </c>
      <c r="V8" s="28">
        <v>-1.053E-7</v>
      </c>
      <c r="W8" s="43" t="s">
        <v>913</v>
      </c>
      <c r="X8" s="43" t="s">
        <v>65</v>
      </c>
    </row>
    <row r="9" spans="2:24" x14ac:dyDescent="0.2">
      <c r="B9" s="43" t="s">
        <v>134</v>
      </c>
      <c r="C9" s="43">
        <v>231</v>
      </c>
      <c r="D9" s="43" t="s">
        <v>386</v>
      </c>
      <c r="E9" s="43" t="s">
        <v>107</v>
      </c>
      <c r="F9" s="43" t="s">
        <v>390</v>
      </c>
      <c r="G9" s="43" t="s">
        <v>385</v>
      </c>
      <c r="H9" s="43">
        <v>60</v>
      </c>
      <c r="I9" s="43">
        <v>-10.3704</v>
      </c>
      <c r="J9" s="28">
        <v>-1.0579999999999999E-7</v>
      </c>
      <c r="K9" s="43" t="s">
        <v>913</v>
      </c>
      <c r="L9" s="43" t="s">
        <v>65</v>
      </c>
      <c r="N9" s="43" t="s">
        <v>134</v>
      </c>
      <c r="O9" s="43">
        <v>231</v>
      </c>
      <c r="P9" s="43" t="s">
        <v>386</v>
      </c>
      <c r="Q9" s="43" t="s">
        <v>380</v>
      </c>
      <c r="R9" s="43" t="s">
        <v>390</v>
      </c>
      <c r="S9" s="43" t="s">
        <v>385</v>
      </c>
      <c r="T9" s="43">
        <v>10</v>
      </c>
      <c r="U9" s="43">
        <v>-10.344900000000001</v>
      </c>
      <c r="V9" s="28">
        <v>-1.055E-7</v>
      </c>
      <c r="W9" s="43" t="s">
        <v>913</v>
      </c>
      <c r="X9" s="43" t="s">
        <v>65</v>
      </c>
    </row>
    <row r="10" spans="2:24" x14ac:dyDescent="0.2">
      <c r="B10" s="43" t="s">
        <v>134</v>
      </c>
      <c r="C10" s="43">
        <v>232</v>
      </c>
      <c r="D10" s="43" t="s">
        <v>386</v>
      </c>
      <c r="E10" s="43" t="s">
        <v>107</v>
      </c>
      <c r="F10" s="43" t="s">
        <v>391</v>
      </c>
      <c r="G10" s="43" t="s">
        <v>383</v>
      </c>
      <c r="H10" s="43">
        <v>60</v>
      </c>
      <c r="I10" s="43">
        <v>-10.3932</v>
      </c>
      <c r="J10" s="28">
        <v>-1.1249999999999999E-7</v>
      </c>
      <c r="K10" s="43" t="s">
        <v>913</v>
      </c>
      <c r="L10" s="43" t="s">
        <v>65</v>
      </c>
      <c r="N10" s="43" t="s">
        <v>134</v>
      </c>
      <c r="O10" s="43">
        <v>232</v>
      </c>
      <c r="P10" s="43" t="s">
        <v>386</v>
      </c>
      <c r="Q10" s="43" t="s">
        <v>380</v>
      </c>
      <c r="R10" s="43" t="s">
        <v>391</v>
      </c>
      <c r="S10" s="43" t="s">
        <v>383</v>
      </c>
      <c r="T10" s="43">
        <v>10</v>
      </c>
      <c r="U10" s="43">
        <v>-10.4161</v>
      </c>
      <c r="V10" s="28">
        <v>-1.127E-7</v>
      </c>
      <c r="W10" s="43" t="s">
        <v>913</v>
      </c>
      <c r="X10" s="43" t="s">
        <v>65</v>
      </c>
    </row>
    <row r="11" spans="2:24" x14ac:dyDescent="0.2">
      <c r="B11" s="43" t="s">
        <v>134</v>
      </c>
      <c r="C11" s="43">
        <v>232</v>
      </c>
      <c r="D11" s="43" t="s">
        <v>386</v>
      </c>
      <c r="E11" s="43" t="s">
        <v>107</v>
      </c>
      <c r="F11" s="43" t="s">
        <v>392</v>
      </c>
      <c r="G11" s="43" t="s">
        <v>385</v>
      </c>
      <c r="H11" s="43">
        <v>60</v>
      </c>
      <c r="I11" s="43">
        <v>-15.635300000000001</v>
      </c>
      <c r="J11" s="28">
        <v>-1.6920000000000001E-7</v>
      </c>
      <c r="K11" s="43" t="s">
        <v>913</v>
      </c>
      <c r="L11" s="43" t="s">
        <v>65</v>
      </c>
      <c r="N11" s="43" t="s">
        <v>134</v>
      </c>
      <c r="O11" s="43">
        <v>232</v>
      </c>
      <c r="P11" s="43" t="s">
        <v>386</v>
      </c>
      <c r="Q11" s="43" t="s">
        <v>380</v>
      </c>
      <c r="R11" s="43" t="s">
        <v>392</v>
      </c>
      <c r="S11" s="43" t="s">
        <v>385</v>
      </c>
      <c r="T11" s="43">
        <v>10</v>
      </c>
      <c r="U11" s="43">
        <v>-15.6091</v>
      </c>
      <c r="V11" s="28">
        <v>-1.6890000000000001E-7</v>
      </c>
      <c r="W11" s="43" t="s">
        <v>913</v>
      </c>
      <c r="X11" s="43" t="s">
        <v>65</v>
      </c>
    </row>
    <row r="12" spans="2:24" x14ac:dyDescent="0.2">
      <c r="B12" s="43" t="s">
        <v>134</v>
      </c>
      <c r="C12" s="43">
        <v>233</v>
      </c>
      <c r="D12" s="43" t="s">
        <v>393</v>
      </c>
      <c r="E12" s="43" t="s">
        <v>107</v>
      </c>
      <c r="F12" s="43" t="s">
        <v>394</v>
      </c>
      <c r="G12" s="43" t="s">
        <v>383</v>
      </c>
      <c r="H12" s="43">
        <v>60</v>
      </c>
      <c r="I12" s="43">
        <v>-17.482600000000001</v>
      </c>
      <c r="J12" s="28">
        <v>-1.9999999999999999E-7</v>
      </c>
      <c r="K12" s="43" t="s">
        <v>913</v>
      </c>
      <c r="L12" s="43" t="s">
        <v>65</v>
      </c>
      <c r="N12" s="43" t="s">
        <v>134</v>
      </c>
      <c r="O12" s="43">
        <v>233</v>
      </c>
      <c r="P12" s="43" t="s">
        <v>393</v>
      </c>
      <c r="Q12" s="43" t="s">
        <v>380</v>
      </c>
      <c r="R12" s="43" t="s">
        <v>394</v>
      </c>
      <c r="S12" s="43" t="s">
        <v>383</v>
      </c>
      <c r="T12" s="43">
        <v>10</v>
      </c>
      <c r="U12" s="43">
        <v>-17.504000000000001</v>
      </c>
      <c r="V12" s="28">
        <v>-2.0020000000000001E-7</v>
      </c>
      <c r="W12" s="43" t="s">
        <v>913</v>
      </c>
      <c r="X12" s="43" t="s">
        <v>65</v>
      </c>
    </row>
    <row r="13" spans="2:24" x14ac:dyDescent="0.2">
      <c r="B13" s="43" t="s">
        <v>134</v>
      </c>
      <c r="C13" s="43">
        <v>233</v>
      </c>
      <c r="D13" s="43" t="s">
        <v>393</v>
      </c>
      <c r="E13" s="43" t="s">
        <v>107</v>
      </c>
      <c r="F13" s="43" t="s">
        <v>395</v>
      </c>
      <c r="G13" s="43" t="s">
        <v>385</v>
      </c>
      <c r="H13" s="43">
        <v>60</v>
      </c>
      <c r="I13" s="43">
        <v>-9.4730000000000008</v>
      </c>
      <c r="J13" s="28">
        <v>-1.084E-7</v>
      </c>
      <c r="K13" s="43" t="s">
        <v>913</v>
      </c>
      <c r="L13" s="43" t="s">
        <v>65</v>
      </c>
      <c r="N13" s="43" t="s">
        <v>134</v>
      </c>
      <c r="O13" s="43">
        <v>233</v>
      </c>
      <c r="P13" s="43" t="s">
        <v>393</v>
      </c>
      <c r="Q13" s="43" t="s">
        <v>380</v>
      </c>
      <c r="R13" s="43" t="s">
        <v>395</v>
      </c>
      <c r="S13" s="43" t="s">
        <v>385</v>
      </c>
      <c r="T13" s="43">
        <v>10</v>
      </c>
      <c r="U13" s="43">
        <v>-9.4504999999999999</v>
      </c>
      <c r="V13" s="28">
        <v>-1.081E-7</v>
      </c>
      <c r="W13" s="43" t="s">
        <v>913</v>
      </c>
      <c r="X13" s="43" t="s">
        <v>65</v>
      </c>
    </row>
    <row r="14" spans="2:24" x14ac:dyDescent="0.2">
      <c r="B14" s="43" t="s">
        <v>134</v>
      </c>
      <c r="C14" s="43">
        <v>211</v>
      </c>
      <c r="D14" s="43" t="s">
        <v>396</v>
      </c>
      <c r="E14" s="43" t="s">
        <v>107</v>
      </c>
      <c r="F14" s="43" t="s">
        <v>397</v>
      </c>
      <c r="G14" s="43" t="s">
        <v>383</v>
      </c>
      <c r="H14" s="43">
        <v>60</v>
      </c>
      <c r="I14" s="43">
        <v>-46.384999999999998</v>
      </c>
      <c r="J14" s="28">
        <v>-9.9999999999999995E-7</v>
      </c>
      <c r="K14" s="43" t="s">
        <v>913</v>
      </c>
      <c r="L14" s="43" t="s">
        <v>65</v>
      </c>
      <c r="N14" s="43" t="s">
        <v>134</v>
      </c>
      <c r="O14" s="43">
        <v>211</v>
      </c>
      <c r="P14" s="43" t="s">
        <v>396</v>
      </c>
      <c r="Q14" s="43" t="s">
        <v>380</v>
      </c>
      <c r="R14" s="43" t="s">
        <v>397</v>
      </c>
      <c r="S14" s="43" t="s">
        <v>383</v>
      </c>
      <c r="T14" s="43">
        <v>10</v>
      </c>
      <c r="U14" s="43">
        <v>-46.3917</v>
      </c>
      <c r="V14" s="28">
        <v>-9.9999999999999995E-7</v>
      </c>
      <c r="W14" s="43" t="s">
        <v>913</v>
      </c>
      <c r="X14" s="43" t="s">
        <v>65</v>
      </c>
    </row>
    <row r="15" spans="2:24" x14ac:dyDescent="0.2">
      <c r="B15" s="43" t="s">
        <v>134</v>
      </c>
      <c r="C15" s="43">
        <v>211</v>
      </c>
      <c r="D15" s="43" t="s">
        <v>396</v>
      </c>
      <c r="E15" s="43" t="s">
        <v>107</v>
      </c>
      <c r="F15" s="43" t="s">
        <v>398</v>
      </c>
      <c r="G15" s="43" t="s">
        <v>385</v>
      </c>
      <c r="H15" s="43">
        <v>60</v>
      </c>
      <c r="I15" s="43">
        <v>-14.689</v>
      </c>
      <c r="J15" s="28">
        <v>-1.6110000000000001E-7</v>
      </c>
      <c r="K15" s="43" t="s">
        <v>913</v>
      </c>
      <c r="L15" s="43" t="s">
        <v>65</v>
      </c>
      <c r="N15" s="43" t="s">
        <v>134</v>
      </c>
      <c r="O15" s="43">
        <v>211</v>
      </c>
      <c r="P15" s="43" t="s">
        <v>396</v>
      </c>
      <c r="Q15" s="43" t="s">
        <v>380</v>
      </c>
      <c r="R15" s="43" t="s">
        <v>398</v>
      </c>
      <c r="S15" s="43" t="s">
        <v>385</v>
      </c>
      <c r="T15" s="43">
        <v>10</v>
      </c>
      <c r="U15" s="43">
        <v>-14.687099999999999</v>
      </c>
      <c r="V15" s="28">
        <v>-1.6110000000000001E-7</v>
      </c>
      <c r="W15" s="43" t="s">
        <v>913</v>
      </c>
      <c r="X15" s="43" t="s">
        <v>65</v>
      </c>
    </row>
    <row r="16" spans="2:24" x14ac:dyDescent="0.2">
      <c r="B16" s="43" t="s">
        <v>134</v>
      </c>
      <c r="C16" s="43">
        <v>214</v>
      </c>
      <c r="D16" s="43" t="s">
        <v>399</v>
      </c>
      <c r="E16" s="43" t="s">
        <v>107</v>
      </c>
      <c r="F16" s="43" t="s">
        <v>400</v>
      </c>
      <c r="G16" s="43" t="s">
        <v>383</v>
      </c>
      <c r="H16" s="43">
        <v>60</v>
      </c>
      <c r="I16" s="43">
        <v>-71.042599999999993</v>
      </c>
      <c r="J16" s="28">
        <v>-9.9999999999999995E-7</v>
      </c>
      <c r="K16" s="43" t="s">
        <v>913</v>
      </c>
      <c r="L16" s="43" t="s">
        <v>65</v>
      </c>
      <c r="N16" s="43" t="s">
        <v>134</v>
      </c>
      <c r="O16" s="43">
        <v>214</v>
      </c>
      <c r="P16" s="43" t="s">
        <v>399</v>
      </c>
      <c r="Q16" s="43" t="s">
        <v>380</v>
      </c>
      <c r="R16" s="43" t="s">
        <v>400</v>
      </c>
      <c r="S16" s="43" t="s">
        <v>383</v>
      </c>
      <c r="T16" s="43">
        <v>10</v>
      </c>
      <c r="U16" s="43">
        <v>-71.034400000000005</v>
      </c>
      <c r="V16" s="28">
        <v>-9.9999999999999995E-7</v>
      </c>
      <c r="W16" s="43" t="s">
        <v>913</v>
      </c>
      <c r="X16" s="43" t="s">
        <v>65</v>
      </c>
    </row>
    <row r="17" spans="2:24" x14ac:dyDescent="0.2">
      <c r="B17" s="43" t="s">
        <v>134</v>
      </c>
      <c r="C17" s="43">
        <v>214</v>
      </c>
      <c r="D17" s="43" t="s">
        <v>399</v>
      </c>
      <c r="E17" s="43" t="s">
        <v>107</v>
      </c>
      <c r="F17" s="43" t="s">
        <v>401</v>
      </c>
      <c r="G17" s="43" t="s">
        <v>385</v>
      </c>
      <c r="H17" s="43">
        <v>60</v>
      </c>
      <c r="I17" s="43">
        <v>-38.371699999999997</v>
      </c>
      <c r="J17" s="28">
        <v>-3.2160000000000002E-7</v>
      </c>
      <c r="K17" s="43" t="s">
        <v>913</v>
      </c>
      <c r="L17" s="43" t="s">
        <v>65</v>
      </c>
      <c r="N17" s="43" t="s">
        <v>134</v>
      </c>
      <c r="O17" s="43">
        <v>214</v>
      </c>
      <c r="P17" s="43" t="s">
        <v>399</v>
      </c>
      <c r="Q17" s="43" t="s">
        <v>380</v>
      </c>
      <c r="R17" s="43" t="s">
        <v>401</v>
      </c>
      <c r="S17" s="43" t="s">
        <v>385</v>
      </c>
      <c r="T17" s="43">
        <v>10</v>
      </c>
      <c r="U17" s="43">
        <v>-38.380400000000002</v>
      </c>
      <c r="V17" s="28">
        <v>-3.2169999999999998E-7</v>
      </c>
      <c r="W17" s="43" t="s">
        <v>913</v>
      </c>
      <c r="X17" s="43" t="s">
        <v>65</v>
      </c>
    </row>
    <row r="18" spans="2:24" x14ac:dyDescent="0.2">
      <c r="B18" s="43" t="s">
        <v>134</v>
      </c>
      <c r="C18" s="43">
        <v>217</v>
      </c>
      <c r="D18" s="43" t="s">
        <v>402</v>
      </c>
      <c r="E18" s="43" t="s">
        <v>107</v>
      </c>
      <c r="F18" s="43" t="s">
        <v>403</v>
      </c>
      <c r="G18" s="43" t="s">
        <v>383</v>
      </c>
      <c r="H18" s="43">
        <v>60</v>
      </c>
      <c r="I18" s="43">
        <v>-74.858199999999997</v>
      </c>
      <c r="J18" s="28">
        <v>-9.9999999999999995E-7</v>
      </c>
      <c r="K18" s="43" t="s">
        <v>913</v>
      </c>
      <c r="L18" s="43" t="s">
        <v>65</v>
      </c>
      <c r="N18" s="43" t="s">
        <v>134</v>
      </c>
      <c r="O18" s="43">
        <v>217</v>
      </c>
      <c r="P18" s="43" t="s">
        <v>402</v>
      </c>
      <c r="Q18" s="43" t="s">
        <v>380</v>
      </c>
      <c r="R18" s="43" t="s">
        <v>403</v>
      </c>
      <c r="S18" s="43" t="s">
        <v>383</v>
      </c>
      <c r="T18" s="43">
        <v>10</v>
      </c>
      <c r="U18" s="43">
        <v>-74.834000000000003</v>
      </c>
      <c r="V18" s="28">
        <v>-9.9999999999999995E-7</v>
      </c>
      <c r="W18" s="43" t="s">
        <v>913</v>
      </c>
      <c r="X18" s="43" t="s">
        <v>65</v>
      </c>
    </row>
    <row r="19" spans="2:24" x14ac:dyDescent="0.2">
      <c r="B19" s="43" t="s">
        <v>134</v>
      </c>
      <c r="C19" s="43">
        <v>217</v>
      </c>
      <c r="D19" s="43" t="s">
        <v>402</v>
      </c>
      <c r="E19" s="43" t="s">
        <v>107</v>
      </c>
      <c r="F19" s="43" t="s">
        <v>404</v>
      </c>
      <c r="G19" s="43" t="s">
        <v>385</v>
      </c>
      <c r="H19" s="43">
        <v>60</v>
      </c>
      <c r="I19" s="43">
        <v>-27.0426</v>
      </c>
      <c r="J19" s="28">
        <v>-2.2499999999999999E-7</v>
      </c>
      <c r="K19" s="43" t="s">
        <v>913</v>
      </c>
      <c r="L19" s="43" t="s">
        <v>65</v>
      </c>
      <c r="N19" s="43" t="s">
        <v>134</v>
      </c>
      <c r="O19" s="43">
        <v>217</v>
      </c>
      <c r="P19" s="43" t="s">
        <v>402</v>
      </c>
      <c r="Q19" s="43" t="s">
        <v>380</v>
      </c>
      <c r="R19" s="43" t="s">
        <v>404</v>
      </c>
      <c r="S19" s="43" t="s">
        <v>385</v>
      </c>
      <c r="T19" s="43">
        <v>10</v>
      </c>
      <c r="U19" s="43">
        <v>-27.0686</v>
      </c>
      <c r="V19" s="28">
        <v>-2.2530000000000001E-7</v>
      </c>
      <c r="W19" s="43" t="s">
        <v>913</v>
      </c>
      <c r="X19" s="43" t="s">
        <v>65</v>
      </c>
    </row>
    <row r="20" spans="2:24" x14ac:dyDescent="0.2">
      <c r="B20" s="43" t="s">
        <v>134</v>
      </c>
      <c r="C20" s="43">
        <v>220</v>
      </c>
      <c r="D20" s="43" t="s">
        <v>405</v>
      </c>
      <c r="E20" s="43" t="s">
        <v>107</v>
      </c>
      <c r="F20" s="43" t="s">
        <v>406</v>
      </c>
      <c r="G20" s="43" t="s">
        <v>383</v>
      </c>
      <c r="H20" s="43">
        <v>60</v>
      </c>
      <c r="I20" s="43">
        <v>-74.695899999999995</v>
      </c>
      <c r="J20" s="28">
        <v>-9.9999999999999995E-7</v>
      </c>
      <c r="K20" s="43" t="s">
        <v>913</v>
      </c>
      <c r="L20" s="43" t="s">
        <v>65</v>
      </c>
      <c r="N20" s="43" t="s">
        <v>134</v>
      </c>
      <c r="O20" s="43">
        <v>220</v>
      </c>
      <c r="P20" s="43" t="s">
        <v>405</v>
      </c>
      <c r="Q20" s="43" t="s">
        <v>380</v>
      </c>
      <c r="R20" s="43" t="s">
        <v>406</v>
      </c>
      <c r="S20" s="43" t="s">
        <v>383</v>
      </c>
      <c r="T20" s="43">
        <v>10</v>
      </c>
      <c r="U20" s="43">
        <v>-74.654300000000006</v>
      </c>
      <c r="V20" s="28">
        <v>-9.9999999999999995E-7</v>
      </c>
      <c r="W20" s="43" t="s">
        <v>913</v>
      </c>
      <c r="X20" s="43" t="s">
        <v>65</v>
      </c>
    </row>
    <row r="21" spans="2:24" x14ac:dyDescent="0.2">
      <c r="B21" s="43" t="s">
        <v>134</v>
      </c>
      <c r="C21" s="43">
        <v>220</v>
      </c>
      <c r="D21" s="43" t="s">
        <v>405</v>
      </c>
      <c r="E21" s="43" t="s">
        <v>107</v>
      </c>
      <c r="F21" s="43" t="s">
        <v>407</v>
      </c>
      <c r="G21" s="43" t="s">
        <v>385</v>
      </c>
      <c r="H21" s="43">
        <v>60</v>
      </c>
      <c r="I21" s="43">
        <v>-26.9648</v>
      </c>
      <c r="J21" s="28">
        <v>-2.244E-7</v>
      </c>
      <c r="K21" s="43" t="s">
        <v>913</v>
      </c>
      <c r="L21" s="43" t="s">
        <v>65</v>
      </c>
      <c r="N21" s="43" t="s">
        <v>134</v>
      </c>
      <c r="O21" s="43">
        <v>220</v>
      </c>
      <c r="P21" s="43" t="s">
        <v>405</v>
      </c>
      <c r="Q21" s="43" t="s">
        <v>380</v>
      </c>
      <c r="R21" s="43" t="s">
        <v>407</v>
      </c>
      <c r="S21" s="43" t="s">
        <v>385</v>
      </c>
      <c r="T21" s="43">
        <v>10</v>
      </c>
      <c r="U21" s="43">
        <v>-27.009499999999999</v>
      </c>
      <c r="V21" s="28">
        <v>-2.248E-7</v>
      </c>
      <c r="W21" s="43" t="s">
        <v>913</v>
      </c>
      <c r="X21" s="43" t="s">
        <v>65</v>
      </c>
    </row>
    <row r="22" spans="2:24" x14ac:dyDescent="0.2">
      <c r="B22" s="43" t="s">
        <v>134</v>
      </c>
      <c r="C22" s="43">
        <v>223</v>
      </c>
      <c r="D22" s="43" t="s">
        <v>408</v>
      </c>
      <c r="E22" s="43" t="s">
        <v>107</v>
      </c>
      <c r="F22" s="43" t="s">
        <v>409</v>
      </c>
      <c r="G22" s="43" t="s">
        <v>383</v>
      </c>
      <c r="H22" s="43">
        <v>60</v>
      </c>
      <c r="I22" s="43">
        <v>-68.955399999999997</v>
      </c>
      <c r="J22" s="28">
        <v>-9.9999999999999995E-7</v>
      </c>
      <c r="K22" s="43" t="s">
        <v>913</v>
      </c>
      <c r="L22" s="43" t="s">
        <v>65</v>
      </c>
      <c r="N22" s="43" t="s">
        <v>134</v>
      </c>
      <c r="O22" s="43">
        <v>223</v>
      </c>
      <c r="P22" s="43" t="s">
        <v>408</v>
      </c>
      <c r="Q22" s="43" t="s">
        <v>380</v>
      </c>
      <c r="R22" s="43" t="s">
        <v>409</v>
      </c>
      <c r="S22" s="43" t="s">
        <v>383</v>
      </c>
      <c r="T22" s="43">
        <v>10</v>
      </c>
      <c r="U22" s="43">
        <v>-68.891400000000004</v>
      </c>
      <c r="V22" s="28">
        <v>-9.9999999999999995E-7</v>
      </c>
      <c r="W22" s="43" t="s">
        <v>913</v>
      </c>
      <c r="X22" s="43" t="s">
        <v>65</v>
      </c>
    </row>
    <row r="23" spans="2:24" x14ac:dyDescent="0.2">
      <c r="B23" s="43" t="s">
        <v>134</v>
      </c>
      <c r="C23" s="43">
        <v>223</v>
      </c>
      <c r="D23" s="43" t="s">
        <v>408</v>
      </c>
      <c r="E23" s="43" t="s">
        <v>107</v>
      </c>
      <c r="F23" s="43" t="s">
        <v>410</v>
      </c>
      <c r="G23" s="43" t="s">
        <v>385</v>
      </c>
      <c r="H23" s="43">
        <v>60</v>
      </c>
      <c r="I23" s="43">
        <v>-36.363100000000003</v>
      </c>
      <c r="J23" s="28">
        <v>-3.0479999999999998E-7</v>
      </c>
      <c r="K23" s="43" t="s">
        <v>913</v>
      </c>
      <c r="L23" s="43" t="s">
        <v>65</v>
      </c>
      <c r="N23" s="43" t="s">
        <v>134</v>
      </c>
      <c r="O23" s="43">
        <v>223</v>
      </c>
      <c r="P23" s="43" t="s">
        <v>408</v>
      </c>
      <c r="Q23" s="43" t="s">
        <v>380</v>
      </c>
      <c r="R23" s="43" t="s">
        <v>410</v>
      </c>
      <c r="S23" s="43" t="s">
        <v>385</v>
      </c>
      <c r="T23" s="43">
        <v>10</v>
      </c>
      <c r="U23" s="43">
        <v>-36.420900000000003</v>
      </c>
      <c r="V23" s="28">
        <v>-3.0520000000000001E-7</v>
      </c>
      <c r="W23" s="43" t="s">
        <v>913</v>
      </c>
      <c r="X23" s="43" t="s">
        <v>65</v>
      </c>
    </row>
    <row r="24" spans="2:24" x14ac:dyDescent="0.2">
      <c r="B24" s="43" t="s">
        <v>134</v>
      </c>
      <c r="C24" s="43">
        <v>226</v>
      </c>
      <c r="D24" s="43" t="s">
        <v>411</v>
      </c>
      <c r="E24" s="43" t="s">
        <v>107</v>
      </c>
      <c r="F24" s="43" t="s">
        <v>412</v>
      </c>
      <c r="G24" s="43" t="s">
        <v>383</v>
      </c>
      <c r="H24" s="43">
        <v>60</v>
      </c>
      <c r="I24" s="43">
        <v>-44.573099999999997</v>
      </c>
      <c r="J24" s="28">
        <v>-4.8879999999999998E-7</v>
      </c>
      <c r="K24" s="43" t="s">
        <v>913</v>
      </c>
      <c r="L24" s="43" t="s">
        <v>65</v>
      </c>
      <c r="N24" s="43" t="s">
        <v>134</v>
      </c>
      <c r="O24" s="43">
        <v>226</v>
      </c>
      <c r="P24" s="43" t="s">
        <v>411</v>
      </c>
      <c r="Q24" s="43" t="s">
        <v>380</v>
      </c>
      <c r="R24" s="43" t="s">
        <v>412</v>
      </c>
      <c r="S24" s="43" t="s">
        <v>383</v>
      </c>
      <c r="T24" s="43">
        <v>10</v>
      </c>
      <c r="U24" s="43">
        <v>-44.518900000000002</v>
      </c>
      <c r="V24" s="28">
        <v>-4.8820000000000004E-7</v>
      </c>
      <c r="W24" s="43" t="s">
        <v>913</v>
      </c>
      <c r="X24" s="43" t="s">
        <v>65</v>
      </c>
    </row>
    <row r="25" spans="2:24" x14ac:dyDescent="0.2">
      <c r="B25" s="43" t="s">
        <v>134</v>
      </c>
      <c r="C25" s="43">
        <v>226</v>
      </c>
      <c r="D25" s="43" t="s">
        <v>411</v>
      </c>
      <c r="E25" s="43" t="s">
        <v>107</v>
      </c>
      <c r="F25" s="43" t="s">
        <v>413</v>
      </c>
      <c r="G25" s="43" t="s">
        <v>385</v>
      </c>
      <c r="H25" s="43">
        <v>60</v>
      </c>
      <c r="I25" s="43">
        <v>-12.4955</v>
      </c>
      <c r="J25" s="28">
        <v>-1.37E-7</v>
      </c>
      <c r="K25" s="43" t="s">
        <v>913</v>
      </c>
      <c r="L25" s="43" t="s">
        <v>65</v>
      </c>
      <c r="N25" s="43" t="s">
        <v>134</v>
      </c>
      <c r="O25" s="43">
        <v>226</v>
      </c>
      <c r="P25" s="43" t="s">
        <v>411</v>
      </c>
      <c r="Q25" s="43" t="s">
        <v>380</v>
      </c>
      <c r="R25" s="43" t="s">
        <v>413</v>
      </c>
      <c r="S25" s="43" t="s">
        <v>385</v>
      </c>
      <c r="T25" s="43">
        <v>10</v>
      </c>
      <c r="U25" s="43">
        <v>-12.5495</v>
      </c>
      <c r="V25" s="28">
        <v>-1.3759999999999999E-7</v>
      </c>
      <c r="W25" s="43" t="s">
        <v>913</v>
      </c>
      <c r="X25" s="43" t="s">
        <v>65</v>
      </c>
    </row>
    <row r="26" spans="2:24" x14ac:dyDescent="0.2">
      <c r="B26" s="43" t="s">
        <v>134</v>
      </c>
      <c r="C26" s="43">
        <v>234</v>
      </c>
      <c r="D26" s="43" t="s">
        <v>414</v>
      </c>
      <c r="E26" s="43" t="s">
        <v>107</v>
      </c>
      <c r="F26" s="43" t="s">
        <v>415</v>
      </c>
      <c r="G26" s="43" t="s">
        <v>383</v>
      </c>
      <c r="H26" s="43">
        <v>60</v>
      </c>
      <c r="I26" s="43">
        <v>-20.014900000000001</v>
      </c>
      <c r="J26" s="28">
        <v>-1.624E-7</v>
      </c>
      <c r="K26" s="43" t="s">
        <v>913</v>
      </c>
      <c r="L26" s="43" t="s">
        <v>65</v>
      </c>
      <c r="N26" s="43" t="s">
        <v>134</v>
      </c>
      <c r="O26" s="43">
        <v>234</v>
      </c>
      <c r="P26" s="43" t="s">
        <v>414</v>
      </c>
      <c r="Q26" s="43" t="s">
        <v>380</v>
      </c>
      <c r="R26" s="43" t="s">
        <v>415</v>
      </c>
      <c r="S26" s="43" t="s">
        <v>383</v>
      </c>
      <c r="T26" s="43">
        <v>10</v>
      </c>
      <c r="U26" s="43">
        <v>-20.069500000000001</v>
      </c>
      <c r="V26" s="28">
        <v>-1.6290000000000001E-7</v>
      </c>
      <c r="W26" s="43" t="s">
        <v>913</v>
      </c>
      <c r="X26" s="43" t="s">
        <v>65</v>
      </c>
    </row>
    <row r="27" spans="2:24" x14ac:dyDescent="0.2">
      <c r="B27" s="43" t="s">
        <v>134</v>
      </c>
      <c r="C27" s="43">
        <v>234</v>
      </c>
      <c r="D27" s="43" t="s">
        <v>414</v>
      </c>
      <c r="E27" s="43" t="s">
        <v>107</v>
      </c>
      <c r="F27" s="43" t="s">
        <v>416</v>
      </c>
      <c r="G27" s="43" t="s">
        <v>385</v>
      </c>
      <c r="H27" s="43">
        <v>60</v>
      </c>
      <c r="I27" s="43">
        <v>-16.827999999999999</v>
      </c>
      <c r="J27" s="28">
        <v>-1.3659999999999999E-7</v>
      </c>
      <c r="K27" s="43" t="s">
        <v>913</v>
      </c>
      <c r="L27" s="43" t="s">
        <v>65</v>
      </c>
      <c r="N27" s="43" t="s">
        <v>134</v>
      </c>
      <c r="O27" s="43">
        <v>234</v>
      </c>
      <c r="P27" s="43" t="s">
        <v>414</v>
      </c>
      <c r="Q27" s="43" t="s">
        <v>380</v>
      </c>
      <c r="R27" s="43" t="s">
        <v>416</v>
      </c>
      <c r="S27" s="43" t="s">
        <v>385</v>
      </c>
      <c r="T27" s="43">
        <v>10</v>
      </c>
      <c r="U27" s="43">
        <v>-16.775400000000001</v>
      </c>
      <c r="V27" s="28">
        <v>-1.3610000000000001E-7</v>
      </c>
      <c r="W27" s="43" t="s">
        <v>913</v>
      </c>
      <c r="X27" s="43" t="s">
        <v>65</v>
      </c>
    </row>
    <row r="28" spans="2:24" x14ac:dyDescent="0.2">
      <c r="B28" s="43" t="s">
        <v>134</v>
      </c>
      <c r="C28" s="43">
        <v>235</v>
      </c>
      <c r="D28" s="43" t="s">
        <v>417</v>
      </c>
      <c r="E28" s="43" t="s">
        <v>107</v>
      </c>
      <c r="F28" s="43" t="s">
        <v>418</v>
      </c>
      <c r="G28" s="43" t="s">
        <v>383</v>
      </c>
      <c r="H28" s="43">
        <v>60</v>
      </c>
      <c r="I28" s="43">
        <v>-16.591899999999999</v>
      </c>
      <c r="J28" s="28">
        <v>-1.2389999999999999E-7</v>
      </c>
      <c r="K28" s="43" t="s">
        <v>913</v>
      </c>
      <c r="L28" s="43" t="s">
        <v>65</v>
      </c>
      <c r="N28" s="43" t="s">
        <v>134</v>
      </c>
      <c r="O28" s="43">
        <v>235</v>
      </c>
      <c r="P28" s="43" t="s">
        <v>417</v>
      </c>
      <c r="Q28" s="43" t="s">
        <v>380</v>
      </c>
      <c r="R28" s="43" t="s">
        <v>418</v>
      </c>
      <c r="S28" s="43" t="s">
        <v>383</v>
      </c>
      <c r="T28" s="43">
        <v>10</v>
      </c>
      <c r="U28" s="43">
        <v>-16.648599999999998</v>
      </c>
      <c r="V28" s="28">
        <v>-1.2429999999999999E-7</v>
      </c>
      <c r="W28" s="43" t="s">
        <v>913</v>
      </c>
      <c r="X28" s="43" t="s">
        <v>65</v>
      </c>
    </row>
    <row r="29" spans="2:24" x14ac:dyDescent="0.2">
      <c r="B29" s="43" t="s">
        <v>134</v>
      </c>
      <c r="C29" s="43">
        <v>235</v>
      </c>
      <c r="D29" s="43" t="s">
        <v>417</v>
      </c>
      <c r="E29" s="43" t="s">
        <v>107</v>
      </c>
      <c r="F29" s="43" t="s">
        <v>419</v>
      </c>
      <c r="G29" s="43" t="s">
        <v>385</v>
      </c>
      <c r="H29" s="43">
        <v>60</v>
      </c>
      <c r="I29" s="43">
        <v>-25.010200000000001</v>
      </c>
      <c r="J29" s="28">
        <v>-1.867E-7</v>
      </c>
      <c r="K29" s="43" t="s">
        <v>913</v>
      </c>
      <c r="L29" s="43" t="s">
        <v>65</v>
      </c>
      <c r="N29" s="43" t="s">
        <v>134</v>
      </c>
      <c r="O29" s="43">
        <v>235</v>
      </c>
      <c r="P29" s="43" t="s">
        <v>417</v>
      </c>
      <c r="Q29" s="43" t="s">
        <v>380</v>
      </c>
      <c r="R29" s="43" t="s">
        <v>419</v>
      </c>
      <c r="S29" s="43" t="s">
        <v>385</v>
      </c>
      <c r="T29" s="43">
        <v>10</v>
      </c>
      <c r="U29" s="43">
        <v>-24.9558</v>
      </c>
      <c r="V29" s="28">
        <v>-1.8629999999999999E-7</v>
      </c>
      <c r="W29" s="43" t="s">
        <v>913</v>
      </c>
      <c r="X29" s="43" t="s">
        <v>65</v>
      </c>
    </row>
    <row r="30" spans="2:24" x14ac:dyDescent="0.2">
      <c r="B30" s="43" t="s">
        <v>134</v>
      </c>
      <c r="C30" s="43">
        <v>236</v>
      </c>
      <c r="D30" s="43" t="s">
        <v>417</v>
      </c>
      <c r="E30" s="43" t="s">
        <v>107</v>
      </c>
      <c r="F30" s="43" t="s">
        <v>420</v>
      </c>
      <c r="G30" s="43" t="s">
        <v>383</v>
      </c>
      <c r="H30" s="43">
        <v>60</v>
      </c>
      <c r="I30" s="43">
        <v>-25.007400000000001</v>
      </c>
      <c r="J30" s="28">
        <v>-1.9740000000000001E-7</v>
      </c>
      <c r="K30" s="43" t="s">
        <v>913</v>
      </c>
      <c r="L30" s="43" t="s">
        <v>65</v>
      </c>
      <c r="N30" s="43" t="s">
        <v>134</v>
      </c>
      <c r="O30" s="43">
        <v>236</v>
      </c>
      <c r="P30" s="43" t="s">
        <v>417</v>
      </c>
      <c r="Q30" s="43" t="s">
        <v>380</v>
      </c>
      <c r="R30" s="43" t="s">
        <v>420</v>
      </c>
      <c r="S30" s="43" t="s">
        <v>383</v>
      </c>
      <c r="T30" s="43">
        <v>10</v>
      </c>
      <c r="U30" s="43">
        <v>-25.0562</v>
      </c>
      <c r="V30" s="28">
        <v>-1.9780000000000001E-7</v>
      </c>
      <c r="W30" s="43" t="s">
        <v>913</v>
      </c>
      <c r="X30" s="43" t="s">
        <v>65</v>
      </c>
    </row>
    <row r="31" spans="2:24" x14ac:dyDescent="0.2">
      <c r="B31" s="43" t="s">
        <v>134</v>
      </c>
      <c r="C31" s="43">
        <v>236</v>
      </c>
      <c r="D31" s="43" t="s">
        <v>417</v>
      </c>
      <c r="E31" s="43" t="s">
        <v>107</v>
      </c>
      <c r="F31" s="43" t="s">
        <v>421</v>
      </c>
      <c r="G31" s="43" t="s">
        <v>385</v>
      </c>
      <c r="H31" s="43">
        <v>60</v>
      </c>
      <c r="I31" s="43">
        <v>-25.018599999999999</v>
      </c>
      <c r="J31" s="28">
        <v>-1.9749999999999999E-7</v>
      </c>
      <c r="K31" s="43" t="s">
        <v>913</v>
      </c>
      <c r="L31" s="43" t="s">
        <v>65</v>
      </c>
      <c r="N31" s="43" t="s">
        <v>134</v>
      </c>
      <c r="O31" s="43">
        <v>236</v>
      </c>
      <c r="P31" s="43" t="s">
        <v>417</v>
      </c>
      <c r="Q31" s="43" t="s">
        <v>380</v>
      </c>
      <c r="R31" s="43" t="s">
        <v>421</v>
      </c>
      <c r="S31" s="43" t="s">
        <v>385</v>
      </c>
      <c r="T31" s="43">
        <v>10</v>
      </c>
      <c r="U31" s="43">
        <v>-24.969799999999999</v>
      </c>
      <c r="V31" s="28">
        <v>-1.9710000000000001E-7</v>
      </c>
      <c r="W31" s="43" t="s">
        <v>913</v>
      </c>
      <c r="X31" s="43" t="s">
        <v>65</v>
      </c>
    </row>
    <row r="32" spans="2:24" x14ac:dyDescent="0.2">
      <c r="B32" s="43" t="s">
        <v>134</v>
      </c>
      <c r="C32" s="43">
        <v>237</v>
      </c>
      <c r="D32" s="43" t="s">
        <v>417</v>
      </c>
      <c r="E32" s="43" t="s">
        <v>107</v>
      </c>
      <c r="F32" s="43" t="s">
        <v>422</v>
      </c>
      <c r="G32" s="43" t="s">
        <v>383</v>
      </c>
      <c r="H32" s="43">
        <v>60</v>
      </c>
      <c r="I32" s="43">
        <v>-25.041</v>
      </c>
      <c r="J32" s="28">
        <v>-1.8699999999999999E-7</v>
      </c>
      <c r="K32" s="43" t="s">
        <v>913</v>
      </c>
      <c r="L32" s="43" t="s">
        <v>65</v>
      </c>
      <c r="N32" s="43" t="s">
        <v>134</v>
      </c>
      <c r="O32" s="43">
        <v>237</v>
      </c>
      <c r="P32" s="43" t="s">
        <v>417</v>
      </c>
      <c r="Q32" s="43" t="s">
        <v>380</v>
      </c>
      <c r="R32" s="43" t="s">
        <v>422</v>
      </c>
      <c r="S32" s="43" t="s">
        <v>383</v>
      </c>
      <c r="T32" s="43">
        <v>10</v>
      </c>
      <c r="U32" s="43">
        <v>-25.095800000000001</v>
      </c>
      <c r="V32" s="28">
        <v>-1.874E-7</v>
      </c>
      <c r="W32" s="43" t="s">
        <v>913</v>
      </c>
      <c r="X32" s="43" t="s">
        <v>65</v>
      </c>
    </row>
    <row r="33" spans="2:24" x14ac:dyDescent="0.2">
      <c r="B33" s="43" t="s">
        <v>134</v>
      </c>
      <c r="C33" s="43">
        <v>237</v>
      </c>
      <c r="D33" s="43" t="s">
        <v>417</v>
      </c>
      <c r="E33" s="43" t="s">
        <v>107</v>
      </c>
      <c r="F33" s="43" t="s">
        <v>423</v>
      </c>
      <c r="G33" s="43" t="s">
        <v>385</v>
      </c>
      <c r="H33" s="43">
        <v>60</v>
      </c>
      <c r="I33" s="43">
        <v>-16.508400000000002</v>
      </c>
      <c r="J33" s="28">
        <v>-1.233E-7</v>
      </c>
      <c r="K33" s="43" t="s">
        <v>913</v>
      </c>
      <c r="L33" s="43" t="s">
        <v>65</v>
      </c>
      <c r="N33" s="43" t="s">
        <v>134</v>
      </c>
      <c r="O33" s="43">
        <v>237</v>
      </c>
      <c r="P33" s="43" t="s">
        <v>417</v>
      </c>
      <c r="Q33" s="43" t="s">
        <v>380</v>
      </c>
      <c r="R33" s="43" t="s">
        <v>423</v>
      </c>
      <c r="S33" s="43" t="s">
        <v>385</v>
      </c>
      <c r="T33" s="43">
        <v>10</v>
      </c>
      <c r="U33" s="43">
        <v>-16.4512</v>
      </c>
      <c r="V33" s="28">
        <v>-1.2279999999999999E-7</v>
      </c>
      <c r="W33" s="43" t="s">
        <v>913</v>
      </c>
      <c r="X33" s="43" t="s">
        <v>65</v>
      </c>
    </row>
    <row r="34" spans="2:24" x14ac:dyDescent="0.2">
      <c r="B34" s="43" t="s">
        <v>134</v>
      </c>
      <c r="C34" s="43">
        <v>238</v>
      </c>
      <c r="D34" s="43" t="s">
        <v>424</v>
      </c>
      <c r="E34" s="43" t="s">
        <v>107</v>
      </c>
      <c r="F34" s="43" t="s">
        <v>425</v>
      </c>
      <c r="G34" s="43" t="s">
        <v>383</v>
      </c>
      <c r="H34" s="43">
        <v>60</v>
      </c>
      <c r="I34" s="43">
        <v>-16.093299999999999</v>
      </c>
      <c r="J34" s="28">
        <v>-1.3059999999999999E-7</v>
      </c>
      <c r="K34" s="43" t="s">
        <v>913</v>
      </c>
      <c r="L34" s="43" t="s">
        <v>65</v>
      </c>
      <c r="N34" s="43" t="s">
        <v>134</v>
      </c>
      <c r="O34" s="43">
        <v>238</v>
      </c>
      <c r="P34" s="43" t="s">
        <v>424</v>
      </c>
      <c r="Q34" s="43" t="s">
        <v>380</v>
      </c>
      <c r="R34" s="43" t="s">
        <v>425</v>
      </c>
      <c r="S34" s="43" t="s">
        <v>383</v>
      </c>
      <c r="T34" s="43">
        <v>10</v>
      </c>
      <c r="U34" s="43">
        <v>-16.1496</v>
      </c>
      <c r="V34" s="28">
        <v>-1.311E-7</v>
      </c>
      <c r="W34" s="43" t="s">
        <v>913</v>
      </c>
      <c r="X34" s="43" t="s">
        <v>65</v>
      </c>
    </row>
    <row r="35" spans="2:24" x14ac:dyDescent="0.2">
      <c r="B35" s="43" t="s">
        <v>134</v>
      </c>
      <c r="C35" s="43">
        <v>238</v>
      </c>
      <c r="D35" s="43" t="s">
        <v>424</v>
      </c>
      <c r="E35" s="43" t="s">
        <v>107</v>
      </c>
      <c r="F35" s="43" t="s">
        <v>426</v>
      </c>
      <c r="G35" s="43" t="s">
        <v>385</v>
      </c>
      <c r="H35" s="43">
        <v>60</v>
      </c>
      <c r="I35" s="43">
        <v>-19.358499999999999</v>
      </c>
      <c r="J35" s="28">
        <v>-1.571E-7</v>
      </c>
      <c r="K35" s="43" t="s">
        <v>913</v>
      </c>
      <c r="L35" s="43" t="s">
        <v>65</v>
      </c>
      <c r="N35" s="43" t="s">
        <v>134</v>
      </c>
      <c r="O35" s="43">
        <v>238</v>
      </c>
      <c r="P35" s="43" t="s">
        <v>424</v>
      </c>
      <c r="Q35" s="43" t="s">
        <v>380</v>
      </c>
      <c r="R35" s="43" t="s">
        <v>426</v>
      </c>
      <c r="S35" s="43" t="s">
        <v>385</v>
      </c>
      <c r="T35" s="43">
        <v>10</v>
      </c>
      <c r="U35" s="43">
        <v>-19.3001</v>
      </c>
      <c r="V35" s="28">
        <v>-1.5660000000000001E-7</v>
      </c>
      <c r="W35" s="43" t="s">
        <v>913</v>
      </c>
      <c r="X35" s="43" t="s">
        <v>65</v>
      </c>
    </row>
    <row r="36" spans="2:24" x14ac:dyDescent="0.2">
      <c r="B36" s="43" t="s">
        <v>134</v>
      </c>
      <c r="C36" s="43">
        <v>212</v>
      </c>
      <c r="D36" s="43" t="s">
        <v>427</v>
      </c>
      <c r="E36" s="43" t="s">
        <v>107</v>
      </c>
      <c r="F36" s="43" t="s">
        <v>428</v>
      </c>
      <c r="G36" s="43" t="s">
        <v>383</v>
      </c>
      <c r="H36" s="43">
        <v>60</v>
      </c>
      <c r="I36" s="43">
        <v>-50.536200000000001</v>
      </c>
      <c r="J36" s="28">
        <v>-4.9259999999999995E-7</v>
      </c>
      <c r="K36" s="43" t="s">
        <v>913</v>
      </c>
      <c r="L36" s="43" t="s">
        <v>65</v>
      </c>
      <c r="N36" s="43" t="s">
        <v>134</v>
      </c>
      <c r="O36" s="43">
        <v>212</v>
      </c>
      <c r="P36" s="43" t="s">
        <v>427</v>
      </c>
      <c r="Q36" s="43" t="s">
        <v>380</v>
      </c>
      <c r="R36" s="43" t="s">
        <v>428</v>
      </c>
      <c r="S36" s="43" t="s">
        <v>383</v>
      </c>
      <c r="T36" s="43">
        <v>10</v>
      </c>
      <c r="U36" s="43">
        <v>-50.548200000000001</v>
      </c>
      <c r="V36" s="28">
        <v>-4.9269999999999996E-7</v>
      </c>
      <c r="W36" s="43" t="s">
        <v>913</v>
      </c>
      <c r="X36" s="43" t="s">
        <v>65</v>
      </c>
    </row>
    <row r="37" spans="2:24" x14ac:dyDescent="0.2">
      <c r="B37" s="43" t="s">
        <v>134</v>
      </c>
      <c r="C37" s="43">
        <v>212</v>
      </c>
      <c r="D37" s="43" t="s">
        <v>427</v>
      </c>
      <c r="E37" s="43" t="s">
        <v>107</v>
      </c>
      <c r="F37" s="43" t="s">
        <v>429</v>
      </c>
      <c r="G37" s="43" t="s">
        <v>385</v>
      </c>
      <c r="H37" s="43">
        <v>60</v>
      </c>
      <c r="I37" s="43">
        <v>-9.2210000000000001</v>
      </c>
      <c r="J37" s="28">
        <v>-8.9879999999999995E-8</v>
      </c>
      <c r="K37" s="43" t="s">
        <v>913</v>
      </c>
      <c r="L37" s="43" t="s">
        <v>65</v>
      </c>
      <c r="N37" s="43" t="s">
        <v>134</v>
      </c>
      <c r="O37" s="43">
        <v>212</v>
      </c>
      <c r="P37" s="43" t="s">
        <v>427</v>
      </c>
      <c r="Q37" s="43" t="s">
        <v>380</v>
      </c>
      <c r="R37" s="43" t="s">
        <v>429</v>
      </c>
      <c r="S37" s="43" t="s">
        <v>385</v>
      </c>
      <c r="T37" s="43">
        <v>10</v>
      </c>
      <c r="U37" s="43">
        <v>-9.2210999999999999</v>
      </c>
      <c r="V37" s="28">
        <v>-8.9879999999999995E-8</v>
      </c>
      <c r="W37" s="43" t="s">
        <v>913</v>
      </c>
      <c r="X37" s="43" t="s">
        <v>65</v>
      </c>
    </row>
    <row r="38" spans="2:24" x14ac:dyDescent="0.2">
      <c r="B38" s="43" t="s">
        <v>134</v>
      </c>
      <c r="C38" s="43">
        <v>215</v>
      </c>
      <c r="D38" s="43" t="s">
        <v>430</v>
      </c>
      <c r="E38" s="43" t="s">
        <v>107</v>
      </c>
      <c r="F38" s="43" t="s">
        <v>431</v>
      </c>
      <c r="G38" s="43" t="s">
        <v>383</v>
      </c>
      <c r="H38" s="43">
        <v>60</v>
      </c>
      <c r="I38" s="43">
        <v>-82.242599999999996</v>
      </c>
      <c r="J38" s="28">
        <v>-9.9999999999999995E-7</v>
      </c>
      <c r="K38" s="43" t="s">
        <v>913</v>
      </c>
      <c r="L38" s="43" t="s">
        <v>65</v>
      </c>
      <c r="N38" s="43" t="s">
        <v>134</v>
      </c>
      <c r="O38" s="43">
        <v>215</v>
      </c>
      <c r="P38" s="43" t="s">
        <v>430</v>
      </c>
      <c r="Q38" s="43" t="s">
        <v>380</v>
      </c>
      <c r="R38" s="43" t="s">
        <v>431</v>
      </c>
      <c r="S38" s="43" t="s">
        <v>383</v>
      </c>
      <c r="T38" s="43">
        <v>10</v>
      </c>
      <c r="U38" s="43">
        <v>-82.234300000000005</v>
      </c>
      <c r="V38" s="28">
        <v>-9.9999999999999995E-7</v>
      </c>
      <c r="W38" s="43" t="s">
        <v>913</v>
      </c>
      <c r="X38" s="43" t="s">
        <v>65</v>
      </c>
    </row>
    <row r="39" spans="2:24" x14ac:dyDescent="0.2">
      <c r="B39" s="43" t="s">
        <v>134</v>
      </c>
      <c r="C39" s="43">
        <v>215</v>
      </c>
      <c r="D39" s="43" t="s">
        <v>430</v>
      </c>
      <c r="E39" s="43" t="s">
        <v>107</v>
      </c>
      <c r="F39" s="43" t="s">
        <v>432</v>
      </c>
      <c r="G39" s="43" t="s">
        <v>385</v>
      </c>
      <c r="H39" s="43">
        <v>60</v>
      </c>
      <c r="I39" s="43">
        <v>-38.6785</v>
      </c>
      <c r="J39" s="28">
        <v>-3.157E-7</v>
      </c>
      <c r="K39" s="43" t="s">
        <v>913</v>
      </c>
      <c r="L39" s="43" t="s">
        <v>65</v>
      </c>
      <c r="N39" s="43" t="s">
        <v>134</v>
      </c>
      <c r="O39" s="43">
        <v>215</v>
      </c>
      <c r="P39" s="43" t="s">
        <v>430</v>
      </c>
      <c r="Q39" s="43" t="s">
        <v>380</v>
      </c>
      <c r="R39" s="43" t="s">
        <v>432</v>
      </c>
      <c r="S39" s="43" t="s">
        <v>385</v>
      </c>
      <c r="T39" s="43">
        <v>10</v>
      </c>
      <c r="U39" s="43">
        <v>-38.6873</v>
      </c>
      <c r="V39" s="28">
        <v>-3.157E-7</v>
      </c>
      <c r="W39" s="43" t="s">
        <v>913</v>
      </c>
      <c r="X39" s="43" t="s">
        <v>65</v>
      </c>
    </row>
    <row r="40" spans="2:24" x14ac:dyDescent="0.2">
      <c r="B40" s="43" t="s">
        <v>134</v>
      </c>
      <c r="C40" s="43">
        <v>218</v>
      </c>
      <c r="D40" s="43" t="s">
        <v>433</v>
      </c>
      <c r="E40" s="43" t="s">
        <v>107</v>
      </c>
      <c r="F40" s="43" t="s">
        <v>434</v>
      </c>
      <c r="G40" s="43" t="s">
        <v>383</v>
      </c>
      <c r="H40" s="43">
        <v>60</v>
      </c>
      <c r="I40" s="43">
        <v>-74.261300000000006</v>
      </c>
      <c r="J40" s="28">
        <v>-9.9999999999999995E-7</v>
      </c>
      <c r="K40" s="43" t="s">
        <v>913</v>
      </c>
      <c r="L40" s="43" t="s">
        <v>65</v>
      </c>
      <c r="N40" s="43" t="s">
        <v>134</v>
      </c>
      <c r="O40" s="43">
        <v>218</v>
      </c>
      <c r="P40" s="43" t="s">
        <v>433</v>
      </c>
      <c r="Q40" s="43" t="s">
        <v>380</v>
      </c>
      <c r="R40" s="43" t="s">
        <v>434</v>
      </c>
      <c r="S40" s="43" t="s">
        <v>383</v>
      </c>
      <c r="T40" s="43">
        <v>10</v>
      </c>
      <c r="U40" s="43">
        <v>-74.230800000000002</v>
      </c>
      <c r="V40" s="28">
        <v>-9.9999999999999995E-7</v>
      </c>
      <c r="W40" s="43" t="s">
        <v>913</v>
      </c>
      <c r="X40" s="43" t="s">
        <v>65</v>
      </c>
    </row>
    <row r="41" spans="2:24" x14ac:dyDescent="0.2">
      <c r="B41" s="43" t="s">
        <v>134</v>
      </c>
      <c r="C41" s="43">
        <v>218</v>
      </c>
      <c r="D41" s="43" t="s">
        <v>433</v>
      </c>
      <c r="E41" s="43" t="s">
        <v>107</v>
      </c>
      <c r="F41" s="43" t="s">
        <v>435</v>
      </c>
      <c r="G41" s="43" t="s">
        <v>385</v>
      </c>
      <c r="H41" s="43">
        <v>60</v>
      </c>
      <c r="I41" s="43">
        <v>-22.7258</v>
      </c>
      <c r="J41" s="28">
        <v>-1.7249999999999999E-7</v>
      </c>
      <c r="K41" s="43" t="s">
        <v>913</v>
      </c>
      <c r="L41" s="43" t="s">
        <v>65</v>
      </c>
      <c r="N41" s="43" t="s">
        <v>134</v>
      </c>
      <c r="O41" s="43">
        <v>218</v>
      </c>
      <c r="P41" s="43" t="s">
        <v>433</v>
      </c>
      <c r="Q41" s="43" t="s">
        <v>380</v>
      </c>
      <c r="R41" s="43" t="s">
        <v>435</v>
      </c>
      <c r="S41" s="43" t="s">
        <v>385</v>
      </c>
      <c r="T41" s="43">
        <v>10</v>
      </c>
      <c r="U41" s="43">
        <v>-22.7547</v>
      </c>
      <c r="V41" s="28">
        <v>-1.727E-7</v>
      </c>
      <c r="W41" s="43" t="s">
        <v>913</v>
      </c>
      <c r="X41" s="43" t="s">
        <v>65</v>
      </c>
    </row>
    <row r="42" spans="2:24" x14ac:dyDescent="0.2">
      <c r="B42" s="43" t="s">
        <v>134</v>
      </c>
      <c r="C42" s="43">
        <v>221</v>
      </c>
      <c r="D42" s="43" t="s">
        <v>436</v>
      </c>
      <c r="E42" s="43" t="s">
        <v>107</v>
      </c>
      <c r="F42" s="43" t="s">
        <v>437</v>
      </c>
      <c r="G42" s="43" t="s">
        <v>383</v>
      </c>
      <c r="H42" s="43">
        <v>60</v>
      </c>
      <c r="I42" s="43">
        <v>-74.233599999999996</v>
      </c>
      <c r="J42" s="28">
        <v>-9.9999999999999995E-7</v>
      </c>
      <c r="K42" s="43" t="s">
        <v>913</v>
      </c>
      <c r="L42" s="43" t="s">
        <v>65</v>
      </c>
      <c r="N42" s="43" t="s">
        <v>134</v>
      </c>
      <c r="O42" s="43">
        <v>221</v>
      </c>
      <c r="P42" s="43" t="s">
        <v>436</v>
      </c>
      <c r="Q42" s="43" t="s">
        <v>380</v>
      </c>
      <c r="R42" s="43" t="s">
        <v>437</v>
      </c>
      <c r="S42" s="43" t="s">
        <v>383</v>
      </c>
      <c r="T42" s="43">
        <v>10</v>
      </c>
      <c r="U42" s="43">
        <v>-74.185299999999998</v>
      </c>
      <c r="V42" s="28">
        <v>-9.9999999999999995E-7</v>
      </c>
      <c r="W42" s="43" t="s">
        <v>913</v>
      </c>
      <c r="X42" s="43" t="s">
        <v>65</v>
      </c>
    </row>
    <row r="43" spans="2:24" x14ac:dyDescent="0.2">
      <c r="B43" s="43" t="s">
        <v>134</v>
      </c>
      <c r="C43" s="43">
        <v>221</v>
      </c>
      <c r="D43" s="43" t="s">
        <v>436</v>
      </c>
      <c r="E43" s="43" t="s">
        <v>107</v>
      </c>
      <c r="F43" s="43" t="s">
        <v>438</v>
      </c>
      <c r="G43" s="43" t="s">
        <v>385</v>
      </c>
      <c r="H43" s="43">
        <v>60</v>
      </c>
      <c r="I43" s="43">
        <v>-22.7776</v>
      </c>
      <c r="J43" s="28">
        <v>-1.7280000000000001E-7</v>
      </c>
      <c r="K43" s="43" t="s">
        <v>913</v>
      </c>
      <c r="L43" s="43" t="s">
        <v>65</v>
      </c>
      <c r="N43" s="43" t="s">
        <v>134</v>
      </c>
      <c r="O43" s="43">
        <v>221</v>
      </c>
      <c r="P43" s="43" t="s">
        <v>436</v>
      </c>
      <c r="Q43" s="43" t="s">
        <v>380</v>
      </c>
      <c r="R43" s="43" t="s">
        <v>438</v>
      </c>
      <c r="S43" s="43" t="s">
        <v>385</v>
      </c>
      <c r="T43" s="43">
        <v>10</v>
      </c>
      <c r="U43" s="43">
        <v>-22.8277</v>
      </c>
      <c r="V43" s="28">
        <v>-1.7319999999999999E-7</v>
      </c>
      <c r="W43" s="43" t="s">
        <v>913</v>
      </c>
      <c r="X43" s="43" t="s">
        <v>65</v>
      </c>
    </row>
    <row r="44" spans="2:24" x14ac:dyDescent="0.2">
      <c r="B44" s="43" t="s">
        <v>134</v>
      </c>
      <c r="C44" s="43">
        <v>224</v>
      </c>
      <c r="D44" s="43" t="s">
        <v>439</v>
      </c>
      <c r="E44" s="43" t="s">
        <v>107</v>
      </c>
      <c r="F44" s="43" t="s">
        <v>440</v>
      </c>
      <c r="G44" s="43" t="s">
        <v>383</v>
      </c>
      <c r="H44" s="43">
        <v>60</v>
      </c>
      <c r="I44" s="43">
        <v>-81.656599999999997</v>
      </c>
      <c r="J44" s="28">
        <v>-9.9999999999999995E-7</v>
      </c>
      <c r="K44" s="43" t="s">
        <v>913</v>
      </c>
      <c r="L44" s="43" t="s">
        <v>65</v>
      </c>
      <c r="N44" s="43" t="s">
        <v>134</v>
      </c>
      <c r="O44" s="43">
        <v>224</v>
      </c>
      <c r="P44" s="43" t="s">
        <v>439</v>
      </c>
      <c r="Q44" s="43" t="s">
        <v>380</v>
      </c>
      <c r="R44" s="43" t="s">
        <v>440</v>
      </c>
      <c r="S44" s="43" t="s">
        <v>383</v>
      </c>
      <c r="T44" s="43">
        <v>10</v>
      </c>
      <c r="U44" s="43">
        <v>-81.5989</v>
      </c>
      <c r="V44" s="28">
        <v>-9.9999999999999995E-7</v>
      </c>
      <c r="W44" s="43" t="s">
        <v>913</v>
      </c>
      <c r="X44" s="43" t="s">
        <v>65</v>
      </c>
    </row>
    <row r="45" spans="2:24" x14ac:dyDescent="0.2">
      <c r="B45" s="43" t="s">
        <v>134</v>
      </c>
      <c r="C45" s="43">
        <v>224</v>
      </c>
      <c r="D45" s="43" t="s">
        <v>439</v>
      </c>
      <c r="E45" s="43" t="s">
        <v>107</v>
      </c>
      <c r="F45" s="43" t="s">
        <v>441</v>
      </c>
      <c r="G45" s="43" t="s">
        <v>385</v>
      </c>
      <c r="H45" s="43">
        <v>60</v>
      </c>
      <c r="I45" s="43">
        <v>-38.910400000000003</v>
      </c>
      <c r="J45" s="28">
        <v>-3.1759999999999999E-7</v>
      </c>
      <c r="K45" s="43" t="s">
        <v>913</v>
      </c>
      <c r="L45" s="43" t="s">
        <v>65</v>
      </c>
      <c r="N45" s="43" t="s">
        <v>134</v>
      </c>
      <c r="O45" s="43">
        <v>224</v>
      </c>
      <c r="P45" s="43" t="s">
        <v>439</v>
      </c>
      <c r="Q45" s="43" t="s">
        <v>380</v>
      </c>
      <c r="R45" s="43" t="s">
        <v>441</v>
      </c>
      <c r="S45" s="43" t="s">
        <v>385</v>
      </c>
      <c r="T45" s="43">
        <v>10</v>
      </c>
      <c r="U45" s="43">
        <v>-38.968200000000003</v>
      </c>
      <c r="V45" s="28">
        <v>-3.1800000000000002E-7</v>
      </c>
      <c r="W45" s="43" t="s">
        <v>913</v>
      </c>
      <c r="X45" s="43" t="s">
        <v>65</v>
      </c>
    </row>
    <row r="46" spans="2:24" x14ac:dyDescent="0.2">
      <c r="B46" s="43" t="s">
        <v>134</v>
      </c>
      <c r="C46" s="43">
        <v>227</v>
      </c>
      <c r="D46" s="43" t="s">
        <v>442</v>
      </c>
      <c r="E46" s="43" t="s">
        <v>107</v>
      </c>
      <c r="F46" s="43" t="s">
        <v>443</v>
      </c>
      <c r="G46" s="43" t="s">
        <v>383</v>
      </c>
      <c r="H46" s="43">
        <v>60</v>
      </c>
      <c r="I46" s="43">
        <v>-50.302300000000002</v>
      </c>
      <c r="J46" s="28">
        <v>-4.9029999999999999E-7</v>
      </c>
      <c r="K46" s="43" t="s">
        <v>913</v>
      </c>
      <c r="L46" s="43" t="s">
        <v>65</v>
      </c>
      <c r="N46" s="43" t="s">
        <v>134</v>
      </c>
      <c r="O46" s="43">
        <v>227</v>
      </c>
      <c r="P46" s="43" t="s">
        <v>442</v>
      </c>
      <c r="Q46" s="43" t="s">
        <v>380</v>
      </c>
      <c r="R46" s="43" t="s">
        <v>443</v>
      </c>
      <c r="S46" s="43" t="s">
        <v>383</v>
      </c>
      <c r="T46" s="43">
        <v>10</v>
      </c>
      <c r="U46" s="43">
        <v>-50.224499999999999</v>
      </c>
      <c r="V46" s="28">
        <v>-4.8950000000000004E-7</v>
      </c>
      <c r="W46" s="43" t="s">
        <v>913</v>
      </c>
      <c r="X46" s="43" t="s">
        <v>65</v>
      </c>
    </row>
    <row r="47" spans="2:24" x14ac:dyDescent="0.2">
      <c r="B47" s="43" t="s">
        <v>134</v>
      </c>
      <c r="C47" s="43">
        <v>227</v>
      </c>
      <c r="D47" s="43" t="s">
        <v>442</v>
      </c>
      <c r="E47" s="43" t="s">
        <v>107</v>
      </c>
      <c r="F47" s="43" t="s">
        <v>444</v>
      </c>
      <c r="G47" s="43" t="s">
        <v>385</v>
      </c>
      <c r="H47" s="43">
        <v>60</v>
      </c>
      <c r="I47" s="43">
        <v>-9.4128000000000007</v>
      </c>
      <c r="J47" s="28">
        <v>-9.1749999999999998E-8</v>
      </c>
      <c r="K47" s="43" t="s">
        <v>913</v>
      </c>
      <c r="L47" s="43" t="s">
        <v>65</v>
      </c>
      <c r="N47" s="43" t="s">
        <v>134</v>
      </c>
      <c r="O47" s="43">
        <v>227</v>
      </c>
      <c r="P47" s="43" t="s">
        <v>442</v>
      </c>
      <c r="Q47" s="43" t="s">
        <v>380</v>
      </c>
      <c r="R47" s="43" t="s">
        <v>444</v>
      </c>
      <c r="S47" s="43" t="s">
        <v>385</v>
      </c>
      <c r="T47" s="43">
        <v>10</v>
      </c>
      <c r="U47" s="43">
        <v>-9.4784000000000006</v>
      </c>
      <c r="V47" s="28">
        <v>-9.2389999999999995E-8</v>
      </c>
      <c r="W47" s="43" t="s">
        <v>913</v>
      </c>
      <c r="X47" s="43" t="s">
        <v>65</v>
      </c>
    </row>
    <row r="48" spans="2:24" x14ac:dyDescent="0.2">
      <c r="B48" s="43" t="s">
        <v>134</v>
      </c>
      <c r="C48" s="43">
        <v>239</v>
      </c>
      <c r="D48" s="43" t="s">
        <v>445</v>
      </c>
      <c r="E48" s="43" t="s">
        <v>107</v>
      </c>
      <c r="F48" s="43" t="s">
        <v>446</v>
      </c>
      <c r="G48" s="43" t="s">
        <v>383</v>
      </c>
      <c r="H48" s="43">
        <v>60</v>
      </c>
      <c r="I48" s="43">
        <v>-19.988600000000002</v>
      </c>
      <c r="J48" s="28">
        <v>-1.6220000000000001E-7</v>
      </c>
      <c r="K48" s="43" t="s">
        <v>913</v>
      </c>
      <c r="L48" s="43" t="s">
        <v>65</v>
      </c>
      <c r="N48" s="43" t="s">
        <v>134</v>
      </c>
      <c r="O48" s="43">
        <v>239</v>
      </c>
      <c r="P48" s="43" t="s">
        <v>445</v>
      </c>
      <c r="Q48" s="43" t="s">
        <v>380</v>
      </c>
      <c r="R48" s="43" t="s">
        <v>446</v>
      </c>
      <c r="S48" s="43" t="s">
        <v>383</v>
      </c>
      <c r="T48" s="43">
        <v>10</v>
      </c>
      <c r="U48" s="43">
        <v>-20.069400000000002</v>
      </c>
      <c r="V48" s="28">
        <v>-1.6290000000000001E-7</v>
      </c>
      <c r="W48" s="43" t="s">
        <v>913</v>
      </c>
      <c r="X48" s="43" t="s">
        <v>65</v>
      </c>
    </row>
    <row r="49" spans="2:24" x14ac:dyDescent="0.2">
      <c r="B49" s="43" t="s">
        <v>134</v>
      </c>
      <c r="C49" s="43">
        <v>239</v>
      </c>
      <c r="D49" s="43" t="s">
        <v>445</v>
      </c>
      <c r="E49" s="43" t="s">
        <v>107</v>
      </c>
      <c r="F49" s="43" t="s">
        <v>447</v>
      </c>
      <c r="G49" s="43" t="s">
        <v>385</v>
      </c>
      <c r="H49" s="43">
        <v>60</v>
      </c>
      <c r="I49" s="43">
        <v>-16.745699999999999</v>
      </c>
      <c r="J49" s="28">
        <v>-1.3589999999999999E-7</v>
      </c>
      <c r="K49" s="43" t="s">
        <v>913</v>
      </c>
      <c r="L49" s="43" t="s">
        <v>65</v>
      </c>
      <c r="N49" s="43" t="s">
        <v>134</v>
      </c>
      <c r="O49" s="43">
        <v>239</v>
      </c>
      <c r="P49" s="43" t="s">
        <v>445</v>
      </c>
      <c r="Q49" s="43" t="s">
        <v>380</v>
      </c>
      <c r="R49" s="43" t="s">
        <v>447</v>
      </c>
      <c r="S49" s="43" t="s">
        <v>385</v>
      </c>
      <c r="T49" s="43">
        <v>10</v>
      </c>
      <c r="U49" s="43">
        <v>-16.667100000000001</v>
      </c>
      <c r="V49" s="28">
        <v>-1.353E-7</v>
      </c>
      <c r="W49" s="43" t="s">
        <v>913</v>
      </c>
      <c r="X49" s="43" t="s">
        <v>65</v>
      </c>
    </row>
    <row r="50" spans="2:24" x14ac:dyDescent="0.2">
      <c r="B50" s="43" t="s">
        <v>134</v>
      </c>
      <c r="C50" s="43">
        <v>240</v>
      </c>
      <c r="D50" s="43" t="s">
        <v>448</v>
      </c>
      <c r="E50" s="43" t="s">
        <v>107</v>
      </c>
      <c r="F50" s="43" t="s">
        <v>449</v>
      </c>
      <c r="G50" s="43" t="s">
        <v>383</v>
      </c>
      <c r="H50" s="43">
        <v>60</v>
      </c>
      <c r="I50" s="43">
        <v>-16.6127</v>
      </c>
      <c r="J50" s="28">
        <v>-1.24E-7</v>
      </c>
      <c r="K50" s="43" t="s">
        <v>913</v>
      </c>
      <c r="L50" s="43" t="s">
        <v>65</v>
      </c>
      <c r="N50" s="43" t="s">
        <v>134</v>
      </c>
      <c r="O50" s="43">
        <v>240</v>
      </c>
      <c r="P50" s="43" t="s">
        <v>448</v>
      </c>
      <c r="Q50" s="43" t="s">
        <v>380</v>
      </c>
      <c r="R50" s="43" t="s">
        <v>449</v>
      </c>
      <c r="S50" s="43" t="s">
        <v>383</v>
      </c>
      <c r="T50" s="43">
        <v>10</v>
      </c>
      <c r="U50" s="43">
        <v>-16.694800000000001</v>
      </c>
      <c r="V50" s="28">
        <v>-1.247E-7</v>
      </c>
      <c r="W50" s="43" t="s">
        <v>913</v>
      </c>
      <c r="X50" s="43" t="s">
        <v>65</v>
      </c>
    </row>
    <row r="51" spans="2:24" x14ac:dyDescent="0.2">
      <c r="B51" s="43" t="s">
        <v>134</v>
      </c>
      <c r="C51" s="43">
        <v>240</v>
      </c>
      <c r="D51" s="43" t="s">
        <v>448</v>
      </c>
      <c r="E51" s="43" t="s">
        <v>107</v>
      </c>
      <c r="F51" s="43" t="s">
        <v>450</v>
      </c>
      <c r="G51" s="43" t="s">
        <v>385</v>
      </c>
      <c r="H51" s="43">
        <v>60</v>
      </c>
      <c r="I51" s="43">
        <v>-24.904599999999999</v>
      </c>
      <c r="J51" s="28">
        <v>-1.86E-7</v>
      </c>
      <c r="K51" s="43" t="s">
        <v>913</v>
      </c>
      <c r="L51" s="43" t="s">
        <v>65</v>
      </c>
      <c r="N51" s="43" t="s">
        <v>134</v>
      </c>
      <c r="O51" s="43">
        <v>240</v>
      </c>
      <c r="P51" s="43" t="s">
        <v>448</v>
      </c>
      <c r="Q51" s="43" t="s">
        <v>380</v>
      </c>
      <c r="R51" s="43" t="s">
        <v>450</v>
      </c>
      <c r="S51" s="43" t="s">
        <v>385</v>
      </c>
      <c r="T51" s="43">
        <v>10</v>
      </c>
      <c r="U51" s="43">
        <v>-24.8264</v>
      </c>
      <c r="V51" s="28">
        <v>-1.8540000000000001E-7</v>
      </c>
      <c r="W51" s="43" t="s">
        <v>913</v>
      </c>
      <c r="X51" s="43" t="s">
        <v>65</v>
      </c>
    </row>
    <row r="52" spans="2:24" x14ac:dyDescent="0.2">
      <c r="B52" s="43" t="s">
        <v>134</v>
      </c>
      <c r="C52" s="43">
        <v>241</v>
      </c>
      <c r="D52" s="43" t="s">
        <v>448</v>
      </c>
      <c r="E52" s="43" t="s">
        <v>107</v>
      </c>
      <c r="F52" s="43" t="s">
        <v>451</v>
      </c>
      <c r="G52" s="43" t="s">
        <v>383</v>
      </c>
      <c r="H52" s="43">
        <v>60</v>
      </c>
      <c r="I52" s="43">
        <v>-24.972999999999999</v>
      </c>
      <c r="J52" s="28">
        <v>-1.9710000000000001E-7</v>
      </c>
      <c r="K52" s="43" t="s">
        <v>913</v>
      </c>
      <c r="L52" s="43" t="s">
        <v>65</v>
      </c>
      <c r="N52" s="43" t="s">
        <v>134</v>
      </c>
      <c r="O52" s="43">
        <v>241</v>
      </c>
      <c r="P52" s="43" t="s">
        <v>448</v>
      </c>
      <c r="Q52" s="43" t="s">
        <v>380</v>
      </c>
      <c r="R52" s="43" t="s">
        <v>451</v>
      </c>
      <c r="S52" s="43" t="s">
        <v>383</v>
      </c>
      <c r="T52" s="43">
        <v>10</v>
      </c>
      <c r="U52" s="43">
        <v>-25.0441</v>
      </c>
      <c r="V52" s="28">
        <v>-1.977E-7</v>
      </c>
      <c r="W52" s="43" t="s">
        <v>913</v>
      </c>
      <c r="X52" s="43" t="s">
        <v>65</v>
      </c>
    </row>
    <row r="53" spans="2:24" x14ac:dyDescent="0.2">
      <c r="B53" s="43" t="s">
        <v>134</v>
      </c>
      <c r="C53" s="43">
        <v>241</v>
      </c>
      <c r="D53" s="43" t="s">
        <v>448</v>
      </c>
      <c r="E53" s="43" t="s">
        <v>107</v>
      </c>
      <c r="F53" s="43" t="s">
        <v>452</v>
      </c>
      <c r="G53" s="43" t="s">
        <v>385</v>
      </c>
      <c r="H53" s="43">
        <v>60</v>
      </c>
      <c r="I53" s="43">
        <v>-24.9315</v>
      </c>
      <c r="J53" s="28">
        <v>-1.9679999999999999E-7</v>
      </c>
      <c r="K53" s="43" t="s">
        <v>913</v>
      </c>
      <c r="L53" s="43" t="s">
        <v>65</v>
      </c>
      <c r="N53" s="43" t="s">
        <v>134</v>
      </c>
      <c r="O53" s="43">
        <v>241</v>
      </c>
      <c r="P53" s="43" t="s">
        <v>448</v>
      </c>
      <c r="Q53" s="43" t="s">
        <v>380</v>
      </c>
      <c r="R53" s="43" t="s">
        <v>452</v>
      </c>
      <c r="S53" s="43" t="s">
        <v>385</v>
      </c>
      <c r="T53" s="43">
        <v>10</v>
      </c>
      <c r="U53" s="43">
        <v>-24.860600000000002</v>
      </c>
      <c r="V53" s="28">
        <v>-1.962E-7</v>
      </c>
      <c r="W53" s="43" t="s">
        <v>913</v>
      </c>
      <c r="X53" s="43" t="s">
        <v>65</v>
      </c>
    </row>
    <row r="54" spans="2:24" x14ac:dyDescent="0.2">
      <c r="B54" s="43" t="s">
        <v>134</v>
      </c>
      <c r="C54" s="43">
        <v>242</v>
      </c>
      <c r="D54" s="43" t="s">
        <v>448</v>
      </c>
      <c r="E54" s="43" t="s">
        <v>107</v>
      </c>
      <c r="F54" s="43" t="s">
        <v>453</v>
      </c>
      <c r="G54" s="43" t="s">
        <v>383</v>
      </c>
      <c r="H54" s="43">
        <v>60</v>
      </c>
      <c r="I54" s="43">
        <v>-24.958200000000001</v>
      </c>
      <c r="J54" s="28">
        <v>-1.864E-7</v>
      </c>
      <c r="K54" s="43" t="s">
        <v>913</v>
      </c>
      <c r="L54" s="43" t="s">
        <v>65</v>
      </c>
      <c r="N54" s="43" t="s">
        <v>134</v>
      </c>
      <c r="O54" s="43">
        <v>242</v>
      </c>
      <c r="P54" s="43" t="s">
        <v>448</v>
      </c>
      <c r="Q54" s="43" t="s">
        <v>380</v>
      </c>
      <c r="R54" s="43" t="s">
        <v>453</v>
      </c>
      <c r="S54" s="43" t="s">
        <v>383</v>
      </c>
      <c r="T54" s="43">
        <v>10</v>
      </c>
      <c r="U54" s="43">
        <v>-25.037199999999999</v>
      </c>
      <c r="V54" s="28">
        <v>-1.8690000000000001E-7</v>
      </c>
      <c r="W54" s="43" t="s">
        <v>913</v>
      </c>
      <c r="X54" s="43" t="s">
        <v>65</v>
      </c>
    </row>
    <row r="55" spans="2:24" x14ac:dyDescent="0.2">
      <c r="B55" s="43" t="s">
        <v>134</v>
      </c>
      <c r="C55" s="43">
        <v>242</v>
      </c>
      <c r="D55" s="43" t="s">
        <v>448</v>
      </c>
      <c r="E55" s="43" t="s">
        <v>107</v>
      </c>
      <c r="F55" s="43" t="s">
        <v>454</v>
      </c>
      <c r="G55" s="43" t="s">
        <v>385</v>
      </c>
      <c r="H55" s="43">
        <v>60</v>
      </c>
      <c r="I55" s="43">
        <v>-16.561499999999999</v>
      </c>
      <c r="J55" s="28">
        <v>-1.237E-7</v>
      </c>
      <c r="K55" s="43" t="s">
        <v>913</v>
      </c>
      <c r="L55" s="43" t="s">
        <v>65</v>
      </c>
      <c r="N55" s="43" t="s">
        <v>134</v>
      </c>
      <c r="O55" s="43">
        <v>242</v>
      </c>
      <c r="P55" s="43" t="s">
        <v>448</v>
      </c>
      <c r="Q55" s="43" t="s">
        <v>380</v>
      </c>
      <c r="R55" s="43" t="s">
        <v>454</v>
      </c>
      <c r="S55" s="43" t="s">
        <v>385</v>
      </c>
      <c r="T55" s="43">
        <v>10</v>
      </c>
      <c r="U55" s="43">
        <v>-16.478999999999999</v>
      </c>
      <c r="V55" s="28">
        <v>-1.23E-7</v>
      </c>
      <c r="W55" s="43" t="s">
        <v>913</v>
      </c>
      <c r="X55" s="43" t="s">
        <v>65</v>
      </c>
    </row>
    <row r="56" spans="2:24" x14ac:dyDescent="0.2">
      <c r="B56" s="43" t="s">
        <v>134</v>
      </c>
      <c r="C56" s="43">
        <v>243</v>
      </c>
      <c r="D56" s="43" t="s">
        <v>455</v>
      </c>
      <c r="E56" s="43" t="s">
        <v>107</v>
      </c>
      <c r="F56" s="43" t="s">
        <v>456</v>
      </c>
      <c r="G56" s="43" t="s">
        <v>383</v>
      </c>
      <c r="H56" s="43">
        <v>60</v>
      </c>
      <c r="I56" s="43">
        <v>-16.768699999999999</v>
      </c>
      <c r="J56" s="28">
        <v>-1.3610000000000001E-7</v>
      </c>
      <c r="K56" s="43" t="s">
        <v>913</v>
      </c>
      <c r="L56" s="43" t="s">
        <v>65</v>
      </c>
      <c r="N56" s="43" t="s">
        <v>134</v>
      </c>
      <c r="O56" s="43">
        <v>243</v>
      </c>
      <c r="P56" s="43" t="s">
        <v>455</v>
      </c>
      <c r="Q56" s="43" t="s">
        <v>380</v>
      </c>
      <c r="R56" s="43" t="s">
        <v>456</v>
      </c>
      <c r="S56" s="43" t="s">
        <v>383</v>
      </c>
      <c r="T56" s="43">
        <v>10</v>
      </c>
      <c r="U56" s="43">
        <v>-16.846699999999998</v>
      </c>
      <c r="V56" s="28">
        <v>-1.367E-7</v>
      </c>
      <c r="W56" s="43" t="s">
        <v>913</v>
      </c>
      <c r="X56" s="43" t="s">
        <v>65</v>
      </c>
    </row>
    <row r="57" spans="2:24" x14ac:dyDescent="0.2">
      <c r="B57" s="43" t="s">
        <v>134</v>
      </c>
      <c r="C57" s="43">
        <v>243</v>
      </c>
      <c r="D57" s="43" t="s">
        <v>455</v>
      </c>
      <c r="E57" s="43" t="s">
        <v>107</v>
      </c>
      <c r="F57" s="43" t="s">
        <v>457</v>
      </c>
      <c r="G57" s="43" t="s">
        <v>385</v>
      </c>
      <c r="H57" s="43">
        <v>60</v>
      </c>
      <c r="I57" s="43">
        <v>-19.914000000000001</v>
      </c>
      <c r="J57" s="28">
        <v>-1.6159999999999999E-7</v>
      </c>
      <c r="K57" s="43" t="s">
        <v>913</v>
      </c>
      <c r="L57" s="43" t="s">
        <v>65</v>
      </c>
      <c r="N57" s="43" t="s">
        <v>134</v>
      </c>
      <c r="O57" s="43">
        <v>243</v>
      </c>
      <c r="P57" s="43" t="s">
        <v>455</v>
      </c>
      <c r="Q57" s="43" t="s">
        <v>380</v>
      </c>
      <c r="R57" s="43" t="s">
        <v>457</v>
      </c>
      <c r="S57" s="43" t="s">
        <v>385</v>
      </c>
      <c r="T57" s="43">
        <v>10</v>
      </c>
      <c r="U57" s="43">
        <v>-19.834299999999999</v>
      </c>
      <c r="V57" s="28">
        <v>-1.61E-7</v>
      </c>
      <c r="W57" s="43" t="s">
        <v>913</v>
      </c>
      <c r="X57" s="43" t="s">
        <v>65</v>
      </c>
    </row>
    <row r="58" spans="2:24" x14ac:dyDescent="0.2">
      <c r="B58" s="43" t="s">
        <v>134</v>
      </c>
      <c r="C58" s="43">
        <v>213</v>
      </c>
      <c r="D58" s="43" t="s">
        <v>458</v>
      </c>
      <c r="E58" s="43" t="s">
        <v>107</v>
      </c>
      <c r="F58" s="43" t="s">
        <v>459</v>
      </c>
      <c r="G58" s="43" t="s">
        <v>383</v>
      </c>
      <c r="H58" s="43">
        <v>60</v>
      </c>
      <c r="I58" s="43">
        <v>-50.631</v>
      </c>
      <c r="J58" s="28">
        <v>-9.9999999999999995E-7</v>
      </c>
      <c r="K58" s="43" t="s">
        <v>913</v>
      </c>
      <c r="L58" s="43" t="s">
        <v>65</v>
      </c>
      <c r="N58" s="43" t="s">
        <v>134</v>
      </c>
      <c r="O58" s="43">
        <v>213</v>
      </c>
      <c r="P58" s="43" t="s">
        <v>458</v>
      </c>
      <c r="Q58" s="43" t="s">
        <v>380</v>
      </c>
      <c r="R58" s="43" t="s">
        <v>459</v>
      </c>
      <c r="S58" s="43" t="s">
        <v>383</v>
      </c>
      <c r="T58" s="43">
        <v>10</v>
      </c>
      <c r="U58" s="43">
        <v>-50.6462</v>
      </c>
      <c r="V58" s="28">
        <v>-9.9999999999999995E-7</v>
      </c>
      <c r="W58" s="43" t="s">
        <v>913</v>
      </c>
      <c r="X58" s="43" t="s">
        <v>65</v>
      </c>
    </row>
    <row r="59" spans="2:24" x14ac:dyDescent="0.2">
      <c r="B59" s="43" t="s">
        <v>134</v>
      </c>
      <c r="C59" s="43">
        <v>213</v>
      </c>
      <c r="D59" s="43" t="s">
        <v>458</v>
      </c>
      <c r="E59" s="43" t="s">
        <v>107</v>
      </c>
      <c r="F59" s="43" t="s">
        <v>460</v>
      </c>
      <c r="G59" s="43" t="s">
        <v>385</v>
      </c>
      <c r="H59" s="43">
        <v>60</v>
      </c>
      <c r="I59" s="43">
        <v>-12.340199999999999</v>
      </c>
      <c r="J59" s="28">
        <v>-1.353E-7</v>
      </c>
      <c r="K59" s="43" t="s">
        <v>913</v>
      </c>
      <c r="L59" s="43" t="s">
        <v>65</v>
      </c>
      <c r="N59" s="43" t="s">
        <v>134</v>
      </c>
      <c r="O59" s="43">
        <v>213</v>
      </c>
      <c r="P59" s="43" t="s">
        <v>458</v>
      </c>
      <c r="Q59" s="43" t="s">
        <v>380</v>
      </c>
      <c r="R59" s="43" t="s">
        <v>460</v>
      </c>
      <c r="S59" s="43" t="s">
        <v>385</v>
      </c>
      <c r="T59" s="43">
        <v>10</v>
      </c>
      <c r="U59" s="43">
        <v>-12.341900000000001</v>
      </c>
      <c r="V59" s="28">
        <v>-1.353E-7</v>
      </c>
      <c r="W59" s="43" t="s">
        <v>913</v>
      </c>
      <c r="X59" s="43" t="s">
        <v>65</v>
      </c>
    </row>
    <row r="60" spans="2:24" x14ac:dyDescent="0.2">
      <c r="B60" s="43" t="s">
        <v>134</v>
      </c>
      <c r="C60" s="43">
        <v>216</v>
      </c>
      <c r="D60" s="43" t="s">
        <v>461</v>
      </c>
      <c r="E60" s="43" t="s">
        <v>107</v>
      </c>
      <c r="F60" s="43" t="s">
        <v>462</v>
      </c>
      <c r="G60" s="43" t="s">
        <v>383</v>
      </c>
      <c r="H60" s="43">
        <v>60</v>
      </c>
      <c r="I60" s="43">
        <v>-82.021299999999997</v>
      </c>
      <c r="J60" s="28">
        <v>-9.9999999999999995E-7</v>
      </c>
      <c r="K60" s="43" t="s">
        <v>913</v>
      </c>
      <c r="L60" s="43" t="s">
        <v>65</v>
      </c>
      <c r="N60" s="43" t="s">
        <v>134</v>
      </c>
      <c r="O60" s="43">
        <v>216</v>
      </c>
      <c r="P60" s="43" t="s">
        <v>461</v>
      </c>
      <c r="Q60" s="43" t="s">
        <v>380</v>
      </c>
      <c r="R60" s="43" t="s">
        <v>462</v>
      </c>
      <c r="S60" s="43" t="s">
        <v>383</v>
      </c>
      <c r="T60" s="43">
        <v>10</v>
      </c>
      <c r="U60" s="43">
        <v>-82.013499999999993</v>
      </c>
      <c r="V60" s="28">
        <v>-9.9999999999999995E-7</v>
      </c>
      <c r="W60" s="43" t="s">
        <v>913</v>
      </c>
      <c r="X60" s="43" t="s">
        <v>65</v>
      </c>
    </row>
    <row r="61" spans="2:24" x14ac:dyDescent="0.2">
      <c r="B61" s="43" t="s">
        <v>134</v>
      </c>
      <c r="C61" s="43">
        <v>216</v>
      </c>
      <c r="D61" s="43" t="s">
        <v>461</v>
      </c>
      <c r="E61" s="43" t="s">
        <v>107</v>
      </c>
      <c r="F61" s="43" t="s">
        <v>463</v>
      </c>
      <c r="G61" s="43" t="s">
        <v>385</v>
      </c>
      <c r="H61" s="43">
        <v>60</v>
      </c>
      <c r="I61" s="43">
        <v>-23.757899999999999</v>
      </c>
      <c r="J61" s="28">
        <v>-1.991E-7</v>
      </c>
      <c r="K61" s="43" t="s">
        <v>913</v>
      </c>
      <c r="L61" s="43" t="s">
        <v>65</v>
      </c>
      <c r="N61" s="43" t="s">
        <v>134</v>
      </c>
      <c r="O61" s="43">
        <v>216</v>
      </c>
      <c r="P61" s="43" t="s">
        <v>461</v>
      </c>
      <c r="Q61" s="43" t="s">
        <v>380</v>
      </c>
      <c r="R61" s="43" t="s">
        <v>463</v>
      </c>
      <c r="S61" s="43" t="s">
        <v>385</v>
      </c>
      <c r="T61" s="43">
        <v>10</v>
      </c>
      <c r="U61" s="43">
        <v>-23.7684</v>
      </c>
      <c r="V61" s="28">
        <v>-1.9920000000000001E-7</v>
      </c>
      <c r="W61" s="43" t="s">
        <v>913</v>
      </c>
      <c r="X61" s="43" t="s">
        <v>65</v>
      </c>
    </row>
    <row r="62" spans="2:24" x14ac:dyDescent="0.2">
      <c r="B62" s="43" t="s">
        <v>134</v>
      </c>
      <c r="C62" s="43">
        <v>219</v>
      </c>
      <c r="D62" s="43" t="s">
        <v>464</v>
      </c>
      <c r="E62" s="43" t="s">
        <v>107</v>
      </c>
      <c r="F62" s="43" t="s">
        <v>465</v>
      </c>
      <c r="G62" s="43" t="s">
        <v>383</v>
      </c>
      <c r="H62" s="43">
        <v>60</v>
      </c>
      <c r="I62" s="43">
        <v>-74.020700000000005</v>
      </c>
      <c r="J62" s="28">
        <v>-9.9999999999999995E-7</v>
      </c>
      <c r="K62" s="43" t="s">
        <v>913</v>
      </c>
      <c r="L62" s="43" t="s">
        <v>65</v>
      </c>
      <c r="N62" s="43" t="s">
        <v>134</v>
      </c>
      <c r="O62" s="43">
        <v>219</v>
      </c>
      <c r="P62" s="43" t="s">
        <v>464</v>
      </c>
      <c r="Q62" s="43" t="s">
        <v>380</v>
      </c>
      <c r="R62" s="43" t="s">
        <v>465</v>
      </c>
      <c r="S62" s="43" t="s">
        <v>383</v>
      </c>
      <c r="T62" s="43">
        <v>10</v>
      </c>
      <c r="U62" s="43">
        <v>-73.993899999999996</v>
      </c>
      <c r="V62" s="28">
        <v>-9.9999999999999995E-7</v>
      </c>
      <c r="W62" s="43" t="s">
        <v>913</v>
      </c>
      <c r="X62" s="43" t="s">
        <v>65</v>
      </c>
    </row>
    <row r="63" spans="2:24" x14ac:dyDescent="0.2">
      <c r="B63" s="43" t="s">
        <v>134</v>
      </c>
      <c r="C63" s="43">
        <v>219</v>
      </c>
      <c r="D63" s="43" t="s">
        <v>464</v>
      </c>
      <c r="E63" s="43" t="s">
        <v>107</v>
      </c>
      <c r="F63" s="43" t="s">
        <v>466</v>
      </c>
      <c r="G63" s="43" t="s">
        <v>385</v>
      </c>
      <c r="H63" s="43">
        <v>60</v>
      </c>
      <c r="I63" s="43">
        <v>-28.235900000000001</v>
      </c>
      <c r="J63" s="28">
        <v>-2.35E-7</v>
      </c>
      <c r="K63" s="43" t="s">
        <v>913</v>
      </c>
      <c r="L63" s="43" t="s">
        <v>65</v>
      </c>
      <c r="N63" s="43" t="s">
        <v>134</v>
      </c>
      <c r="O63" s="43">
        <v>219</v>
      </c>
      <c r="P63" s="43" t="s">
        <v>464</v>
      </c>
      <c r="Q63" s="43" t="s">
        <v>380</v>
      </c>
      <c r="R63" s="43" t="s">
        <v>466</v>
      </c>
      <c r="S63" s="43" t="s">
        <v>385</v>
      </c>
      <c r="T63" s="43">
        <v>10</v>
      </c>
      <c r="U63" s="43">
        <v>-28.2639</v>
      </c>
      <c r="V63" s="28">
        <v>-2.3519999999999999E-7</v>
      </c>
      <c r="W63" s="43" t="s">
        <v>913</v>
      </c>
      <c r="X63" s="43" t="s">
        <v>65</v>
      </c>
    </row>
    <row r="64" spans="2:24" x14ac:dyDescent="0.2">
      <c r="B64" s="43" t="s">
        <v>134</v>
      </c>
      <c r="C64" s="43">
        <v>222</v>
      </c>
      <c r="D64" s="43" t="s">
        <v>467</v>
      </c>
      <c r="E64" s="43" t="s">
        <v>107</v>
      </c>
      <c r="F64" s="43" t="s">
        <v>468</v>
      </c>
      <c r="G64" s="43" t="s">
        <v>383</v>
      </c>
      <c r="H64" s="43">
        <v>60</v>
      </c>
      <c r="I64" s="43">
        <v>-73.993600000000001</v>
      </c>
      <c r="J64" s="28">
        <v>-9.9999999999999995E-7</v>
      </c>
      <c r="K64" s="43" t="s">
        <v>913</v>
      </c>
      <c r="L64" s="43" t="s">
        <v>65</v>
      </c>
      <c r="N64" s="43" t="s">
        <v>134</v>
      </c>
      <c r="O64" s="43">
        <v>222</v>
      </c>
      <c r="P64" s="43" t="s">
        <v>467</v>
      </c>
      <c r="Q64" s="43" t="s">
        <v>380</v>
      </c>
      <c r="R64" s="43" t="s">
        <v>468</v>
      </c>
      <c r="S64" s="43" t="s">
        <v>383</v>
      </c>
      <c r="T64" s="43">
        <v>10</v>
      </c>
      <c r="U64" s="43">
        <v>-73.9482</v>
      </c>
      <c r="V64" s="28">
        <v>-9.9999999999999995E-7</v>
      </c>
      <c r="W64" s="43" t="s">
        <v>913</v>
      </c>
      <c r="X64" s="43" t="s">
        <v>65</v>
      </c>
    </row>
    <row r="65" spans="2:24" x14ac:dyDescent="0.2">
      <c r="B65" s="43" t="s">
        <v>134</v>
      </c>
      <c r="C65" s="43">
        <v>222</v>
      </c>
      <c r="D65" s="43" t="s">
        <v>467</v>
      </c>
      <c r="E65" s="43" t="s">
        <v>107</v>
      </c>
      <c r="F65" s="43" t="s">
        <v>469</v>
      </c>
      <c r="G65" s="43" t="s">
        <v>385</v>
      </c>
      <c r="H65" s="43">
        <v>60</v>
      </c>
      <c r="I65" s="43">
        <v>-28.261399999999998</v>
      </c>
      <c r="J65" s="28">
        <v>-2.3519999999999999E-7</v>
      </c>
      <c r="K65" s="43" t="s">
        <v>913</v>
      </c>
      <c r="L65" s="43" t="s">
        <v>65</v>
      </c>
      <c r="N65" s="43" t="s">
        <v>134</v>
      </c>
      <c r="O65" s="43">
        <v>222</v>
      </c>
      <c r="P65" s="43" t="s">
        <v>467</v>
      </c>
      <c r="Q65" s="43" t="s">
        <v>380</v>
      </c>
      <c r="R65" s="43" t="s">
        <v>469</v>
      </c>
      <c r="S65" s="43" t="s">
        <v>385</v>
      </c>
      <c r="T65" s="43">
        <v>10</v>
      </c>
      <c r="U65" s="43">
        <v>-28.306899999999999</v>
      </c>
      <c r="V65" s="28">
        <v>-2.3559999999999999E-7</v>
      </c>
      <c r="W65" s="43" t="s">
        <v>913</v>
      </c>
      <c r="X65" s="43" t="s">
        <v>65</v>
      </c>
    </row>
    <row r="66" spans="2:24" x14ac:dyDescent="0.2">
      <c r="B66" s="43" t="s">
        <v>134</v>
      </c>
      <c r="C66" s="43">
        <v>225</v>
      </c>
      <c r="D66" s="43" t="s">
        <v>470</v>
      </c>
      <c r="E66" s="43" t="s">
        <v>107</v>
      </c>
      <c r="F66" s="43" t="s">
        <v>471</v>
      </c>
      <c r="G66" s="43" t="s">
        <v>383</v>
      </c>
      <c r="H66" s="43">
        <v>60</v>
      </c>
      <c r="I66" s="43">
        <v>-81.969200000000001</v>
      </c>
      <c r="J66" s="28">
        <v>-9.9999999999999995E-7</v>
      </c>
      <c r="K66" s="43" t="s">
        <v>913</v>
      </c>
      <c r="L66" s="43" t="s">
        <v>65</v>
      </c>
      <c r="N66" s="43" t="s">
        <v>134</v>
      </c>
      <c r="O66" s="43">
        <v>225</v>
      </c>
      <c r="P66" s="43" t="s">
        <v>470</v>
      </c>
      <c r="Q66" s="43" t="s">
        <v>380</v>
      </c>
      <c r="R66" s="43" t="s">
        <v>471</v>
      </c>
      <c r="S66" s="43" t="s">
        <v>383</v>
      </c>
      <c r="T66" s="43">
        <v>10</v>
      </c>
      <c r="U66" s="43">
        <v>-81.910700000000006</v>
      </c>
      <c r="V66" s="28">
        <v>-9.9999999999999995E-7</v>
      </c>
      <c r="W66" s="43" t="s">
        <v>913</v>
      </c>
      <c r="X66" s="43" t="s">
        <v>65</v>
      </c>
    </row>
    <row r="67" spans="2:24" x14ac:dyDescent="0.2">
      <c r="B67" s="43" t="s">
        <v>134</v>
      </c>
      <c r="C67" s="43">
        <v>225</v>
      </c>
      <c r="D67" s="43" t="s">
        <v>470</v>
      </c>
      <c r="E67" s="43" t="s">
        <v>107</v>
      </c>
      <c r="F67" s="43" t="s">
        <v>472</v>
      </c>
      <c r="G67" s="43" t="s">
        <v>385</v>
      </c>
      <c r="H67" s="43">
        <v>60</v>
      </c>
      <c r="I67" s="43">
        <v>-23.828199999999999</v>
      </c>
      <c r="J67" s="28">
        <v>-1.9969999999999999E-7</v>
      </c>
      <c r="K67" s="43" t="s">
        <v>913</v>
      </c>
      <c r="L67" s="43" t="s">
        <v>65</v>
      </c>
      <c r="N67" s="43" t="s">
        <v>134</v>
      </c>
      <c r="O67" s="43">
        <v>225</v>
      </c>
      <c r="P67" s="43" t="s">
        <v>470</v>
      </c>
      <c r="Q67" s="43" t="s">
        <v>380</v>
      </c>
      <c r="R67" s="43" t="s">
        <v>472</v>
      </c>
      <c r="S67" s="43" t="s">
        <v>385</v>
      </c>
      <c r="T67" s="43">
        <v>10</v>
      </c>
      <c r="U67" s="43">
        <v>-23.89</v>
      </c>
      <c r="V67" s="28">
        <v>-2.0020000000000001E-7</v>
      </c>
      <c r="W67" s="43" t="s">
        <v>913</v>
      </c>
      <c r="X67" s="43" t="s">
        <v>65</v>
      </c>
    </row>
    <row r="68" spans="2:24" x14ac:dyDescent="0.2">
      <c r="B68" s="43" t="s">
        <v>134</v>
      </c>
      <c r="C68" s="43">
        <v>228</v>
      </c>
      <c r="D68" s="43" t="s">
        <v>473</v>
      </c>
      <c r="E68" s="43" t="s">
        <v>107</v>
      </c>
      <c r="F68" s="43" t="s">
        <v>474</v>
      </c>
      <c r="G68" s="43" t="s">
        <v>383</v>
      </c>
      <c r="H68" s="43">
        <v>60</v>
      </c>
      <c r="I68" s="43">
        <v>-50.523899999999998</v>
      </c>
      <c r="J68" s="28">
        <v>-9.9999999999999995E-7</v>
      </c>
      <c r="K68" s="43" t="s">
        <v>913</v>
      </c>
      <c r="L68" s="43" t="s">
        <v>65</v>
      </c>
      <c r="N68" s="43" t="s">
        <v>134</v>
      </c>
      <c r="O68" s="43">
        <v>228</v>
      </c>
      <c r="P68" s="43" t="s">
        <v>473</v>
      </c>
      <c r="Q68" s="43" t="s">
        <v>380</v>
      </c>
      <c r="R68" s="43" t="s">
        <v>474</v>
      </c>
      <c r="S68" s="43" t="s">
        <v>383</v>
      </c>
      <c r="T68" s="43">
        <v>10</v>
      </c>
      <c r="U68" s="43">
        <v>-50.454000000000001</v>
      </c>
      <c r="V68" s="28">
        <v>-9.9999999999999995E-7</v>
      </c>
      <c r="W68" s="43" t="s">
        <v>913</v>
      </c>
      <c r="X68" s="43" t="s">
        <v>65</v>
      </c>
    </row>
    <row r="69" spans="2:24" x14ac:dyDescent="0.2">
      <c r="B69" s="43" t="s">
        <v>134</v>
      </c>
      <c r="C69" s="43">
        <v>228</v>
      </c>
      <c r="D69" s="43" t="s">
        <v>473</v>
      </c>
      <c r="E69" s="43" t="s">
        <v>107</v>
      </c>
      <c r="F69" s="43" t="s">
        <v>475</v>
      </c>
      <c r="G69" s="43" t="s">
        <v>385</v>
      </c>
      <c r="H69" s="43">
        <v>60</v>
      </c>
      <c r="I69" s="43">
        <v>-12.426399999999999</v>
      </c>
      <c r="J69" s="28">
        <v>-1.363E-7</v>
      </c>
      <c r="K69" s="43" t="s">
        <v>913</v>
      </c>
      <c r="L69" s="43" t="s">
        <v>65</v>
      </c>
      <c r="N69" s="43" t="s">
        <v>134</v>
      </c>
      <c r="O69" s="43">
        <v>228</v>
      </c>
      <c r="P69" s="43" t="s">
        <v>473</v>
      </c>
      <c r="Q69" s="43" t="s">
        <v>380</v>
      </c>
      <c r="R69" s="43" t="s">
        <v>475</v>
      </c>
      <c r="S69" s="43" t="s">
        <v>385</v>
      </c>
      <c r="T69" s="43">
        <v>10</v>
      </c>
      <c r="U69" s="43">
        <v>-12.477600000000001</v>
      </c>
      <c r="V69" s="28">
        <v>-1.3680000000000001E-7</v>
      </c>
      <c r="W69" s="43" t="s">
        <v>913</v>
      </c>
      <c r="X69" s="43" t="s">
        <v>65</v>
      </c>
    </row>
    <row r="70" spans="2:24" x14ac:dyDescent="0.2">
      <c r="B70" s="43" t="s">
        <v>134</v>
      </c>
      <c r="C70" s="43">
        <v>244</v>
      </c>
      <c r="D70" s="43" t="s">
        <v>476</v>
      </c>
      <c r="E70" s="43" t="s">
        <v>107</v>
      </c>
      <c r="F70" s="43" t="s">
        <v>477</v>
      </c>
      <c r="G70" s="43" t="s">
        <v>383</v>
      </c>
      <c r="H70" s="43">
        <v>60</v>
      </c>
      <c r="I70" s="43">
        <v>-9.8208000000000002</v>
      </c>
      <c r="J70" s="28">
        <v>-1.1230000000000001E-7</v>
      </c>
      <c r="K70" s="43" t="s">
        <v>913</v>
      </c>
      <c r="L70" s="43" t="s">
        <v>65</v>
      </c>
      <c r="N70" s="43" t="s">
        <v>134</v>
      </c>
      <c r="O70" s="43">
        <v>244</v>
      </c>
      <c r="P70" s="43" t="s">
        <v>476</v>
      </c>
      <c r="Q70" s="43" t="s">
        <v>380</v>
      </c>
      <c r="R70" s="43" t="s">
        <v>477</v>
      </c>
      <c r="S70" s="43" t="s">
        <v>383</v>
      </c>
      <c r="T70" s="43">
        <v>10</v>
      </c>
      <c r="U70" s="43">
        <v>-9.8888999999999996</v>
      </c>
      <c r="V70" s="28">
        <v>-1.131E-7</v>
      </c>
      <c r="W70" s="43" t="s">
        <v>913</v>
      </c>
      <c r="X70" s="43" t="s">
        <v>65</v>
      </c>
    </row>
    <row r="71" spans="2:24" x14ac:dyDescent="0.2">
      <c r="B71" s="43" t="s">
        <v>134</v>
      </c>
      <c r="C71" s="43">
        <v>244</v>
      </c>
      <c r="D71" s="43" t="s">
        <v>476</v>
      </c>
      <c r="E71" s="43" t="s">
        <v>107</v>
      </c>
      <c r="F71" s="43" t="s">
        <v>478</v>
      </c>
      <c r="G71" s="43" t="s">
        <v>385</v>
      </c>
      <c r="H71" s="43">
        <v>60</v>
      </c>
      <c r="I71" s="43">
        <v>-17.411000000000001</v>
      </c>
      <c r="J71" s="28">
        <v>-1.9920000000000001E-7</v>
      </c>
      <c r="K71" s="43" t="s">
        <v>913</v>
      </c>
      <c r="L71" s="43" t="s">
        <v>65</v>
      </c>
      <c r="N71" s="43" t="s">
        <v>134</v>
      </c>
      <c r="O71" s="43">
        <v>244</v>
      </c>
      <c r="P71" s="43" t="s">
        <v>476</v>
      </c>
      <c r="Q71" s="43" t="s">
        <v>380</v>
      </c>
      <c r="R71" s="43" t="s">
        <v>478</v>
      </c>
      <c r="S71" s="43" t="s">
        <v>385</v>
      </c>
      <c r="T71" s="43">
        <v>10</v>
      </c>
      <c r="U71" s="43">
        <v>-17.341899999999999</v>
      </c>
      <c r="V71" s="28">
        <v>-1.984E-7</v>
      </c>
      <c r="W71" s="43" t="s">
        <v>913</v>
      </c>
      <c r="X71" s="43" t="s">
        <v>65</v>
      </c>
    </row>
    <row r="72" spans="2:24" x14ac:dyDescent="0.2">
      <c r="B72" s="43" t="s">
        <v>134</v>
      </c>
      <c r="C72" s="43">
        <v>245</v>
      </c>
      <c r="D72" s="43" t="s">
        <v>479</v>
      </c>
      <c r="E72" s="43" t="s">
        <v>107</v>
      </c>
      <c r="F72" s="43" t="s">
        <v>480</v>
      </c>
      <c r="G72" s="43" t="s">
        <v>383</v>
      </c>
      <c r="H72" s="43">
        <v>60</v>
      </c>
      <c r="I72" s="43">
        <v>-15.1411</v>
      </c>
      <c r="J72" s="28">
        <v>-1.638E-7</v>
      </c>
      <c r="K72" s="43" t="s">
        <v>913</v>
      </c>
      <c r="L72" s="43" t="s">
        <v>65</v>
      </c>
      <c r="N72" s="43" t="s">
        <v>134</v>
      </c>
      <c r="O72" s="43">
        <v>245</v>
      </c>
      <c r="P72" s="43" t="s">
        <v>479</v>
      </c>
      <c r="Q72" s="43" t="s">
        <v>380</v>
      </c>
      <c r="R72" s="43" t="s">
        <v>480</v>
      </c>
      <c r="S72" s="43" t="s">
        <v>383</v>
      </c>
      <c r="T72" s="43">
        <v>10</v>
      </c>
      <c r="U72" s="43">
        <v>-15.2203</v>
      </c>
      <c r="V72" s="28">
        <v>-1.6470000000000001E-7</v>
      </c>
      <c r="W72" s="43" t="s">
        <v>913</v>
      </c>
      <c r="X72" s="43" t="s">
        <v>65</v>
      </c>
    </row>
    <row r="73" spans="2:24" x14ac:dyDescent="0.2">
      <c r="B73" s="43" t="s">
        <v>134</v>
      </c>
      <c r="C73" s="43">
        <v>245</v>
      </c>
      <c r="D73" s="43" t="s">
        <v>479</v>
      </c>
      <c r="E73" s="43" t="s">
        <v>107</v>
      </c>
      <c r="F73" s="43" t="s">
        <v>481</v>
      </c>
      <c r="G73" s="43" t="s">
        <v>385</v>
      </c>
      <c r="H73" s="43">
        <v>60</v>
      </c>
      <c r="I73" s="43">
        <v>-9.6179000000000006</v>
      </c>
      <c r="J73" s="28">
        <v>-1.041E-7</v>
      </c>
      <c r="K73" s="43" t="s">
        <v>913</v>
      </c>
      <c r="L73" s="43" t="s">
        <v>65</v>
      </c>
      <c r="N73" s="43" t="s">
        <v>134</v>
      </c>
      <c r="O73" s="43">
        <v>245</v>
      </c>
      <c r="P73" s="43" t="s">
        <v>479</v>
      </c>
      <c r="Q73" s="43" t="s">
        <v>380</v>
      </c>
      <c r="R73" s="43" t="s">
        <v>481</v>
      </c>
      <c r="S73" s="43" t="s">
        <v>385</v>
      </c>
      <c r="T73" s="43">
        <v>10</v>
      </c>
      <c r="U73" s="43">
        <v>-9.5388000000000002</v>
      </c>
      <c r="V73" s="28">
        <v>-1.032E-7</v>
      </c>
      <c r="W73" s="43" t="s">
        <v>913</v>
      </c>
      <c r="X73" s="43" t="s">
        <v>65</v>
      </c>
    </row>
    <row r="74" spans="2:24" x14ac:dyDescent="0.2">
      <c r="B74" s="43" t="s">
        <v>134</v>
      </c>
      <c r="C74" s="43">
        <v>246</v>
      </c>
      <c r="D74" s="43" t="s">
        <v>479</v>
      </c>
      <c r="E74" s="43" t="s">
        <v>107</v>
      </c>
      <c r="F74" s="43" t="s">
        <v>482</v>
      </c>
      <c r="G74" s="43" t="s">
        <v>383</v>
      </c>
      <c r="H74" s="43">
        <v>60</v>
      </c>
      <c r="I74" s="43">
        <v>-9.7607999999999997</v>
      </c>
      <c r="J74" s="28">
        <v>-9.9589999999999994E-8</v>
      </c>
      <c r="K74" s="43" t="s">
        <v>913</v>
      </c>
      <c r="L74" s="43" t="s">
        <v>65</v>
      </c>
      <c r="N74" s="43" t="s">
        <v>134</v>
      </c>
      <c r="O74" s="43">
        <v>246</v>
      </c>
      <c r="P74" s="43" t="s">
        <v>479</v>
      </c>
      <c r="Q74" s="43" t="s">
        <v>380</v>
      </c>
      <c r="R74" s="43" t="s">
        <v>482</v>
      </c>
      <c r="S74" s="43" t="s">
        <v>383</v>
      </c>
      <c r="T74" s="43">
        <v>10</v>
      </c>
      <c r="U74" s="43">
        <v>-9.8457000000000008</v>
      </c>
      <c r="V74" s="28">
        <v>-1.0050000000000001E-7</v>
      </c>
      <c r="W74" s="43" t="s">
        <v>913</v>
      </c>
      <c r="X74" s="43" t="s">
        <v>65</v>
      </c>
    </row>
    <row r="75" spans="2:24" x14ac:dyDescent="0.2">
      <c r="B75" s="43" t="s">
        <v>134</v>
      </c>
      <c r="C75" s="43">
        <v>246</v>
      </c>
      <c r="D75" s="43" t="s">
        <v>479</v>
      </c>
      <c r="E75" s="43" t="s">
        <v>107</v>
      </c>
      <c r="F75" s="43" t="s">
        <v>483</v>
      </c>
      <c r="G75" s="43" t="s">
        <v>385</v>
      </c>
      <c r="H75" s="43">
        <v>60</v>
      </c>
      <c r="I75" s="43">
        <v>-9.6595999999999993</v>
      </c>
      <c r="J75" s="28">
        <v>-9.8560000000000004E-8</v>
      </c>
      <c r="K75" s="43" t="s">
        <v>913</v>
      </c>
      <c r="L75" s="43" t="s">
        <v>65</v>
      </c>
      <c r="N75" s="43" t="s">
        <v>134</v>
      </c>
      <c r="O75" s="43">
        <v>246</v>
      </c>
      <c r="P75" s="43" t="s">
        <v>479</v>
      </c>
      <c r="Q75" s="43" t="s">
        <v>380</v>
      </c>
      <c r="R75" s="43" t="s">
        <v>483</v>
      </c>
      <c r="S75" s="43" t="s">
        <v>385</v>
      </c>
      <c r="T75" s="43">
        <v>10</v>
      </c>
      <c r="U75" s="43">
        <v>-9.5759000000000007</v>
      </c>
      <c r="V75" s="28">
        <v>-9.7699999999999995E-8</v>
      </c>
      <c r="W75" s="43" t="s">
        <v>913</v>
      </c>
      <c r="X75" s="43" t="s">
        <v>65</v>
      </c>
    </row>
    <row r="76" spans="2:24" x14ac:dyDescent="0.2">
      <c r="B76" s="43" t="s">
        <v>134</v>
      </c>
      <c r="C76" s="43">
        <v>247</v>
      </c>
      <c r="D76" s="43" t="s">
        <v>479</v>
      </c>
      <c r="E76" s="43" t="s">
        <v>107</v>
      </c>
      <c r="F76" s="43" t="s">
        <v>484</v>
      </c>
      <c r="G76" s="43" t="s">
        <v>383</v>
      </c>
      <c r="H76" s="43">
        <v>60</v>
      </c>
      <c r="I76" s="43">
        <v>-9.7139000000000006</v>
      </c>
      <c r="J76" s="28">
        <v>-1.0509999999999999E-7</v>
      </c>
      <c r="K76" s="43" t="s">
        <v>913</v>
      </c>
      <c r="L76" s="43" t="s">
        <v>65</v>
      </c>
      <c r="N76" s="43" t="s">
        <v>134</v>
      </c>
      <c r="O76" s="43">
        <v>247</v>
      </c>
      <c r="P76" s="43" t="s">
        <v>479</v>
      </c>
      <c r="Q76" s="43" t="s">
        <v>380</v>
      </c>
      <c r="R76" s="43" t="s">
        <v>484</v>
      </c>
      <c r="S76" s="43" t="s">
        <v>383</v>
      </c>
      <c r="T76" s="43">
        <v>10</v>
      </c>
      <c r="U76" s="43">
        <v>-9.7946000000000009</v>
      </c>
      <c r="V76" s="28">
        <v>-1.06E-7</v>
      </c>
      <c r="W76" s="43" t="s">
        <v>913</v>
      </c>
      <c r="X76" s="43" t="s">
        <v>65</v>
      </c>
    </row>
    <row r="77" spans="2:24" x14ac:dyDescent="0.2">
      <c r="B77" s="43" t="s">
        <v>134</v>
      </c>
      <c r="C77" s="43">
        <v>247</v>
      </c>
      <c r="D77" s="43" t="s">
        <v>479</v>
      </c>
      <c r="E77" s="43" t="s">
        <v>107</v>
      </c>
      <c r="F77" s="43" t="s">
        <v>485</v>
      </c>
      <c r="G77" s="43" t="s">
        <v>385</v>
      </c>
      <c r="H77" s="43">
        <v>60</v>
      </c>
      <c r="I77" s="43">
        <v>-15.049200000000001</v>
      </c>
      <c r="J77" s="28">
        <v>-1.6290000000000001E-7</v>
      </c>
      <c r="K77" s="43" t="s">
        <v>913</v>
      </c>
      <c r="L77" s="43" t="s">
        <v>65</v>
      </c>
      <c r="N77" s="43" t="s">
        <v>134</v>
      </c>
      <c r="O77" s="43">
        <v>247</v>
      </c>
      <c r="P77" s="43" t="s">
        <v>479</v>
      </c>
      <c r="Q77" s="43" t="s">
        <v>380</v>
      </c>
      <c r="R77" s="43" t="s">
        <v>485</v>
      </c>
      <c r="S77" s="43" t="s">
        <v>385</v>
      </c>
      <c r="T77" s="43">
        <v>10</v>
      </c>
      <c r="U77" s="43">
        <v>-14.9712</v>
      </c>
      <c r="V77" s="28">
        <v>-1.6199999999999999E-7</v>
      </c>
      <c r="W77" s="43" t="s">
        <v>913</v>
      </c>
      <c r="X77" s="43" t="s">
        <v>65</v>
      </c>
    </row>
    <row r="78" spans="2:24" x14ac:dyDescent="0.2">
      <c r="B78" s="43" t="s">
        <v>134</v>
      </c>
      <c r="C78" s="43">
        <v>248</v>
      </c>
      <c r="D78" s="43" t="s">
        <v>486</v>
      </c>
      <c r="E78" s="43" t="s">
        <v>107</v>
      </c>
      <c r="F78" s="43" t="s">
        <v>487</v>
      </c>
      <c r="G78" s="43" t="s">
        <v>383</v>
      </c>
      <c r="H78" s="43">
        <v>60</v>
      </c>
      <c r="I78" s="43">
        <v>-17.4849</v>
      </c>
      <c r="J78" s="28">
        <v>-1.9999999999999999E-7</v>
      </c>
      <c r="K78" s="43" t="s">
        <v>913</v>
      </c>
      <c r="L78" s="43" t="s">
        <v>65</v>
      </c>
      <c r="N78" s="43" t="s">
        <v>134</v>
      </c>
      <c r="O78" s="43">
        <v>248</v>
      </c>
      <c r="P78" s="43" t="s">
        <v>486</v>
      </c>
      <c r="Q78" s="43" t="s">
        <v>380</v>
      </c>
      <c r="R78" s="43" t="s">
        <v>487</v>
      </c>
      <c r="S78" s="43" t="s">
        <v>383</v>
      </c>
      <c r="T78" s="43">
        <v>10</v>
      </c>
      <c r="U78" s="43">
        <v>-17.555499999999999</v>
      </c>
      <c r="V78" s="28">
        <v>-2.008E-7</v>
      </c>
      <c r="W78" s="43" t="s">
        <v>913</v>
      </c>
      <c r="X78" s="43" t="s">
        <v>65</v>
      </c>
    </row>
    <row r="79" spans="2:24" x14ac:dyDescent="0.2">
      <c r="B79" s="43" t="s">
        <v>134</v>
      </c>
      <c r="C79" s="43">
        <v>248</v>
      </c>
      <c r="D79" s="43" t="s">
        <v>486</v>
      </c>
      <c r="E79" s="43" t="s">
        <v>107</v>
      </c>
      <c r="F79" s="43" t="s">
        <v>488</v>
      </c>
      <c r="G79" s="43" t="s">
        <v>385</v>
      </c>
      <c r="H79" s="43">
        <v>60</v>
      </c>
      <c r="I79" s="43">
        <v>-9.7421000000000006</v>
      </c>
      <c r="J79" s="28">
        <v>-1.114E-7</v>
      </c>
      <c r="K79" s="43" t="s">
        <v>913</v>
      </c>
      <c r="L79" s="43" t="s">
        <v>65</v>
      </c>
      <c r="N79" s="43" t="s">
        <v>134</v>
      </c>
      <c r="O79" s="43">
        <v>248</v>
      </c>
      <c r="P79" s="43" t="s">
        <v>486</v>
      </c>
      <c r="Q79" s="43" t="s">
        <v>380</v>
      </c>
      <c r="R79" s="43" t="s">
        <v>488</v>
      </c>
      <c r="S79" s="43" t="s">
        <v>385</v>
      </c>
      <c r="T79" s="43">
        <v>10</v>
      </c>
      <c r="U79" s="43">
        <v>-9.6753</v>
      </c>
      <c r="V79" s="28">
        <v>-1.1070000000000001E-7</v>
      </c>
      <c r="W79" s="43" t="s">
        <v>913</v>
      </c>
      <c r="X79" s="43" t="s">
        <v>65</v>
      </c>
    </row>
    <row r="80" spans="2:24" x14ac:dyDescent="0.2">
      <c r="B80" s="43" t="s">
        <v>183</v>
      </c>
      <c r="C80" s="43">
        <v>291</v>
      </c>
      <c r="D80" s="43" t="s">
        <v>489</v>
      </c>
      <c r="E80" s="43" t="s">
        <v>107</v>
      </c>
      <c r="F80" s="43" t="s">
        <v>490</v>
      </c>
      <c r="G80" s="43" t="s">
        <v>383</v>
      </c>
      <c r="H80" s="43">
        <v>60</v>
      </c>
      <c r="I80" s="43">
        <v>-18.4803</v>
      </c>
      <c r="J80" s="28">
        <v>-1.8939999999999999E-7</v>
      </c>
      <c r="K80" s="43" t="s">
        <v>913</v>
      </c>
      <c r="L80" s="43" t="s">
        <v>65</v>
      </c>
      <c r="N80" s="43" t="s">
        <v>183</v>
      </c>
      <c r="O80" s="43">
        <v>291</v>
      </c>
      <c r="P80" s="43" t="s">
        <v>489</v>
      </c>
      <c r="Q80" s="43" t="s">
        <v>380</v>
      </c>
      <c r="R80" s="43" t="s">
        <v>490</v>
      </c>
      <c r="S80" s="43" t="s">
        <v>383</v>
      </c>
      <c r="T80" s="43">
        <v>10</v>
      </c>
      <c r="U80" s="43">
        <v>-18.518799999999999</v>
      </c>
      <c r="V80" s="28">
        <v>-1.8979999999999999E-7</v>
      </c>
      <c r="W80" s="43" t="s">
        <v>913</v>
      </c>
      <c r="X80" s="43" t="s">
        <v>65</v>
      </c>
    </row>
    <row r="81" spans="2:24" x14ac:dyDescent="0.2">
      <c r="B81" s="43" t="s">
        <v>183</v>
      </c>
      <c r="C81" s="43">
        <v>291</v>
      </c>
      <c r="D81" s="43" t="s">
        <v>489</v>
      </c>
      <c r="E81" s="43" t="s">
        <v>107</v>
      </c>
      <c r="F81" s="43" t="s">
        <v>491</v>
      </c>
      <c r="G81" s="43" t="s">
        <v>385</v>
      </c>
      <c r="H81" s="43">
        <v>60</v>
      </c>
      <c r="I81" s="43">
        <v>-24.817299999999999</v>
      </c>
      <c r="J81" s="28">
        <v>-2.544E-7</v>
      </c>
      <c r="K81" s="43" t="s">
        <v>913</v>
      </c>
      <c r="L81" s="43" t="s">
        <v>65</v>
      </c>
      <c r="N81" s="43" t="s">
        <v>183</v>
      </c>
      <c r="O81" s="43">
        <v>291</v>
      </c>
      <c r="P81" s="43" t="s">
        <v>489</v>
      </c>
      <c r="Q81" s="43" t="s">
        <v>380</v>
      </c>
      <c r="R81" s="43" t="s">
        <v>491</v>
      </c>
      <c r="S81" s="43" t="s">
        <v>385</v>
      </c>
      <c r="T81" s="43">
        <v>10</v>
      </c>
      <c r="U81" s="43">
        <v>-24.779</v>
      </c>
      <c r="V81" s="28">
        <v>-2.5400000000000002E-7</v>
      </c>
      <c r="W81" s="43" t="s">
        <v>913</v>
      </c>
      <c r="X81" s="43" t="s">
        <v>65</v>
      </c>
    </row>
    <row r="82" spans="2:24" x14ac:dyDescent="0.2">
      <c r="B82" s="43" t="s">
        <v>183</v>
      </c>
      <c r="C82" s="43">
        <v>292</v>
      </c>
      <c r="D82" s="43" t="s">
        <v>492</v>
      </c>
      <c r="E82" s="43" t="s">
        <v>107</v>
      </c>
      <c r="F82" s="43" t="s">
        <v>493</v>
      </c>
      <c r="G82" s="43" t="s">
        <v>383</v>
      </c>
      <c r="H82" s="43">
        <v>60</v>
      </c>
      <c r="I82" s="43">
        <v>-22.8628</v>
      </c>
      <c r="J82" s="28">
        <v>-2.0319999999999999E-7</v>
      </c>
      <c r="K82" s="43" t="s">
        <v>913</v>
      </c>
      <c r="L82" s="43" t="s">
        <v>65</v>
      </c>
      <c r="N82" s="43" t="s">
        <v>183</v>
      </c>
      <c r="O82" s="43">
        <v>292</v>
      </c>
      <c r="P82" s="43" t="s">
        <v>492</v>
      </c>
      <c r="Q82" s="43" t="s">
        <v>380</v>
      </c>
      <c r="R82" s="43" t="s">
        <v>493</v>
      </c>
      <c r="S82" s="43" t="s">
        <v>383</v>
      </c>
      <c r="T82" s="43">
        <v>10</v>
      </c>
      <c r="U82" s="43">
        <v>-22.908000000000001</v>
      </c>
      <c r="V82" s="28">
        <v>-2.036E-7</v>
      </c>
      <c r="W82" s="43" t="s">
        <v>913</v>
      </c>
      <c r="X82" s="43" t="s">
        <v>65</v>
      </c>
    </row>
    <row r="83" spans="2:24" x14ac:dyDescent="0.2">
      <c r="B83" s="43" t="s">
        <v>183</v>
      </c>
      <c r="C83" s="43">
        <v>292</v>
      </c>
      <c r="D83" s="43" t="s">
        <v>492</v>
      </c>
      <c r="E83" s="43" t="s">
        <v>107</v>
      </c>
      <c r="F83" s="43" t="s">
        <v>494</v>
      </c>
      <c r="G83" s="43" t="s">
        <v>385</v>
      </c>
      <c r="H83" s="43">
        <v>60</v>
      </c>
      <c r="I83" s="43">
        <v>-15.2828</v>
      </c>
      <c r="J83" s="28">
        <v>-1.3580000000000001E-7</v>
      </c>
      <c r="K83" s="43" t="s">
        <v>913</v>
      </c>
      <c r="L83" s="43" t="s">
        <v>65</v>
      </c>
      <c r="N83" s="43" t="s">
        <v>183</v>
      </c>
      <c r="O83" s="43">
        <v>292</v>
      </c>
      <c r="P83" s="43" t="s">
        <v>492</v>
      </c>
      <c r="Q83" s="43" t="s">
        <v>380</v>
      </c>
      <c r="R83" s="43" t="s">
        <v>494</v>
      </c>
      <c r="S83" s="43" t="s">
        <v>385</v>
      </c>
      <c r="T83" s="43">
        <v>10</v>
      </c>
      <c r="U83" s="43">
        <v>-15.241099999999999</v>
      </c>
      <c r="V83" s="28">
        <v>-1.3549999999999999E-7</v>
      </c>
      <c r="W83" s="43" t="s">
        <v>913</v>
      </c>
      <c r="X83" s="43" t="s">
        <v>65</v>
      </c>
    </row>
    <row r="84" spans="2:24" x14ac:dyDescent="0.2">
      <c r="B84" s="43" t="s">
        <v>183</v>
      </c>
      <c r="C84" s="43">
        <v>293</v>
      </c>
      <c r="D84" s="43" t="s">
        <v>492</v>
      </c>
      <c r="E84" s="43" t="s">
        <v>107</v>
      </c>
      <c r="F84" s="43" t="s">
        <v>495</v>
      </c>
      <c r="G84" s="43" t="s">
        <v>383</v>
      </c>
      <c r="H84" s="43">
        <v>60</v>
      </c>
      <c r="I84" s="43">
        <v>-15.236700000000001</v>
      </c>
      <c r="J84" s="28">
        <v>-1.2770000000000001E-7</v>
      </c>
      <c r="K84" s="43" t="s">
        <v>913</v>
      </c>
      <c r="L84" s="43" t="s">
        <v>65</v>
      </c>
      <c r="N84" s="43" t="s">
        <v>183</v>
      </c>
      <c r="O84" s="43">
        <v>293</v>
      </c>
      <c r="P84" s="43" t="s">
        <v>492</v>
      </c>
      <c r="Q84" s="43" t="s">
        <v>380</v>
      </c>
      <c r="R84" s="43" t="s">
        <v>495</v>
      </c>
      <c r="S84" s="43" t="s">
        <v>383</v>
      </c>
      <c r="T84" s="43">
        <v>10</v>
      </c>
      <c r="U84" s="43">
        <v>-15.277799999999999</v>
      </c>
      <c r="V84" s="28">
        <v>-1.2800000000000001E-7</v>
      </c>
      <c r="W84" s="43" t="s">
        <v>913</v>
      </c>
      <c r="X84" s="43" t="s">
        <v>65</v>
      </c>
    </row>
    <row r="85" spans="2:24" x14ac:dyDescent="0.2">
      <c r="B85" s="43" t="s">
        <v>183</v>
      </c>
      <c r="C85" s="43">
        <v>293</v>
      </c>
      <c r="D85" s="43" t="s">
        <v>492</v>
      </c>
      <c r="E85" s="43" t="s">
        <v>107</v>
      </c>
      <c r="F85" s="43" t="s">
        <v>496</v>
      </c>
      <c r="G85" s="43" t="s">
        <v>385</v>
      </c>
      <c r="H85" s="43">
        <v>60</v>
      </c>
      <c r="I85" s="43">
        <v>-15.3385</v>
      </c>
      <c r="J85" s="28">
        <v>-1.286E-7</v>
      </c>
      <c r="K85" s="43" t="s">
        <v>913</v>
      </c>
      <c r="L85" s="43" t="s">
        <v>65</v>
      </c>
      <c r="N85" s="43" t="s">
        <v>183</v>
      </c>
      <c r="O85" s="43">
        <v>293</v>
      </c>
      <c r="P85" s="43" t="s">
        <v>492</v>
      </c>
      <c r="Q85" s="43" t="s">
        <v>380</v>
      </c>
      <c r="R85" s="43" t="s">
        <v>496</v>
      </c>
      <c r="S85" s="43" t="s">
        <v>385</v>
      </c>
      <c r="T85" s="43">
        <v>10</v>
      </c>
      <c r="U85" s="43">
        <v>-15.296200000000001</v>
      </c>
      <c r="V85" s="28">
        <v>-1.282E-7</v>
      </c>
      <c r="W85" s="43" t="s">
        <v>913</v>
      </c>
      <c r="X85" s="43" t="s">
        <v>65</v>
      </c>
    </row>
    <row r="86" spans="2:24" x14ac:dyDescent="0.2">
      <c r="B86" s="43" t="s">
        <v>183</v>
      </c>
      <c r="C86" s="43">
        <v>294</v>
      </c>
      <c r="D86" s="43" t="s">
        <v>492</v>
      </c>
      <c r="E86" s="43" t="s">
        <v>107</v>
      </c>
      <c r="F86" s="43" t="s">
        <v>497</v>
      </c>
      <c r="G86" s="43" t="s">
        <v>383</v>
      </c>
      <c r="H86" s="43">
        <v>60</v>
      </c>
      <c r="I86" s="43">
        <v>-15.098699999999999</v>
      </c>
      <c r="J86" s="28">
        <v>-1.342E-7</v>
      </c>
      <c r="K86" s="43" t="s">
        <v>913</v>
      </c>
      <c r="L86" s="43" t="s">
        <v>65</v>
      </c>
      <c r="N86" s="43" t="s">
        <v>183</v>
      </c>
      <c r="O86" s="43">
        <v>294</v>
      </c>
      <c r="P86" s="43" t="s">
        <v>492</v>
      </c>
      <c r="Q86" s="43" t="s">
        <v>380</v>
      </c>
      <c r="R86" s="43" t="s">
        <v>497</v>
      </c>
      <c r="S86" s="43" t="s">
        <v>383</v>
      </c>
      <c r="T86" s="43">
        <v>10</v>
      </c>
      <c r="U86" s="43">
        <v>-15.138400000000001</v>
      </c>
      <c r="V86" s="28">
        <v>-1.346E-7</v>
      </c>
      <c r="W86" s="43" t="s">
        <v>913</v>
      </c>
      <c r="X86" s="43" t="s">
        <v>65</v>
      </c>
    </row>
    <row r="87" spans="2:24" x14ac:dyDescent="0.2">
      <c r="B87" s="43" t="s">
        <v>183</v>
      </c>
      <c r="C87" s="43">
        <v>294</v>
      </c>
      <c r="D87" s="43" t="s">
        <v>492</v>
      </c>
      <c r="E87" s="43" t="s">
        <v>107</v>
      </c>
      <c r="F87" s="43" t="s">
        <v>498</v>
      </c>
      <c r="G87" s="43" t="s">
        <v>385</v>
      </c>
      <c r="H87" s="43">
        <v>60</v>
      </c>
      <c r="I87" s="43">
        <v>-23.219899999999999</v>
      </c>
      <c r="J87" s="28">
        <v>-2.064E-7</v>
      </c>
      <c r="K87" s="43" t="s">
        <v>913</v>
      </c>
      <c r="L87" s="43" t="s">
        <v>65</v>
      </c>
      <c r="N87" s="43" t="s">
        <v>183</v>
      </c>
      <c r="O87" s="43">
        <v>294</v>
      </c>
      <c r="P87" s="43" t="s">
        <v>492</v>
      </c>
      <c r="Q87" s="43" t="s">
        <v>380</v>
      </c>
      <c r="R87" s="43" t="s">
        <v>498</v>
      </c>
      <c r="S87" s="43" t="s">
        <v>385</v>
      </c>
      <c r="T87" s="43">
        <v>10</v>
      </c>
      <c r="U87" s="43">
        <v>-23.173999999999999</v>
      </c>
      <c r="V87" s="28">
        <v>-2.0599999999999999E-7</v>
      </c>
      <c r="W87" s="43" t="s">
        <v>913</v>
      </c>
      <c r="X87" s="43" t="s">
        <v>65</v>
      </c>
    </row>
    <row r="88" spans="2:24" x14ac:dyDescent="0.2">
      <c r="B88" s="43" t="s">
        <v>183</v>
      </c>
      <c r="C88" s="43">
        <v>295</v>
      </c>
      <c r="D88" s="43" t="s">
        <v>499</v>
      </c>
      <c r="E88" s="43" t="s">
        <v>107</v>
      </c>
      <c r="F88" s="43" t="s">
        <v>500</v>
      </c>
      <c r="G88" s="43" t="s">
        <v>383</v>
      </c>
      <c r="H88" s="43">
        <v>60</v>
      </c>
      <c r="I88" s="43">
        <v>-25.826599999999999</v>
      </c>
      <c r="J88" s="28">
        <v>-2.6479999999999999E-7</v>
      </c>
      <c r="K88" s="43" t="s">
        <v>913</v>
      </c>
      <c r="L88" s="43" t="s">
        <v>65</v>
      </c>
      <c r="N88" s="43" t="s">
        <v>183</v>
      </c>
      <c r="O88" s="43">
        <v>295</v>
      </c>
      <c r="P88" s="43" t="s">
        <v>499</v>
      </c>
      <c r="Q88" s="43" t="s">
        <v>380</v>
      </c>
      <c r="R88" s="43" t="s">
        <v>500</v>
      </c>
      <c r="S88" s="43" t="s">
        <v>383</v>
      </c>
      <c r="T88" s="43">
        <v>10</v>
      </c>
      <c r="U88" s="43">
        <v>-25.863</v>
      </c>
      <c r="V88" s="28">
        <v>-2.6510000000000001E-7</v>
      </c>
      <c r="W88" s="43" t="s">
        <v>913</v>
      </c>
      <c r="X88" s="43" t="s">
        <v>65</v>
      </c>
    </row>
    <row r="89" spans="2:24" x14ac:dyDescent="0.2">
      <c r="B89" s="43" t="s">
        <v>183</v>
      </c>
      <c r="C89" s="43">
        <v>295</v>
      </c>
      <c r="D89" s="43" t="s">
        <v>499</v>
      </c>
      <c r="E89" s="43" t="s">
        <v>107</v>
      </c>
      <c r="F89" s="43" t="s">
        <v>501</v>
      </c>
      <c r="G89" s="43" t="s">
        <v>385</v>
      </c>
      <c r="H89" s="43">
        <v>60</v>
      </c>
      <c r="I89" s="43">
        <v>-19.3278</v>
      </c>
      <c r="J89" s="28">
        <v>-1.9810000000000001E-7</v>
      </c>
      <c r="K89" s="43" t="s">
        <v>913</v>
      </c>
      <c r="L89" s="43" t="s">
        <v>65</v>
      </c>
      <c r="N89" s="43" t="s">
        <v>183</v>
      </c>
      <c r="O89" s="43">
        <v>295</v>
      </c>
      <c r="P89" s="43" t="s">
        <v>499</v>
      </c>
      <c r="Q89" s="43" t="s">
        <v>380</v>
      </c>
      <c r="R89" s="43" t="s">
        <v>501</v>
      </c>
      <c r="S89" s="43" t="s">
        <v>385</v>
      </c>
      <c r="T89" s="43">
        <v>10</v>
      </c>
      <c r="U89" s="43">
        <v>-19.289300000000001</v>
      </c>
      <c r="V89" s="28">
        <v>-1.977E-7</v>
      </c>
      <c r="W89" s="43" t="s">
        <v>913</v>
      </c>
      <c r="X89" s="43" t="s">
        <v>65</v>
      </c>
    </row>
    <row r="90" spans="2:24" x14ac:dyDescent="0.2">
      <c r="B90" s="43" t="s">
        <v>183</v>
      </c>
      <c r="C90" s="43">
        <v>273</v>
      </c>
      <c r="D90" s="43" t="s">
        <v>502</v>
      </c>
      <c r="E90" s="43" t="s">
        <v>107</v>
      </c>
      <c r="F90" s="43" t="s">
        <v>503</v>
      </c>
      <c r="G90" s="43" t="s">
        <v>383</v>
      </c>
      <c r="H90" s="43">
        <v>60</v>
      </c>
      <c r="I90" s="43">
        <v>-73.655199999999994</v>
      </c>
      <c r="J90" s="28">
        <v>-9.9999999999999995E-7</v>
      </c>
      <c r="K90" s="43" t="s">
        <v>913</v>
      </c>
      <c r="L90" s="43" t="s">
        <v>65</v>
      </c>
      <c r="N90" s="43" t="s">
        <v>183</v>
      </c>
      <c r="O90" s="43">
        <v>273</v>
      </c>
      <c r="P90" s="43" t="s">
        <v>502</v>
      </c>
      <c r="Q90" s="43" t="s">
        <v>380</v>
      </c>
      <c r="R90" s="43" t="s">
        <v>503</v>
      </c>
      <c r="S90" s="43" t="s">
        <v>383</v>
      </c>
      <c r="T90" s="43">
        <v>10</v>
      </c>
      <c r="U90" s="43">
        <v>-73.678299999999993</v>
      </c>
      <c r="V90" s="28">
        <v>-9.9999999999999995E-7</v>
      </c>
      <c r="W90" s="43" t="s">
        <v>913</v>
      </c>
      <c r="X90" s="43" t="s">
        <v>65</v>
      </c>
    </row>
    <row r="91" spans="2:24" x14ac:dyDescent="0.2">
      <c r="B91" s="43" t="s">
        <v>183</v>
      </c>
      <c r="C91" s="43">
        <v>273</v>
      </c>
      <c r="D91" s="43" t="s">
        <v>502</v>
      </c>
      <c r="E91" s="43" t="s">
        <v>107</v>
      </c>
      <c r="F91" s="43" t="s">
        <v>504</v>
      </c>
      <c r="G91" s="43" t="s">
        <v>385</v>
      </c>
      <c r="H91" s="43">
        <v>60</v>
      </c>
      <c r="I91" s="43">
        <v>-19.328800000000001</v>
      </c>
      <c r="J91" s="28">
        <v>-1.829E-7</v>
      </c>
      <c r="K91" s="43" t="s">
        <v>913</v>
      </c>
      <c r="L91" s="43" t="s">
        <v>65</v>
      </c>
      <c r="N91" s="43" t="s">
        <v>183</v>
      </c>
      <c r="O91" s="43">
        <v>273</v>
      </c>
      <c r="P91" s="43" t="s">
        <v>502</v>
      </c>
      <c r="Q91" s="43" t="s">
        <v>380</v>
      </c>
      <c r="R91" s="43" t="s">
        <v>504</v>
      </c>
      <c r="S91" s="43" t="s">
        <v>385</v>
      </c>
      <c r="T91" s="43">
        <v>10</v>
      </c>
      <c r="U91" s="43">
        <v>-19.316299999999998</v>
      </c>
      <c r="V91" s="28">
        <v>-1.828E-7</v>
      </c>
      <c r="W91" s="43" t="s">
        <v>913</v>
      </c>
      <c r="X91" s="43" t="s">
        <v>65</v>
      </c>
    </row>
    <row r="92" spans="2:24" x14ac:dyDescent="0.2">
      <c r="B92" s="43" t="s">
        <v>183</v>
      </c>
      <c r="C92" s="43">
        <v>276</v>
      </c>
      <c r="D92" s="43" t="s">
        <v>505</v>
      </c>
      <c r="E92" s="43" t="s">
        <v>107</v>
      </c>
      <c r="F92" s="43" t="s">
        <v>506</v>
      </c>
      <c r="G92" s="43" t="s">
        <v>383</v>
      </c>
      <c r="H92" s="43">
        <v>60</v>
      </c>
      <c r="I92" s="43">
        <v>-95.027199999999993</v>
      </c>
      <c r="J92" s="28">
        <v>-9.9999999999999995E-7</v>
      </c>
      <c r="K92" s="43" t="s">
        <v>913</v>
      </c>
      <c r="L92" s="43" t="s">
        <v>65</v>
      </c>
      <c r="N92" s="43" t="s">
        <v>183</v>
      </c>
      <c r="O92" s="43">
        <v>276</v>
      </c>
      <c r="P92" s="43" t="s">
        <v>505</v>
      </c>
      <c r="Q92" s="43" t="s">
        <v>380</v>
      </c>
      <c r="R92" s="43" t="s">
        <v>506</v>
      </c>
      <c r="S92" s="43" t="s">
        <v>383</v>
      </c>
      <c r="T92" s="43">
        <v>10</v>
      </c>
      <c r="U92" s="43">
        <v>-95.024699999999996</v>
      </c>
      <c r="V92" s="28">
        <v>-9.9999999999999995E-7</v>
      </c>
      <c r="W92" s="43" t="s">
        <v>913</v>
      </c>
      <c r="X92" s="43" t="s">
        <v>65</v>
      </c>
    </row>
    <row r="93" spans="2:24" x14ac:dyDescent="0.2">
      <c r="B93" s="43" t="s">
        <v>183</v>
      </c>
      <c r="C93" s="43">
        <v>276</v>
      </c>
      <c r="D93" s="43" t="s">
        <v>505</v>
      </c>
      <c r="E93" s="43" t="s">
        <v>107</v>
      </c>
      <c r="F93" s="43" t="s">
        <v>507</v>
      </c>
      <c r="G93" s="43" t="s">
        <v>385</v>
      </c>
      <c r="H93" s="43">
        <v>60</v>
      </c>
      <c r="I93" s="43">
        <v>-35.332700000000003</v>
      </c>
      <c r="J93" s="28">
        <v>-2.3830000000000001E-7</v>
      </c>
      <c r="K93" s="43" t="s">
        <v>913</v>
      </c>
      <c r="L93" s="43" t="s">
        <v>65</v>
      </c>
      <c r="N93" s="43" t="s">
        <v>183</v>
      </c>
      <c r="O93" s="43">
        <v>276</v>
      </c>
      <c r="P93" s="43" t="s">
        <v>505</v>
      </c>
      <c r="Q93" s="43" t="s">
        <v>380</v>
      </c>
      <c r="R93" s="43" t="s">
        <v>507</v>
      </c>
      <c r="S93" s="43" t="s">
        <v>385</v>
      </c>
      <c r="T93" s="43">
        <v>10</v>
      </c>
      <c r="U93" s="43">
        <v>-35.3369</v>
      </c>
      <c r="V93" s="28">
        <v>-2.3830000000000001E-7</v>
      </c>
      <c r="W93" s="43" t="s">
        <v>913</v>
      </c>
      <c r="X93" s="43" t="s">
        <v>65</v>
      </c>
    </row>
    <row r="94" spans="2:24" x14ac:dyDescent="0.2">
      <c r="B94" s="43" t="s">
        <v>183</v>
      </c>
      <c r="C94" s="43">
        <v>279</v>
      </c>
      <c r="D94" s="43" t="s">
        <v>508</v>
      </c>
      <c r="E94" s="43" t="s">
        <v>107</v>
      </c>
      <c r="F94" s="43" t="s">
        <v>509</v>
      </c>
      <c r="G94" s="43" t="s">
        <v>383</v>
      </c>
      <c r="H94" s="43">
        <v>60</v>
      </c>
      <c r="I94" s="43">
        <v>-104.3456</v>
      </c>
      <c r="J94" s="28">
        <v>-9.9999999999999995E-7</v>
      </c>
      <c r="K94" s="43" t="s">
        <v>913</v>
      </c>
      <c r="L94" s="43" t="s">
        <v>65</v>
      </c>
      <c r="N94" s="43" t="s">
        <v>183</v>
      </c>
      <c r="O94" s="43">
        <v>279</v>
      </c>
      <c r="P94" s="43" t="s">
        <v>508</v>
      </c>
      <c r="Q94" s="43" t="s">
        <v>380</v>
      </c>
      <c r="R94" s="43" t="s">
        <v>509</v>
      </c>
      <c r="S94" s="43" t="s">
        <v>383</v>
      </c>
      <c r="T94" s="43">
        <v>10</v>
      </c>
      <c r="U94" s="43">
        <v>-104.312</v>
      </c>
      <c r="V94" s="28">
        <v>-9.9999999999999995E-7</v>
      </c>
      <c r="W94" s="43" t="s">
        <v>913</v>
      </c>
      <c r="X94" s="43" t="s">
        <v>65</v>
      </c>
    </row>
    <row r="95" spans="2:24" x14ac:dyDescent="0.2">
      <c r="B95" s="43" t="s">
        <v>183</v>
      </c>
      <c r="C95" s="43">
        <v>279</v>
      </c>
      <c r="D95" s="43" t="s">
        <v>508</v>
      </c>
      <c r="E95" s="43" t="s">
        <v>107</v>
      </c>
      <c r="F95" s="43" t="s">
        <v>510</v>
      </c>
      <c r="G95" s="43" t="s">
        <v>385</v>
      </c>
      <c r="H95" s="43">
        <v>60</v>
      </c>
      <c r="I95" s="43">
        <v>-21.303599999999999</v>
      </c>
      <c r="J95" s="28">
        <v>-1.5060000000000001E-7</v>
      </c>
      <c r="K95" s="43" t="s">
        <v>913</v>
      </c>
      <c r="L95" s="43" t="s">
        <v>65</v>
      </c>
      <c r="N95" s="43" t="s">
        <v>183</v>
      </c>
      <c r="O95" s="43">
        <v>279</v>
      </c>
      <c r="P95" s="43" t="s">
        <v>508</v>
      </c>
      <c r="Q95" s="43" t="s">
        <v>380</v>
      </c>
      <c r="R95" s="43" t="s">
        <v>510</v>
      </c>
      <c r="S95" s="43" t="s">
        <v>385</v>
      </c>
      <c r="T95" s="43">
        <v>10</v>
      </c>
      <c r="U95" s="43">
        <v>-21.335699999999999</v>
      </c>
      <c r="V95" s="28">
        <v>-1.508E-7</v>
      </c>
      <c r="W95" s="43" t="s">
        <v>913</v>
      </c>
      <c r="X95" s="43" t="s">
        <v>65</v>
      </c>
    </row>
    <row r="96" spans="2:24" x14ac:dyDescent="0.2">
      <c r="B96" s="43" t="s">
        <v>183</v>
      </c>
      <c r="C96" s="43">
        <v>282</v>
      </c>
      <c r="D96" s="43" t="s">
        <v>511</v>
      </c>
      <c r="E96" s="43" t="s">
        <v>107</v>
      </c>
      <c r="F96" s="43" t="s">
        <v>512</v>
      </c>
      <c r="G96" s="43" t="s">
        <v>383</v>
      </c>
      <c r="H96" s="43">
        <v>60</v>
      </c>
      <c r="I96" s="43">
        <v>-104.4538</v>
      </c>
      <c r="J96" s="28">
        <v>-9.9999999999999995E-7</v>
      </c>
      <c r="K96" s="43" t="s">
        <v>913</v>
      </c>
      <c r="L96" s="43" t="s">
        <v>65</v>
      </c>
      <c r="N96" s="43" t="s">
        <v>183</v>
      </c>
      <c r="O96" s="43">
        <v>282</v>
      </c>
      <c r="P96" s="43" t="s">
        <v>511</v>
      </c>
      <c r="Q96" s="43" t="s">
        <v>380</v>
      </c>
      <c r="R96" s="43" t="s">
        <v>512</v>
      </c>
      <c r="S96" s="43" t="s">
        <v>383</v>
      </c>
      <c r="T96" s="43">
        <v>10</v>
      </c>
      <c r="U96" s="43">
        <v>-104.3914</v>
      </c>
      <c r="V96" s="28">
        <v>-9.9999999999999995E-7</v>
      </c>
      <c r="W96" s="43" t="s">
        <v>913</v>
      </c>
      <c r="X96" s="43" t="s">
        <v>65</v>
      </c>
    </row>
    <row r="97" spans="2:24" x14ac:dyDescent="0.2">
      <c r="B97" s="43" t="s">
        <v>183</v>
      </c>
      <c r="C97" s="43">
        <v>282</v>
      </c>
      <c r="D97" s="43" t="s">
        <v>511</v>
      </c>
      <c r="E97" s="43" t="s">
        <v>107</v>
      </c>
      <c r="F97" s="43" t="s">
        <v>513</v>
      </c>
      <c r="G97" s="43" t="s">
        <v>385</v>
      </c>
      <c r="H97" s="43">
        <v>60</v>
      </c>
      <c r="I97" s="43">
        <v>-21.432700000000001</v>
      </c>
      <c r="J97" s="28">
        <v>-1.515E-7</v>
      </c>
      <c r="K97" s="43" t="s">
        <v>913</v>
      </c>
      <c r="L97" s="43" t="s">
        <v>65</v>
      </c>
      <c r="N97" s="43" t="s">
        <v>183</v>
      </c>
      <c r="O97" s="43">
        <v>282</v>
      </c>
      <c r="P97" s="43" t="s">
        <v>511</v>
      </c>
      <c r="Q97" s="43" t="s">
        <v>380</v>
      </c>
      <c r="R97" s="43" t="s">
        <v>513</v>
      </c>
      <c r="S97" s="43" t="s">
        <v>385</v>
      </c>
      <c r="T97" s="43">
        <v>10</v>
      </c>
      <c r="U97" s="43">
        <v>-21.493400000000001</v>
      </c>
      <c r="V97" s="28">
        <v>-1.519E-7</v>
      </c>
      <c r="W97" s="43" t="s">
        <v>913</v>
      </c>
      <c r="X97" s="43" t="s">
        <v>65</v>
      </c>
    </row>
    <row r="98" spans="2:24" x14ac:dyDescent="0.2">
      <c r="B98" s="43" t="s">
        <v>183</v>
      </c>
      <c r="C98" s="43">
        <v>285</v>
      </c>
      <c r="D98" s="43" t="s">
        <v>514</v>
      </c>
      <c r="E98" s="43" t="s">
        <v>107</v>
      </c>
      <c r="F98" s="43" t="s">
        <v>515</v>
      </c>
      <c r="G98" s="43" t="s">
        <v>383</v>
      </c>
      <c r="H98" s="43">
        <v>60</v>
      </c>
      <c r="I98" s="43">
        <v>-97.0351</v>
      </c>
      <c r="J98" s="28">
        <v>-9.9999999999999995E-7</v>
      </c>
      <c r="K98" s="43" t="s">
        <v>913</v>
      </c>
      <c r="L98" s="43" t="s">
        <v>65</v>
      </c>
      <c r="N98" s="43" t="s">
        <v>183</v>
      </c>
      <c r="O98" s="43">
        <v>285</v>
      </c>
      <c r="P98" s="43" t="s">
        <v>514</v>
      </c>
      <c r="Q98" s="43" t="s">
        <v>380</v>
      </c>
      <c r="R98" s="43" t="s">
        <v>515</v>
      </c>
      <c r="S98" s="43" t="s">
        <v>383</v>
      </c>
      <c r="T98" s="43">
        <v>10</v>
      </c>
      <c r="U98" s="43">
        <v>-96.942599999999999</v>
      </c>
      <c r="V98" s="28">
        <v>-9.9999999999999995E-7</v>
      </c>
      <c r="W98" s="43" t="s">
        <v>913</v>
      </c>
      <c r="X98" s="43" t="s">
        <v>65</v>
      </c>
    </row>
    <row r="99" spans="2:24" x14ac:dyDescent="0.2">
      <c r="B99" s="43" t="s">
        <v>183</v>
      </c>
      <c r="C99" s="43">
        <v>285</v>
      </c>
      <c r="D99" s="43" t="s">
        <v>514</v>
      </c>
      <c r="E99" s="43" t="s">
        <v>107</v>
      </c>
      <c r="F99" s="43" t="s">
        <v>516</v>
      </c>
      <c r="G99" s="43" t="s">
        <v>385</v>
      </c>
      <c r="H99" s="43">
        <v>60</v>
      </c>
      <c r="I99" s="43">
        <v>-37.704700000000003</v>
      </c>
      <c r="J99" s="28">
        <v>-2.5429999999999999E-7</v>
      </c>
      <c r="K99" s="43" t="s">
        <v>913</v>
      </c>
      <c r="L99" s="43" t="s">
        <v>65</v>
      </c>
      <c r="N99" s="43" t="s">
        <v>183</v>
      </c>
      <c r="O99" s="43">
        <v>285</v>
      </c>
      <c r="P99" s="43" t="s">
        <v>514</v>
      </c>
      <c r="Q99" s="43" t="s">
        <v>380</v>
      </c>
      <c r="R99" s="43" t="s">
        <v>516</v>
      </c>
      <c r="S99" s="43" t="s">
        <v>385</v>
      </c>
      <c r="T99" s="43">
        <v>10</v>
      </c>
      <c r="U99" s="43">
        <v>-37.794800000000002</v>
      </c>
      <c r="V99" s="28">
        <v>-2.5489999999999999E-7</v>
      </c>
      <c r="W99" s="43" t="s">
        <v>913</v>
      </c>
      <c r="X99" s="43" t="s">
        <v>65</v>
      </c>
    </row>
    <row r="100" spans="2:24" x14ac:dyDescent="0.2">
      <c r="B100" s="43" t="s">
        <v>183</v>
      </c>
      <c r="C100" s="43">
        <v>288</v>
      </c>
      <c r="D100" s="43" t="s">
        <v>517</v>
      </c>
      <c r="E100" s="43" t="s">
        <v>107</v>
      </c>
      <c r="F100" s="43" t="s">
        <v>518</v>
      </c>
      <c r="G100" s="43" t="s">
        <v>383</v>
      </c>
      <c r="H100" s="43">
        <v>60</v>
      </c>
      <c r="I100" s="43">
        <v>-75.479799999999997</v>
      </c>
      <c r="J100" s="28">
        <v>-9.9999999999999995E-7</v>
      </c>
      <c r="K100" s="43" t="s">
        <v>913</v>
      </c>
      <c r="L100" s="43" t="s">
        <v>65</v>
      </c>
      <c r="N100" s="43" t="s">
        <v>183</v>
      </c>
      <c r="O100" s="43">
        <v>288</v>
      </c>
      <c r="P100" s="43" t="s">
        <v>517</v>
      </c>
      <c r="Q100" s="43" t="s">
        <v>380</v>
      </c>
      <c r="R100" s="43" t="s">
        <v>518</v>
      </c>
      <c r="S100" s="43" t="s">
        <v>383</v>
      </c>
      <c r="T100" s="43">
        <v>10</v>
      </c>
      <c r="U100" s="43">
        <v>-75.395899999999997</v>
      </c>
      <c r="V100" s="28">
        <v>-9.9999999999999995E-7</v>
      </c>
      <c r="W100" s="43" t="s">
        <v>913</v>
      </c>
      <c r="X100" s="43" t="s">
        <v>65</v>
      </c>
    </row>
    <row r="101" spans="2:24" x14ac:dyDescent="0.2">
      <c r="B101" s="43" t="s">
        <v>183</v>
      </c>
      <c r="C101" s="43">
        <v>288</v>
      </c>
      <c r="D101" s="43" t="s">
        <v>517</v>
      </c>
      <c r="E101" s="43" t="s">
        <v>107</v>
      </c>
      <c r="F101" s="43" t="s">
        <v>519</v>
      </c>
      <c r="G101" s="43" t="s">
        <v>385</v>
      </c>
      <c r="H101" s="43">
        <v>60</v>
      </c>
      <c r="I101" s="43">
        <v>-21.785299999999999</v>
      </c>
      <c r="J101" s="28">
        <v>-2.061E-7</v>
      </c>
      <c r="K101" s="43" t="s">
        <v>913</v>
      </c>
      <c r="L101" s="43" t="s">
        <v>65</v>
      </c>
      <c r="N101" s="43" t="s">
        <v>183</v>
      </c>
      <c r="O101" s="43">
        <v>288</v>
      </c>
      <c r="P101" s="43" t="s">
        <v>517</v>
      </c>
      <c r="Q101" s="43" t="s">
        <v>380</v>
      </c>
      <c r="R101" s="43" t="s">
        <v>519</v>
      </c>
      <c r="S101" s="43" t="s">
        <v>385</v>
      </c>
      <c r="T101" s="43">
        <v>10</v>
      </c>
      <c r="U101" s="43">
        <v>-21.861799999999999</v>
      </c>
      <c r="V101" s="28">
        <v>-2.0690000000000001E-7</v>
      </c>
      <c r="W101" s="43" t="s">
        <v>913</v>
      </c>
      <c r="X101" s="43" t="s">
        <v>65</v>
      </c>
    </row>
    <row r="102" spans="2:24" x14ac:dyDescent="0.2">
      <c r="B102" s="43" t="s">
        <v>183</v>
      </c>
      <c r="C102" s="43">
        <v>296</v>
      </c>
      <c r="D102" s="43" t="s">
        <v>520</v>
      </c>
      <c r="E102" s="43" t="s">
        <v>107</v>
      </c>
      <c r="F102" s="43" t="s">
        <v>521</v>
      </c>
      <c r="G102" s="43" t="s">
        <v>383</v>
      </c>
      <c r="H102" s="43">
        <v>60</v>
      </c>
      <c r="I102" s="43">
        <v>-27.826000000000001</v>
      </c>
      <c r="J102" s="28">
        <v>-2.0779999999999999E-7</v>
      </c>
      <c r="K102" s="43" t="s">
        <v>913</v>
      </c>
      <c r="L102" s="43" t="s">
        <v>65</v>
      </c>
      <c r="N102" s="43" t="s">
        <v>183</v>
      </c>
      <c r="O102" s="43">
        <v>296</v>
      </c>
      <c r="P102" s="43" t="s">
        <v>520</v>
      </c>
      <c r="Q102" s="43" t="s">
        <v>380</v>
      </c>
      <c r="R102" s="43" t="s">
        <v>521</v>
      </c>
      <c r="S102" s="43" t="s">
        <v>383</v>
      </c>
      <c r="T102" s="43">
        <v>10</v>
      </c>
      <c r="U102" s="43">
        <v>-27.914000000000001</v>
      </c>
      <c r="V102" s="28">
        <v>-2.0840000000000001E-7</v>
      </c>
      <c r="W102" s="43" t="s">
        <v>913</v>
      </c>
      <c r="X102" s="43" t="s">
        <v>65</v>
      </c>
    </row>
    <row r="103" spans="2:24" x14ac:dyDescent="0.2">
      <c r="B103" s="43" t="s">
        <v>183</v>
      </c>
      <c r="C103" s="43">
        <v>296</v>
      </c>
      <c r="D103" s="43" t="s">
        <v>520</v>
      </c>
      <c r="E103" s="43" t="s">
        <v>107</v>
      </c>
      <c r="F103" s="43" t="s">
        <v>522</v>
      </c>
      <c r="G103" s="43" t="s">
        <v>385</v>
      </c>
      <c r="H103" s="43">
        <v>60</v>
      </c>
      <c r="I103" s="43">
        <v>-18.067299999999999</v>
      </c>
      <c r="J103" s="28">
        <v>-1.349E-7</v>
      </c>
      <c r="K103" s="43" t="s">
        <v>913</v>
      </c>
      <c r="L103" s="43" t="s">
        <v>65</v>
      </c>
      <c r="N103" s="43" t="s">
        <v>183</v>
      </c>
      <c r="O103" s="43">
        <v>296</v>
      </c>
      <c r="P103" s="43" t="s">
        <v>520</v>
      </c>
      <c r="Q103" s="43" t="s">
        <v>380</v>
      </c>
      <c r="R103" s="43" t="s">
        <v>522</v>
      </c>
      <c r="S103" s="43" t="s">
        <v>385</v>
      </c>
      <c r="T103" s="43">
        <v>10</v>
      </c>
      <c r="U103" s="43">
        <v>-17.9864</v>
      </c>
      <c r="V103" s="28">
        <v>-1.343E-7</v>
      </c>
      <c r="W103" s="43" t="s">
        <v>913</v>
      </c>
      <c r="X103" s="43" t="s">
        <v>65</v>
      </c>
    </row>
    <row r="104" spans="2:24" x14ac:dyDescent="0.2">
      <c r="B104" s="43" t="s">
        <v>183</v>
      </c>
      <c r="C104" s="43">
        <v>297</v>
      </c>
      <c r="D104" s="43" t="s">
        <v>523</v>
      </c>
      <c r="E104" s="43" t="s">
        <v>107</v>
      </c>
      <c r="F104" s="43" t="s">
        <v>524</v>
      </c>
      <c r="G104" s="43" t="s">
        <v>383</v>
      </c>
      <c r="H104" s="43">
        <v>60</v>
      </c>
      <c r="I104" s="43">
        <v>-18.537800000000001</v>
      </c>
      <c r="J104" s="28">
        <v>-1.384E-7</v>
      </c>
      <c r="K104" s="43" t="s">
        <v>913</v>
      </c>
      <c r="L104" s="43" t="s">
        <v>65</v>
      </c>
      <c r="N104" s="43" t="s">
        <v>183</v>
      </c>
      <c r="O104" s="43">
        <v>297</v>
      </c>
      <c r="P104" s="43" t="s">
        <v>523</v>
      </c>
      <c r="Q104" s="43" t="s">
        <v>380</v>
      </c>
      <c r="R104" s="43" t="s">
        <v>524</v>
      </c>
      <c r="S104" s="43" t="s">
        <v>383</v>
      </c>
      <c r="T104" s="43">
        <v>10</v>
      </c>
      <c r="U104" s="43">
        <v>-18.6189</v>
      </c>
      <c r="V104" s="28">
        <v>-1.3899999999999999E-7</v>
      </c>
      <c r="W104" s="43" t="s">
        <v>913</v>
      </c>
      <c r="X104" s="43" t="s">
        <v>65</v>
      </c>
    </row>
    <row r="105" spans="2:24" x14ac:dyDescent="0.2">
      <c r="B105" s="43" t="s">
        <v>183</v>
      </c>
      <c r="C105" s="43">
        <v>297</v>
      </c>
      <c r="D105" s="43" t="s">
        <v>523</v>
      </c>
      <c r="E105" s="43" t="s">
        <v>107</v>
      </c>
      <c r="F105" s="43" t="s">
        <v>525</v>
      </c>
      <c r="G105" s="43" t="s">
        <v>385</v>
      </c>
      <c r="H105" s="43">
        <v>60</v>
      </c>
      <c r="I105" s="43">
        <v>-28.002800000000001</v>
      </c>
      <c r="J105" s="28">
        <v>-2.0910000000000001E-7</v>
      </c>
      <c r="K105" s="43" t="s">
        <v>913</v>
      </c>
      <c r="L105" s="43" t="s">
        <v>65</v>
      </c>
      <c r="N105" s="43" t="s">
        <v>183</v>
      </c>
      <c r="O105" s="43">
        <v>297</v>
      </c>
      <c r="P105" s="43" t="s">
        <v>523</v>
      </c>
      <c r="Q105" s="43" t="s">
        <v>380</v>
      </c>
      <c r="R105" s="43" t="s">
        <v>525</v>
      </c>
      <c r="S105" s="43" t="s">
        <v>385</v>
      </c>
      <c r="T105" s="43">
        <v>10</v>
      </c>
      <c r="U105" s="43">
        <v>-27.9178</v>
      </c>
      <c r="V105" s="28">
        <v>-2.0849999999999999E-7</v>
      </c>
      <c r="W105" s="43" t="s">
        <v>913</v>
      </c>
      <c r="X105" s="43" t="s">
        <v>65</v>
      </c>
    </row>
    <row r="106" spans="2:24" x14ac:dyDescent="0.2">
      <c r="B106" s="43" t="s">
        <v>183</v>
      </c>
      <c r="C106" s="43">
        <v>298</v>
      </c>
      <c r="D106" s="43" t="s">
        <v>523</v>
      </c>
      <c r="E106" s="43" t="s">
        <v>107</v>
      </c>
      <c r="F106" s="43" t="s">
        <v>526</v>
      </c>
      <c r="G106" s="43" t="s">
        <v>383</v>
      </c>
      <c r="H106" s="43">
        <v>60</v>
      </c>
      <c r="I106" s="43">
        <v>-28.506</v>
      </c>
      <c r="J106" s="28">
        <v>-2.2499999999999999E-7</v>
      </c>
      <c r="K106" s="43" t="s">
        <v>913</v>
      </c>
      <c r="L106" s="43" t="s">
        <v>65</v>
      </c>
      <c r="N106" s="43" t="s">
        <v>183</v>
      </c>
      <c r="O106" s="43">
        <v>298</v>
      </c>
      <c r="P106" s="43" t="s">
        <v>523</v>
      </c>
      <c r="Q106" s="43" t="s">
        <v>380</v>
      </c>
      <c r="R106" s="43" t="s">
        <v>526</v>
      </c>
      <c r="S106" s="43" t="s">
        <v>383</v>
      </c>
      <c r="T106" s="43">
        <v>10</v>
      </c>
      <c r="U106" s="43">
        <v>-28.588100000000001</v>
      </c>
      <c r="V106" s="28">
        <v>-2.2569999999999999E-7</v>
      </c>
      <c r="W106" s="43" t="s">
        <v>913</v>
      </c>
      <c r="X106" s="43" t="s">
        <v>65</v>
      </c>
    </row>
    <row r="107" spans="2:24" x14ac:dyDescent="0.2">
      <c r="B107" s="43" t="s">
        <v>183</v>
      </c>
      <c r="C107" s="43">
        <v>298</v>
      </c>
      <c r="D107" s="43" t="s">
        <v>523</v>
      </c>
      <c r="E107" s="43" t="s">
        <v>107</v>
      </c>
      <c r="F107" s="43" t="s">
        <v>527</v>
      </c>
      <c r="G107" s="43" t="s">
        <v>385</v>
      </c>
      <c r="H107" s="43">
        <v>60</v>
      </c>
      <c r="I107" s="43">
        <v>-28.540299999999998</v>
      </c>
      <c r="J107" s="28">
        <v>-2.2530000000000001E-7</v>
      </c>
      <c r="K107" s="43" t="s">
        <v>913</v>
      </c>
      <c r="L107" s="43" t="s">
        <v>65</v>
      </c>
      <c r="N107" s="43" t="s">
        <v>183</v>
      </c>
      <c r="O107" s="43">
        <v>298</v>
      </c>
      <c r="P107" s="43" t="s">
        <v>523</v>
      </c>
      <c r="Q107" s="43" t="s">
        <v>380</v>
      </c>
      <c r="R107" s="43" t="s">
        <v>527</v>
      </c>
      <c r="S107" s="43" t="s">
        <v>385</v>
      </c>
      <c r="T107" s="43">
        <v>10</v>
      </c>
      <c r="U107" s="43">
        <v>-28.458200000000001</v>
      </c>
      <c r="V107" s="28">
        <v>-2.2460000000000001E-7</v>
      </c>
      <c r="W107" s="43" t="s">
        <v>913</v>
      </c>
      <c r="X107" s="43" t="s">
        <v>65</v>
      </c>
    </row>
    <row r="108" spans="2:24" x14ac:dyDescent="0.2">
      <c r="B108" s="43" t="s">
        <v>183</v>
      </c>
      <c r="C108" s="43">
        <v>299</v>
      </c>
      <c r="D108" s="43" t="s">
        <v>523</v>
      </c>
      <c r="E108" s="43" t="s">
        <v>107</v>
      </c>
      <c r="F108" s="43" t="s">
        <v>528</v>
      </c>
      <c r="G108" s="43" t="s">
        <v>383</v>
      </c>
      <c r="H108" s="43">
        <v>60</v>
      </c>
      <c r="I108" s="43">
        <v>-27.930199999999999</v>
      </c>
      <c r="J108" s="28">
        <v>-2.0849999999999999E-7</v>
      </c>
      <c r="K108" s="43" t="s">
        <v>913</v>
      </c>
      <c r="L108" s="43" t="s">
        <v>65</v>
      </c>
      <c r="N108" s="43" t="s">
        <v>183</v>
      </c>
      <c r="O108" s="43">
        <v>299</v>
      </c>
      <c r="P108" s="43" t="s">
        <v>523</v>
      </c>
      <c r="Q108" s="43" t="s">
        <v>380</v>
      </c>
      <c r="R108" s="43" t="s">
        <v>528</v>
      </c>
      <c r="S108" s="43" t="s">
        <v>383</v>
      </c>
      <c r="T108" s="43">
        <v>10</v>
      </c>
      <c r="U108" s="43">
        <v>-28.015899999999998</v>
      </c>
      <c r="V108" s="28">
        <v>-2.0919999999999999E-7</v>
      </c>
      <c r="W108" s="43" t="s">
        <v>913</v>
      </c>
      <c r="X108" s="43" t="s">
        <v>65</v>
      </c>
    </row>
    <row r="109" spans="2:24" x14ac:dyDescent="0.2">
      <c r="B109" s="43" t="s">
        <v>183</v>
      </c>
      <c r="C109" s="43">
        <v>299</v>
      </c>
      <c r="D109" s="43" t="s">
        <v>523</v>
      </c>
      <c r="E109" s="43" t="s">
        <v>107</v>
      </c>
      <c r="F109" s="43" t="s">
        <v>529</v>
      </c>
      <c r="G109" s="43" t="s">
        <v>385</v>
      </c>
      <c r="H109" s="43">
        <v>60</v>
      </c>
      <c r="I109" s="43">
        <v>-18.6358</v>
      </c>
      <c r="J109" s="28">
        <v>-1.3909999999999999E-7</v>
      </c>
      <c r="K109" s="43" t="s">
        <v>913</v>
      </c>
      <c r="L109" s="43" t="s">
        <v>65</v>
      </c>
      <c r="N109" s="43" t="s">
        <v>183</v>
      </c>
      <c r="O109" s="43">
        <v>299</v>
      </c>
      <c r="P109" s="43" t="s">
        <v>523</v>
      </c>
      <c r="Q109" s="43" t="s">
        <v>380</v>
      </c>
      <c r="R109" s="43" t="s">
        <v>529</v>
      </c>
      <c r="S109" s="43" t="s">
        <v>385</v>
      </c>
      <c r="T109" s="43">
        <v>10</v>
      </c>
      <c r="U109" s="43">
        <v>-18.553999999999998</v>
      </c>
      <c r="V109" s="28">
        <v>-1.385E-7</v>
      </c>
      <c r="W109" s="43" t="s">
        <v>913</v>
      </c>
      <c r="X109" s="43" t="s">
        <v>65</v>
      </c>
    </row>
    <row r="110" spans="2:24" x14ac:dyDescent="0.2">
      <c r="B110" s="43" t="s">
        <v>183</v>
      </c>
      <c r="C110" s="43">
        <v>300</v>
      </c>
      <c r="D110" s="43" t="s">
        <v>530</v>
      </c>
      <c r="E110" s="43" t="s">
        <v>107</v>
      </c>
      <c r="F110" s="43" t="s">
        <v>531</v>
      </c>
      <c r="G110" s="43" t="s">
        <v>383</v>
      </c>
      <c r="H110" s="43">
        <v>60</v>
      </c>
      <c r="I110" s="43">
        <v>-18.7484</v>
      </c>
      <c r="J110" s="28">
        <v>-1.4000000000000001E-7</v>
      </c>
      <c r="K110" s="43" t="s">
        <v>913</v>
      </c>
      <c r="L110" s="43" t="s">
        <v>65</v>
      </c>
      <c r="N110" s="43" t="s">
        <v>183</v>
      </c>
      <c r="O110" s="43">
        <v>300</v>
      </c>
      <c r="P110" s="43" t="s">
        <v>530</v>
      </c>
      <c r="Q110" s="43" t="s">
        <v>380</v>
      </c>
      <c r="R110" s="43" t="s">
        <v>531</v>
      </c>
      <c r="S110" s="43" t="s">
        <v>383</v>
      </c>
      <c r="T110" s="43">
        <v>10</v>
      </c>
      <c r="U110" s="43">
        <v>-18.833600000000001</v>
      </c>
      <c r="V110" s="28">
        <v>-1.406E-7</v>
      </c>
      <c r="W110" s="43" t="s">
        <v>913</v>
      </c>
      <c r="X110" s="43" t="s">
        <v>65</v>
      </c>
    </row>
    <row r="111" spans="2:24" x14ac:dyDescent="0.2">
      <c r="B111" s="43" t="s">
        <v>183</v>
      </c>
      <c r="C111" s="43">
        <v>300</v>
      </c>
      <c r="D111" s="43" t="s">
        <v>530</v>
      </c>
      <c r="E111" s="43" t="s">
        <v>107</v>
      </c>
      <c r="F111" s="43" t="s">
        <v>532</v>
      </c>
      <c r="G111" s="43" t="s">
        <v>385</v>
      </c>
      <c r="H111" s="43">
        <v>60</v>
      </c>
      <c r="I111" s="43">
        <v>-28.6403</v>
      </c>
      <c r="J111" s="28">
        <v>-2.138E-7</v>
      </c>
      <c r="K111" s="43" t="s">
        <v>913</v>
      </c>
      <c r="L111" s="43" t="s">
        <v>65</v>
      </c>
      <c r="N111" s="43" t="s">
        <v>183</v>
      </c>
      <c r="O111" s="43">
        <v>300</v>
      </c>
      <c r="P111" s="43" t="s">
        <v>530</v>
      </c>
      <c r="Q111" s="43" t="s">
        <v>380</v>
      </c>
      <c r="R111" s="43" t="s">
        <v>532</v>
      </c>
      <c r="S111" s="43" t="s">
        <v>385</v>
      </c>
      <c r="T111" s="43">
        <v>10</v>
      </c>
      <c r="U111" s="43">
        <v>-28.5474</v>
      </c>
      <c r="V111" s="28">
        <v>-2.132E-7</v>
      </c>
      <c r="W111" s="43" t="s">
        <v>913</v>
      </c>
      <c r="X111" s="43" t="s">
        <v>65</v>
      </c>
    </row>
    <row r="112" spans="2:24" x14ac:dyDescent="0.2">
      <c r="B112" s="43" t="s">
        <v>183</v>
      </c>
      <c r="C112" s="43">
        <v>274</v>
      </c>
      <c r="D112" s="43" t="s">
        <v>533</v>
      </c>
      <c r="E112" s="43" t="s">
        <v>107</v>
      </c>
      <c r="F112" s="43" t="s">
        <v>534</v>
      </c>
      <c r="G112" s="43" t="s">
        <v>383</v>
      </c>
      <c r="H112" s="43">
        <v>60</v>
      </c>
      <c r="I112" s="43">
        <v>-72.1357</v>
      </c>
      <c r="J112" s="28">
        <v>-9.9999999999999995E-7</v>
      </c>
      <c r="K112" s="43" t="s">
        <v>913</v>
      </c>
      <c r="L112" s="43" t="s">
        <v>65</v>
      </c>
      <c r="N112" s="43" t="s">
        <v>183</v>
      </c>
      <c r="O112" s="43">
        <v>274</v>
      </c>
      <c r="P112" s="43" t="s">
        <v>533</v>
      </c>
      <c r="Q112" s="43" t="s">
        <v>380</v>
      </c>
      <c r="R112" s="43" t="s">
        <v>534</v>
      </c>
      <c r="S112" s="43" t="s">
        <v>383</v>
      </c>
      <c r="T112" s="43">
        <v>10</v>
      </c>
      <c r="U112" s="43">
        <v>-72.162899999999993</v>
      </c>
      <c r="V112" s="28">
        <v>-9.9999999999999995E-7</v>
      </c>
      <c r="W112" s="43" t="s">
        <v>913</v>
      </c>
      <c r="X112" s="43" t="s">
        <v>65</v>
      </c>
    </row>
    <row r="113" spans="2:24" x14ac:dyDescent="0.2">
      <c r="B113" s="43" t="s">
        <v>183</v>
      </c>
      <c r="C113" s="43">
        <v>274</v>
      </c>
      <c r="D113" s="43" t="s">
        <v>533</v>
      </c>
      <c r="E113" s="43" t="s">
        <v>107</v>
      </c>
      <c r="F113" s="43" t="s">
        <v>535</v>
      </c>
      <c r="G113" s="43" t="s">
        <v>385</v>
      </c>
      <c r="H113" s="43">
        <v>60</v>
      </c>
      <c r="I113" s="43">
        <v>-14.2743</v>
      </c>
      <c r="J113" s="28">
        <v>-1.223E-7</v>
      </c>
      <c r="K113" s="43" t="s">
        <v>913</v>
      </c>
      <c r="L113" s="43" t="s">
        <v>65</v>
      </c>
      <c r="N113" s="43" t="s">
        <v>183</v>
      </c>
      <c r="O113" s="43">
        <v>274</v>
      </c>
      <c r="P113" s="43" t="s">
        <v>533</v>
      </c>
      <c r="Q113" s="43" t="s">
        <v>380</v>
      </c>
      <c r="R113" s="43" t="s">
        <v>535</v>
      </c>
      <c r="S113" s="43" t="s">
        <v>385</v>
      </c>
      <c r="T113" s="43">
        <v>10</v>
      </c>
      <c r="U113" s="43">
        <v>-14.264900000000001</v>
      </c>
      <c r="V113" s="28">
        <v>-1.222E-7</v>
      </c>
      <c r="W113" s="43" t="s">
        <v>913</v>
      </c>
      <c r="X113" s="43" t="s">
        <v>65</v>
      </c>
    </row>
    <row r="114" spans="2:24" x14ac:dyDescent="0.2">
      <c r="B114" s="43" t="s">
        <v>183</v>
      </c>
      <c r="C114" s="43">
        <v>277</v>
      </c>
      <c r="D114" s="43" t="s">
        <v>536</v>
      </c>
      <c r="E114" s="43" t="s">
        <v>107</v>
      </c>
      <c r="F114" s="43" t="s">
        <v>537</v>
      </c>
      <c r="G114" s="43" t="s">
        <v>383</v>
      </c>
      <c r="H114" s="43">
        <v>60</v>
      </c>
      <c r="I114" s="43">
        <v>-109.23909999999999</v>
      </c>
      <c r="J114" s="28">
        <v>-9.9999999999999995E-7</v>
      </c>
      <c r="K114" s="43" t="s">
        <v>913</v>
      </c>
      <c r="L114" s="43" t="s">
        <v>65</v>
      </c>
      <c r="N114" s="43" t="s">
        <v>183</v>
      </c>
      <c r="O114" s="43">
        <v>277</v>
      </c>
      <c r="P114" s="43" t="s">
        <v>536</v>
      </c>
      <c r="Q114" s="43" t="s">
        <v>380</v>
      </c>
      <c r="R114" s="43" t="s">
        <v>537</v>
      </c>
      <c r="S114" s="43" t="s">
        <v>383</v>
      </c>
      <c r="T114" s="43">
        <v>10</v>
      </c>
      <c r="U114" s="43">
        <v>-109.23569999999999</v>
      </c>
      <c r="V114" s="28">
        <v>-9.9999999999999995E-7</v>
      </c>
      <c r="W114" s="43" t="s">
        <v>913</v>
      </c>
      <c r="X114" s="43" t="s">
        <v>65</v>
      </c>
    </row>
    <row r="115" spans="2:24" x14ac:dyDescent="0.2">
      <c r="B115" s="43" t="s">
        <v>183</v>
      </c>
      <c r="C115" s="43">
        <v>277</v>
      </c>
      <c r="D115" s="43" t="s">
        <v>536</v>
      </c>
      <c r="E115" s="43" t="s">
        <v>107</v>
      </c>
      <c r="F115" s="43" t="s">
        <v>538</v>
      </c>
      <c r="G115" s="43" t="s">
        <v>385</v>
      </c>
      <c r="H115" s="43">
        <v>60</v>
      </c>
      <c r="I115" s="43">
        <v>-36.164999999999999</v>
      </c>
      <c r="J115" s="28">
        <v>-2.4159999999999999E-7</v>
      </c>
      <c r="K115" s="43" t="s">
        <v>913</v>
      </c>
      <c r="L115" s="43" t="s">
        <v>65</v>
      </c>
      <c r="N115" s="43" t="s">
        <v>183</v>
      </c>
      <c r="O115" s="43">
        <v>277</v>
      </c>
      <c r="P115" s="43" t="s">
        <v>536</v>
      </c>
      <c r="Q115" s="43" t="s">
        <v>380</v>
      </c>
      <c r="R115" s="43" t="s">
        <v>538</v>
      </c>
      <c r="S115" s="43" t="s">
        <v>385</v>
      </c>
      <c r="T115" s="43">
        <v>10</v>
      </c>
      <c r="U115" s="43">
        <v>-36.169499999999999</v>
      </c>
      <c r="V115" s="28">
        <v>-2.417E-7</v>
      </c>
      <c r="W115" s="43" t="s">
        <v>913</v>
      </c>
      <c r="X115" s="43" t="s">
        <v>65</v>
      </c>
    </row>
    <row r="116" spans="2:24" x14ac:dyDescent="0.2">
      <c r="B116" s="43" t="s">
        <v>183</v>
      </c>
      <c r="C116" s="43">
        <v>280</v>
      </c>
      <c r="D116" s="43" t="s">
        <v>539</v>
      </c>
      <c r="E116" s="43" t="s">
        <v>107</v>
      </c>
      <c r="F116" s="43" t="s">
        <v>540</v>
      </c>
      <c r="G116" s="43" t="s">
        <v>383</v>
      </c>
      <c r="H116" s="43">
        <v>60</v>
      </c>
      <c r="I116" s="43">
        <v>-92.956599999999995</v>
      </c>
      <c r="J116" s="28">
        <v>-9.9999999999999995E-7</v>
      </c>
      <c r="K116" s="43" t="s">
        <v>913</v>
      </c>
      <c r="L116" s="43" t="s">
        <v>65</v>
      </c>
      <c r="N116" s="43" t="s">
        <v>183</v>
      </c>
      <c r="O116" s="43">
        <v>280</v>
      </c>
      <c r="P116" s="43" t="s">
        <v>539</v>
      </c>
      <c r="Q116" s="43" t="s">
        <v>380</v>
      </c>
      <c r="R116" s="43" t="s">
        <v>540</v>
      </c>
      <c r="S116" s="43" t="s">
        <v>383</v>
      </c>
      <c r="T116" s="43">
        <v>10</v>
      </c>
      <c r="U116" s="43">
        <v>-92.923900000000003</v>
      </c>
      <c r="V116" s="28">
        <v>-9.9999999999999995E-7</v>
      </c>
      <c r="W116" s="43" t="s">
        <v>913</v>
      </c>
      <c r="X116" s="43" t="s">
        <v>65</v>
      </c>
    </row>
    <row r="117" spans="2:24" x14ac:dyDescent="0.2">
      <c r="B117" s="43" t="s">
        <v>183</v>
      </c>
      <c r="C117" s="43">
        <v>280</v>
      </c>
      <c r="D117" s="43" t="s">
        <v>539</v>
      </c>
      <c r="E117" s="43" t="s">
        <v>107</v>
      </c>
      <c r="F117" s="43" t="s">
        <v>541</v>
      </c>
      <c r="G117" s="43" t="s">
        <v>385</v>
      </c>
      <c r="H117" s="43">
        <v>60</v>
      </c>
      <c r="I117" s="43">
        <v>-21.199300000000001</v>
      </c>
      <c r="J117" s="28">
        <v>-1.444E-7</v>
      </c>
      <c r="K117" s="43" t="s">
        <v>913</v>
      </c>
      <c r="L117" s="43" t="s">
        <v>65</v>
      </c>
      <c r="N117" s="43" t="s">
        <v>183</v>
      </c>
      <c r="O117" s="43">
        <v>280</v>
      </c>
      <c r="P117" s="43" t="s">
        <v>539</v>
      </c>
      <c r="Q117" s="43" t="s">
        <v>380</v>
      </c>
      <c r="R117" s="43" t="s">
        <v>541</v>
      </c>
      <c r="S117" s="43" t="s">
        <v>385</v>
      </c>
      <c r="T117" s="43">
        <v>10</v>
      </c>
      <c r="U117" s="43">
        <v>-21.231100000000001</v>
      </c>
      <c r="V117" s="28">
        <v>-1.4460000000000001E-7</v>
      </c>
      <c r="W117" s="43" t="s">
        <v>913</v>
      </c>
      <c r="X117" s="43" t="s">
        <v>65</v>
      </c>
    </row>
    <row r="118" spans="2:24" x14ac:dyDescent="0.2">
      <c r="B118" s="43" t="s">
        <v>183</v>
      </c>
      <c r="C118" s="43">
        <v>283</v>
      </c>
      <c r="D118" s="43" t="s">
        <v>542</v>
      </c>
      <c r="E118" s="43" t="s">
        <v>107</v>
      </c>
      <c r="F118" s="43" t="s">
        <v>543</v>
      </c>
      <c r="G118" s="43" t="s">
        <v>383</v>
      </c>
      <c r="H118" s="43">
        <v>60</v>
      </c>
      <c r="I118" s="43">
        <v>-92.916499999999999</v>
      </c>
      <c r="J118" s="28">
        <v>-9.9999999999999995E-7</v>
      </c>
      <c r="K118" s="43" t="s">
        <v>913</v>
      </c>
      <c r="L118" s="43" t="s">
        <v>65</v>
      </c>
      <c r="N118" s="43" t="s">
        <v>183</v>
      </c>
      <c r="O118" s="43">
        <v>283</v>
      </c>
      <c r="P118" s="43" t="s">
        <v>542</v>
      </c>
      <c r="Q118" s="43" t="s">
        <v>380</v>
      </c>
      <c r="R118" s="43" t="s">
        <v>543</v>
      </c>
      <c r="S118" s="43" t="s">
        <v>383</v>
      </c>
      <c r="T118" s="43">
        <v>10</v>
      </c>
      <c r="U118" s="43">
        <v>-92.855999999999995</v>
      </c>
      <c r="V118" s="28">
        <v>-9.9999999999999995E-7</v>
      </c>
      <c r="W118" s="43" t="s">
        <v>913</v>
      </c>
      <c r="X118" s="43" t="s">
        <v>65</v>
      </c>
    </row>
    <row r="119" spans="2:24" x14ac:dyDescent="0.2">
      <c r="B119" s="43" t="s">
        <v>183</v>
      </c>
      <c r="C119" s="43">
        <v>283</v>
      </c>
      <c r="D119" s="43" t="s">
        <v>542</v>
      </c>
      <c r="E119" s="43" t="s">
        <v>107</v>
      </c>
      <c r="F119" s="43" t="s">
        <v>544</v>
      </c>
      <c r="G119" s="43" t="s">
        <v>385</v>
      </c>
      <c r="H119" s="43">
        <v>60</v>
      </c>
      <c r="I119" s="43">
        <v>-21.220199999999998</v>
      </c>
      <c r="J119" s="28">
        <v>-1.445E-7</v>
      </c>
      <c r="K119" s="43" t="s">
        <v>913</v>
      </c>
      <c r="L119" s="43" t="s">
        <v>65</v>
      </c>
      <c r="N119" s="43" t="s">
        <v>183</v>
      </c>
      <c r="O119" s="43">
        <v>283</v>
      </c>
      <c r="P119" s="43" t="s">
        <v>542</v>
      </c>
      <c r="Q119" s="43" t="s">
        <v>380</v>
      </c>
      <c r="R119" s="43" t="s">
        <v>544</v>
      </c>
      <c r="S119" s="43" t="s">
        <v>385</v>
      </c>
      <c r="T119" s="43">
        <v>10</v>
      </c>
      <c r="U119" s="43">
        <v>-21.2819</v>
      </c>
      <c r="V119" s="28">
        <v>-1.4499999999999999E-7</v>
      </c>
      <c r="W119" s="43" t="s">
        <v>913</v>
      </c>
      <c r="X119" s="43" t="s">
        <v>65</v>
      </c>
    </row>
    <row r="120" spans="2:24" x14ac:dyDescent="0.2">
      <c r="B120" s="43" t="s">
        <v>183</v>
      </c>
      <c r="C120" s="43">
        <v>286</v>
      </c>
      <c r="D120" s="43" t="s">
        <v>545</v>
      </c>
      <c r="E120" s="43" t="s">
        <v>107</v>
      </c>
      <c r="F120" s="43" t="s">
        <v>546</v>
      </c>
      <c r="G120" s="43" t="s">
        <v>383</v>
      </c>
      <c r="H120" s="43">
        <v>60</v>
      </c>
      <c r="I120" s="43">
        <v>-109.55549999999999</v>
      </c>
      <c r="J120" s="28">
        <v>-9.9999999999999995E-7</v>
      </c>
      <c r="K120" s="43" t="s">
        <v>913</v>
      </c>
      <c r="L120" s="43" t="s">
        <v>65</v>
      </c>
      <c r="N120" s="43" t="s">
        <v>183</v>
      </c>
      <c r="O120" s="43">
        <v>286</v>
      </c>
      <c r="P120" s="43" t="s">
        <v>545</v>
      </c>
      <c r="Q120" s="43" t="s">
        <v>380</v>
      </c>
      <c r="R120" s="43" t="s">
        <v>546</v>
      </c>
      <c r="S120" s="43" t="s">
        <v>383</v>
      </c>
      <c r="T120" s="43">
        <v>10</v>
      </c>
      <c r="U120" s="43">
        <v>-109.4644</v>
      </c>
      <c r="V120" s="28">
        <v>-9.9999999999999995E-7</v>
      </c>
      <c r="W120" s="43" t="s">
        <v>913</v>
      </c>
      <c r="X120" s="43" t="s">
        <v>65</v>
      </c>
    </row>
    <row r="121" spans="2:24" x14ac:dyDescent="0.2">
      <c r="B121" s="43" t="s">
        <v>183</v>
      </c>
      <c r="C121" s="43">
        <v>286</v>
      </c>
      <c r="D121" s="43" t="s">
        <v>545</v>
      </c>
      <c r="E121" s="43" t="s">
        <v>107</v>
      </c>
      <c r="F121" s="43" t="s">
        <v>547</v>
      </c>
      <c r="G121" s="43" t="s">
        <v>385</v>
      </c>
      <c r="H121" s="43">
        <v>60</v>
      </c>
      <c r="I121" s="43">
        <v>-36.132100000000001</v>
      </c>
      <c r="J121" s="28">
        <v>-2.4139999999999998E-7</v>
      </c>
      <c r="K121" s="43" t="s">
        <v>913</v>
      </c>
      <c r="L121" s="43" t="s">
        <v>65</v>
      </c>
      <c r="N121" s="43" t="s">
        <v>183</v>
      </c>
      <c r="O121" s="43">
        <v>286</v>
      </c>
      <c r="P121" s="43" t="s">
        <v>545</v>
      </c>
      <c r="Q121" s="43" t="s">
        <v>380</v>
      </c>
      <c r="R121" s="43" t="s">
        <v>547</v>
      </c>
      <c r="S121" s="43" t="s">
        <v>385</v>
      </c>
      <c r="T121" s="43">
        <v>10</v>
      </c>
      <c r="U121" s="43">
        <v>-36.222799999999999</v>
      </c>
      <c r="V121" s="28">
        <v>-2.4200000000000002E-7</v>
      </c>
      <c r="W121" s="43" t="s">
        <v>913</v>
      </c>
      <c r="X121" s="43" t="s">
        <v>65</v>
      </c>
    </row>
    <row r="122" spans="2:24" x14ac:dyDescent="0.2">
      <c r="B122" s="43" t="s">
        <v>183</v>
      </c>
      <c r="C122" s="43">
        <v>289</v>
      </c>
      <c r="D122" s="43" t="s">
        <v>548</v>
      </c>
      <c r="E122" s="43" t="s">
        <v>107</v>
      </c>
      <c r="F122" s="43" t="s">
        <v>549</v>
      </c>
      <c r="G122" s="43" t="s">
        <v>383</v>
      </c>
      <c r="H122" s="43">
        <v>60</v>
      </c>
      <c r="I122" s="43">
        <v>-72.070899999999995</v>
      </c>
      <c r="J122" s="28">
        <v>-9.9999999999999995E-7</v>
      </c>
      <c r="K122" s="43" t="s">
        <v>913</v>
      </c>
      <c r="L122" s="43" t="s">
        <v>65</v>
      </c>
      <c r="N122" s="43" t="s">
        <v>183</v>
      </c>
      <c r="O122" s="43">
        <v>289</v>
      </c>
      <c r="P122" s="43" t="s">
        <v>548</v>
      </c>
      <c r="Q122" s="43" t="s">
        <v>380</v>
      </c>
      <c r="R122" s="43" t="s">
        <v>549</v>
      </c>
      <c r="S122" s="43" t="s">
        <v>383</v>
      </c>
      <c r="T122" s="43">
        <v>10</v>
      </c>
      <c r="U122" s="43">
        <v>-71.965000000000003</v>
      </c>
      <c r="V122" s="28">
        <v>-9.9999999999999995E-7</v>
      </c>
      <c r="W122" s="43" t="s">
        <v>913</v>
      </c>
      <c r="X122" s="43" t="s">
        <v>65</v>
      </c>
    </row>
    <row r="123" spans="2:24" x14ac:dyDescent="0.2">
      <c r="B123" s="43" t="s">
        <v>183</v>
      </c>
      <c r="C123" s="43">
        <v>289</v>
      </c>
      <c r="D123" s="43" t="s">
        <v>548</v>
      </c>
      <c r="E123" s="43" t="s">
        <v>107</v>
      </c>
      <c r="F123" s="43" t="s">
        <v>550</v>
      </c>
      <c r="G123" s="43" t="s">
        <v>385</v>
      </c>
      <c r="H123" s="43">
        <v>60</v>
      </c>
      <c r="I123" s="43">
        <v>-14.360900000000001</v>
      </c>
      <c r="J123" s="28">
        <v>-1.23E-7</v>
      </c>
      <c r="K123" s="43" t="s">
        <v>913</v>
      </c>
      <c r="L123" s="43" t="s">
        <v>65</v>
      </c>
      <c r="N123" s="43" t="s">
        <v>183</v>
      </c>
      <c r="O123" s="43">
        <v>289</v>
      </c>
      <c r="P123" s="43" t="s">
        <v>548</v>
      </c>
      <c r="Q123" s="43" t="s">
        <v>380</v>
      </c>
      <c r="R123" s="43" t="s">
        <v>550</v>
      </c>
      <c r="S123" s="43" t="s">
        <v>385</v>
      </c>
      <c r="T123" s="43">
        <v>10</v>
      </c>
      <c r="U123" s="43">
        <v>-14.448700000000001</v>
      </c>
      <c r="V123" s="28">
        <v>-1.2380000000000001E-7</v>
      </c>
      <c r="W123" s="43" t="s">
        <v>913</v>
      </c>
      <c r="X123" s="43" t="s">
        <v>65</v>
      </c>
    </row>
    <row r="124" spans="2:24" x14ac:dyDescent="0.2">
      <c r="B124" s="43" t="s">
        <v>183</v>
      </c>
      <c r="C124" s="43">
        <v>301</v>
      </c>
      <c r="D124" s="43" t="s">
        <v>551</v>
      </c>
      <c r="E124" s="43" t="s">
        <v>107</v>
      </c>
      <c r="F124" s="43" t="s">
        <v>552</v>
      </c>
      <c r="G124" s="43" t="s">
        <v>383</v>
      </c>
      <c r="H124" s="43">
        <v>60</v>
      </c>
      <c r="I124" s="43">
        <v>-27.859000000000002</v>
      </c>
      <c r="J124" s="28">
        <v>-2.0800000000000001E-7</v>
      </c>
      <c r="K124" s="43" t="s">
        <v>913</v>
      </c>
      <c r="L124" s="43" t="s">
        <v>65</v>
      </c>
      <c r="N124" s="43" t="s">
        <v>183</v>
      </c>
      <c r="O124" s="43">
        <v>301</v>
      </c>
      <c r="P124" s="43" t="s">
        <v>551</v>
      </c>
      <c r="Q124" s="43" t="s">
        <v>380</v>
      </c>
      <c r="R124" s="43" t="s">
        <v>552</v>
      </c>
      <c r="S124" s="43" t="s">
        <v>383</v>
      </c>
      <c r="T124" s="43">
        <v>10</v>
      </c>
      <c r="U124" s="43">
        <v>-27.9876</v>
      </c>
      <c r="V124" s="28">
        <v>-2.0900000000000001E-7</v>
      </c>
      <c r="W124" s="43" t="s">
        <v>913</v>
      </c>
      <c r="X124" s="43" t="s">
        <v>65</v>
      </c>
    </row>
    <row r="125" spans="2:24" x14ac:dyDescent="0.2">
      <c r="B125" s="43" t="s">
        <v>183</v>
      </c>
      <c r="C125" s="43">
        <v>301</v>
      </c>
      <c r="D125" s="43" t="s">
        <v>551</v>
      </c>
      <c r="E125" s="43" t="s">
        <v>107</v>
      </c>
      <c r="F125" s="43" t="s">
        <v>553</v>
      </c>
      <c r="G125" s="43" t="s">
        <v>385</v>
      </c>
      <c r="H125" s="43">
        <v>60</v>
      </c>
      <c r="I125" s="43">
        <v>-17.947900000000001</v>
      </c>
      <c r="J125" s="28">
        <v>-1.3400000000000001E-7</v>
      </c>
      <c r="K125" s="43" t="s">
        <v>913</v>
      </c>
      <c r="L125" s="43" t="s">
        <v>65</v>
      </c>
      <c r="N125" s="43" t="s">
        <v>183</v>
      </c>
      <c r="O125" s="43">
        <v>301</v>
      </c>
      <c r="P125" s="43" t="s">
        <v>551</v>
      </c>
      <c r="Q125" s="43" t="s">
        <v>380</v>
      </c>
      <c r="R125" s="43" t="s">
        <v>553</v>
      </c>
      <c r="S125" s="43" t="s">
        <v>385</v>
      </c>
      <c r="T125" s="43">
        <v>10</v>
      </c>
      <c r="U125" s="43">
        <v>-17.829000000000001</v>
      </c>
      <c r="V125" s="28">
        <v>-1.3309999999999999E-7</v>
      </c>
      <c r="W125" s="43" t="s">
        <v>913</v>
      </c>
      <c r="X125" s="43" t="s">
        <v>65</v>
      </c>
    </row>
    <row r="126" spans="2:24" x14ac:dyDescent="0.2">
      <c r="B126" s="43" t="s">
        <v>183</v>
      </c>
      <c r="C126" s="43">
        <v>302</v>
      </c>
      <c r="D126" s="43" t="s">
        <v>554</v>
      </c>
      <c r="E126" s="43" t="s">
        <v>107</v>
      </c>
      <c r="F126" s="43" t="s">
        <v>555</v>
      </c>
      <c r="G126" s="43" t="s">
        <v>383</v>
      </c>
      <c r="H126" s="43">
        <v>60</v>
      </c>
      <c r="I126" s="43">
        <v>-18.546900000000001</v>
      </c>
      <c r="J126" s="28">
        <v>-1.385E-7</v>
      </c>
      <c r="K126" s="43" t="s">
        <v>913</v>
      </c>
      <c r="L126" s="43" t="s">
        <v>65</v>
      </c>
      <c r="N126" s="43" t="s">
        <v>183</v>
      </c>
      <c r="O126" s="43">
        <v>302</v>
      </c>
      <c r="P126" s="43" t="s">
        <v>554</v>
      </c>
      <c r="Q126" s="43" t="s">
        <v>380</v>
      </c>
      <c r="R126" s="43" t="s">
        <v>555</v>
      </c>
      <c r="S126" s="43" t="s">
        <v>383</v>
      </c>
      <c r="T126" s="43">
        <v>10</v>
      </c>
      <c r="U126" s="43">
        <v>-18.6631</v>
      </c>
      <c r="V126" s="28">
        <v>-1.3939999999999999E-7</v>
      </c>
      <c r="W126" s="43" t="s">
        <v>913</v>
      </c>
      <c r="X126" s="43" t="s">
        <v>65</v>
      </c>
    </row>
    <row r="127" spans="2:24" x14ac:dyDescent="0.2">
      <c r="B127" s="43" t="s">
        <v>183</v>
      </c>
      <c r="C127" s="43">
        <v>302</v>
      </c>
      <c r="D127" s="43" t="s">
        <v>554</v>
      </c>
      <c r="E127" s="43" t="s">
        <v>107</v>
      </c>
      <c r="F127" s="43" t="s">
        <v>556</v>
      </c>
      <c r="G127" s="43" t="s">
        <v>385</v>
      </c>
      <c r="H127" s="43">
        <v>60</v>
      </c>
      <c r="I127" s="43">
        <v>-27.947199999999999</v>
      </c>
      <c r="J127" s="28">
        <v>-2.0870000000000001E-7</v>
      </c>
      <c r="K127" s="43" t="s">
        <v>913</v>
      </c>
      <c r="L127" s="43" t="s">
        <v>65</v>
      </c>
      <c r="N127" s="43" t="s">
        <v>183</v>
      </c>
      <c r="O127" s="43">
        <v>302</v>
      </c>
      <c r="P127" s="43" t="s">
        <v>554</v>
      </c>
      <c r="Q127" s="43" t="s">
        <v>380</v>
      </c>
      <c r="R127" s="43" t="s">
        <v>556</v>
      </c>
      <c r="S127" s="43" t="s">
        <v>385</v>
      </c>
      <c r="T127" s="43">
        <v>10</v>
      </c>
      <c r="U127" s="43">
        <v>-27.8262</v>
      </c>
      <c r="V127" s="28">
        <v>-2.0779999999999999E-7</v>
      </c>
      <c r="W127" s="43" t="s">
        <v>913</v>
      </c>
      <c r="X127" s="43" t="s">
        <v>65</v>
      </c>
    </row>
    <row r="128" spans="2:24" x14ac:dyDescent="0.2">
      <c r="B128" s="43" t="s">
        <v>183</v>
      </c>
      <c r="C128" s="43">
        <v>303</v>
      </c>
      <c r="D128" s="43" t="s">
        <v>554</v>
      </c>
      <c r="E128" s="43" t="s">
        <v>107</v>
      </c>
      <c r="F128" s="43" t="s">
        <v>557</v>
      </c>
      <c r="G128" s="43" t="s">
        <v>383</v>
      </c>
      <c r="H128" s="43">
        <v>60</v>
      </c>
      <c r="I128" s="43">
        <v>-28.4773</v>
      </c>
      <c r="J128" s="28">
        <v>-2.248E-7</v>
      </c>
      <c r="K128" s="43" t="s">
        <v>913</v>
      </c>
      <c r="L128" s="43" t="s">
        <v>65</v>
      </c>
      <c r="N128" s="43" t="s">
        <v>183</v>
      </c>
      <c r="O128" s="43">
        <v>303</v>
      </c>
      <c r="P128" s="43" t="s">
        <v>554</v>
      </c>
      <c r="Q128" s="43" t="s">
        <v>380</v>
      </c>
      <c r="R128" s="43" t="s">
        <v>557</v>
      </c>
      <c r="S128" s="43" t="s">
        <v>383</v>
      </c>
      <c r="T128" s="43">
        <v>10</v>
      </c>
      <c r="U128" s="43">
        <v>-28.5943</v>
      </c>
      <c r="V128" s="28">
        <v>-2.2569999999999999E-7</v>
      </c>
      <c r="W128" s="43" t="s">
        <v>913</v>
      </c>
      <c r="X128" s="43" t="s">
        <v>65</v>
      </c>
    </row>
    <row r="129" spans="2:24" x14ac:dyDescent="0.2">
      <c r="B129" s="43" t="s">
        <v>183</v>
      </c>
      <c r="C129" s="43">
        <v>303</v>
      </c>
      <c r="D129" s="43" t="s">
        <v>554</v>
      </c>
      <c r="E129" s="43" t="s">
        <v>107</v>
      </c>
      <c r="F129" s="43" t="s">
        <v>558</v>
      </c>
      <c r="G129" s="43" t="s">
        <v>385</v>
      </c>
      <c r="H129" s="43">
        <v>60</v>
      </c>
      <c r="I129" s="43">
        <v>-28.416</v>
      </c>
      <c r="J129" s="28">
        <v>-2.2429999999999999E-7</v>
      </c>
      <c r="K129" s="43" t="s">
        <v>913</v>
      </c>
      <c r="L129" s="43" t="s">
        <v>65</v>
      </c>
      <c r="N129" s="43" t="s">
        <v>183</v>
      </c>
      <c r="O129" s="43">
        <v>303</v>
      </c>
      <c r="P129" s="43" t="s">
        <v>554</v>
      </c>
      <c r="Q129" s="43" t="s">
        <v>380</v>
      </c>
      <c r="R129" s="43" t="s">
        <v>558</v>
      </c>
      <c r="S129" s="43" t="s">
        <v>385</v>
      </c>
      <c r="T129" s="43">
        <v>10</v>
      </c>
      <c r="U129" s="43">
        <v>-28.299299999999999</v>
      </c>
      <c r="V129" s="28">
        <v>-2.234E-7</v>
      </c>
      <c r="W129" s="43" t="s">
        <v>913</v>
      </c>
      <c r="X129" s="43" t="s">
        <v>65</v>
      </c>
    </row>
    <row r="130" spans="2:24" x14ac:dyDescent="0.2">
      <c r="B130" s="43" t="s">
        <v>183</v>
      </c>
      <c r="C130" s="43">
        <v>304</v>
      </c>
      <c r="D130" s="43" t="s">
        <v>554</v>
      </c>
      <c r="E130" s="43" t="s">
        <v>107</v>
      </c>
      <c r="F130" s="43" t="s">
        <v>559</v>
      </c>
      <c r="G130" s="43" t="s">
        <v>383</v>
      </c>
      <c r="H130" s="43">
        <v>60</v>
      </c>
      <c r="I130" s="43">
        <v>-28.004300000000001</v>
      </c>
      <c r="J130" s="28">
        <v>-2.0910000000000001E-7</v>
      </c>
      <c r="K130" s="43" t="s">
        <v>913</v>
      </c>
      <c r="L130" s="43" t="s">
        <v>65</v>
      </c>
      <c r="N130" s="43" t="s">
        <v>183</v>
      </c>
      <c r="O130" s="43">
        <v>304</v>
      </c>
      <c r="P130" s="43" t="s">
        <v>554</v>
      </c>
      <c r="Q130" s="43" t="s">
        <v>380</v>
      </c>
      <c r="R130" s="43" t="s">
        <v>559</v>
      </c>
      <c r="S130" s="43" t="s">
        <v>383</v>
      </c>
      <c r="T130" s="43">
        <v>10</v>
      </c>
      <c r="U130" s="43">
        <v>-28.126000000000001</v>
      </c>
      <c r="V130" s="28">
        <v>-2.1E-7</v>
      </c>
      <c r="W130" s="43" t="s">
        <v>913</v>
      </c>
      <c r="X130" s="43" t="s">
        <v>65</v>
      </c>
    </row>
    <row r="131" spans="2:24" x14ac:dyDescent="0.2">
      <c r="B131" s="43" t="s">
        <v>183</v>
      </c>
      <c r="C131" s="43">
        <v>304</v>
      </c>
      <c r="D131" s="43" t="s">
        <v>554</v>
      </c>
      <c r="E131" s="43" t="s">
        <v>107</v>
      </c>
      <c r="F131" s="43" t="s">
        <v>560</v>
      </c>
      <c r="G131" s="43" t="s">
        <v>385</v>
      </c>
      <c r="H131" s="43">
        <v>60</v>
      </c>
      <c r="I131" s="43">
        <v>-18.487300000000001</v>
      </c>
      <c r="J131" s="28">
        <v>-1.3799999999999999E-7</v>
      </c>
      <c r="K131" s="43" t="s">
        <v>913</v>
      </c>
      <c r="L131" s="43" t="s">
        <v>65</v>
      </c>
      <c r="N131" s="43" t="s">
        <v>183</v>
      </c>
      <c r="O131" s="43">
        <v>304</v>
      </c>
      <c r="P131" s="43" t="s">
        <v>554</v>
      </c>
      <c r="Q131" s="43" t="s">
        <v>380</v>
      </c>
      <c r="R131" s="43" t="s">
        <v>560</v>
      </c>
      <c r="S131" s="43" t="s">
        <v>385</v>
      </c>
      <c r="T131" s="43">
        <v>10</v>
      </c>
      <c r="U131" s="43">
        <v>-18.370699999999999</v>
      </c>
      <c r="V131" s="28">
        <v>-1.3720000000000001E-7</v>
      </c>
      <c r="W131" s="43" t="s">
        <v>913</v>
      </c>
      <c r="X131" s="43" t="s">
        <v>65</v>
      </c>
    </row>
    <row r="132" spans="2:24" x14ac:dyDescent="0.2">
      <c r="B132" s="43" t="s">
        <v>183</v>
      </c>
      <c r="C132" s="43">
        <v>305</v>
      </c>
      <c r="D132" s="43" t="s">
        <v>561</v>
      </c>
      <c r="E132" s="43" t="s">
        <v>107</v>
      </c>
      <c r="F132" s="43" t="s">
        <v>562</v>
      </c>
      <c r="G132" s="43" t="s">
        <v>383</v>
      </c>
      <c r="H132" s="43">
        <v>60</v>
      </c>
      <c r="I132" s="43">
        <v>-18.032399999999999</v>
      </c>
      <c r="J132" s="28">
        <v>-1.346E-7</v>
      </c>
      <c r="K132" s="43" t="s">
        <v>913</v>
      </c>
      <c r="L132" s="43" t="s">
        <v>65</v>
      </c>
      <c r="N132" s="43" t="s">
        <v>183</v>
      </c>
      <c r="O132" s="43">
        <v>305</v>
      </c>
      <c r="P132" s="43" t="s">
        <v>561</v>
      </c>
      <c r="Q132" s="43" t="s">
        <v>380</v>
      </c>
      <c r="R132" s="43" t="s">
        <v>562</v>
      </c>
      <c r="S132" s="43" t="s">
        <v>383</v>
      </c>
      <c r="T132" s="43">
        <v>10</v>
      </c>
      <c r="U132" s="43">
        <v>-18.1509</v>
      </c>
      <c r="V132" s="28">
        <v>-1.3549999999999999E-7</v>
      </c>
      <c r="W132" s="43" t="s">
        <v>913</v>
      </c>
      <c r="X132" s="43" t="s">
        <v>65</v>
      </c>
    </row>
    <row r="133" spans="2:24" x14ac:dyDescent="0.2">
      <c r="B133" s="43" t="s">
        <v>183</v>
      </c>
      <c r="C133" s="43">
        <v>305</v>
      </c>
      <c r="D133" s="43" t="s">
        <v>561</v>
      </c>
      <c r="E133" s="43" t="s">
        <v>107</v>
      </c>
      <c r="F133" s="43" t="s">
        <v>563</v>
      </c>
      <c r="G133" s="43" t="s">
        <v>385</v>
      </c>
      <c r="H133" s="43">
        <v>60</v>
      </c>
      <c r="I133" s="43">
        <v>-27.828800000000001</v>
      </c>
      <c r="J133" s="28">
        <v>-2.0779999999999999E-7</v>
      </c>
      <c r="K133" s="43" t="s">
        <v>913</v>
      </c>
      <c r="L133" s="43" t="s">
        <v>65</v>
      </c>
      <c r="N133" s="43" t="s">
        <v>183</v>
      </c>
      <c r="O133" s="43">
        <v>305</v>
      </c>
      <c r="P133" s="43" t="s">
        <v>561</v>
      </c>
      <c r="Q133" s="43" t="s">
        <v>380</v>
      </c>
      <c r="R133" s="43" t="s">
        <v>563</v>
      </c>
      <c r="S133" s="43" t="s">
        <v>385</v>
      </c>
      <c r="T133" s="43">
        <v>10</v>
      </c>
      <c r="U133" s="43">
        <v>-27.700900000000001</v>
      </c>
      <c r="V133" s="28">
        <v>-2.068E-7</v>
      </c>
      <c r="W133" s="43" t="s">
        <v>913</v>
      </c>
      <c r="X133" s="43" t="s">
        <v>65</v>
      </c>
    </row>
    <row r="134" spans="2:24" x14ac:dyDescent="0.2">
      <c r="B134" s="43" t="s">
        <v>183</v>
      </c>
      <c r="C134" s="43">
        <v>275</v>
      </c>
      <c r="D134" s="43" t="s">
        <v>564</v>
      </c>
      <c r="E134" s="43" t="s">
        <v>107</v>
      </c>
      <c r="F134" s="43" t="s">
        <v>565</v>
      </c>
      <c r="G134" s="43" t="s">
        <v>383</v>
      </c>
      <c r="H134" s="43">
        <v>60</v>
      </c>
      <c r="I134" s="43">
        <v>-71.808300000000003</v>
      </c>
      <c r="J134" s="28">
        <v>-9.9999999999999995E-7</v>
      </c>
      <c r="K134" s="43" t="s">
        <v>913</v>
      </c>
      <c r="L134" s="43" t="s">
        <v>65</v>
      </c>
      <c r="N134" s="43" t="s">
        <v>183</v>
      </c>
      <c r="O134" s="43">
        <v>275</v>
      </c>
      <c r="P134" s="43" t="s">
        <v>564</v>
      </c>
      <c r="Q134" s="43" t="s">
        <v>380</v>
      </c>
      <c r="R134" s="43" t="s">
        <v>565</v>
      </c>
      <c r="S134" s="43" t="s">
        <v>383</v>
      </c>
      <c r="T134" s="43">
        <v>10</v>
      </c>
      <c r="U134" s="43">
        <v>-71.839500000000001</v>
      </c>
      <c r="V134" s="28">
        <v>-9.9999999999999995E-7</v>
      </c>
      <c r="W134" s="43" t="s">
        <v>913</v>
      </c>
      <c r="X134" s="43" t="s">
        <v>65</v>
      </c>
    </row>
    <row r="135" spans="2:24" x14ac:dyDescent="0.2">
      <c r="B135" s="43" t="s">
        <v>183</v>
      </c>
      <c r="C135" s="43">
        <v>275</v>
      </c>
      <c r="D135" s="43" t="s">
        <v>564</v>
      </c>
      <c r="E135" s="43" t="s">
        <v>107</v>
      </c>
      <c r="F135" s="43" t="s">
        <v>566</v>
      </c>
      <c r="G135" s="43" t="s">
        <v>385</v>
      </c>
      <c r="H135" s="43">
        <v>60</v>
      </c>
      <c r="I135" s="43">
        <v>-20.884799999999998</v>
      </c>
      <c r="J135" s="28">
        <v>-1.976E-7</v>
      </c>
      <c r="K135" s="43" t="s">
        <v>913</v>
      </c>
      <c r="L135" s="43" t="s">
        <v>65</v>
      </c>
      <c r="N135" s="43" t="s">
        <v>183</v>
      </c>
      <c r="O135" s="43">
        <v>275</v>
      </c>
      <c r="P135" s="43" t="s">
        <v>564</v>
      </c>
      <c r="Q135" s="43" t="s">
        <v>380</v>
      </c>
      <c r="R135" s="43" t="s">
        <v>566</v>
      </c>
      <c r="S135" s="43" t="s">
        <v>385</v>
      </c>
      <c r="T135" s="43">
        <v>10</v>
      </c>
      <c r="U135" s="43">
        <v>-20.879000000000001</v>
      </c>
      <c r="V135" s="28">
        <v>-1.976E-7</v>
      </c>
      <c r="W135" s="43" t="s">
        <v>913</v>
      </c>
      <c r="X135" s="43" t="s">
        <v>65</v>
      </c>
    </row>
    <row r="136" spans="2:24" x14ac:dyDescent="0.2">
      <c r="B136" s="43" t="s">
        <v>183</v>
      </c>
      <c r="C136" s="43">
        <v>278</v>
      </c>
      <c r="D136" s="43" t="s">
        <v>567</v>
      </c>
      <c r="E136" s="43" t="s">
        <v>107</v>
      </c>
      <c r="F136" s="43" t="s">
        <v>568</v>
      </c>
      <c r="G136" s="43" t="s">
        <v>383</v>
      </c>
      <c r="H136" s="43">
        <v>60</v>
      </c>
      <c r="I136" s="43">
        <v>-107.8292</v>
      </c>
      <c r="J136" s="28">
        <v>-9.9999999999999995E-7</v>
      </c>
      <c r="K136" s="43" t="s">
        <v>913</v>
      </c>
      <c r="L136" s="43" t="s">
        <v>65</v>
      </c>
      <c r="N136" s="43" t="s">
        <v>183</v>
      </c>
      <c r="O136" s="43">
        <v>278</v>
      </c>
      <c r="P136" s="43" t="s">
        <v>567</v>
      </c>
      <c r="Q136" s="43" t="s">
        <v>380</v>
      </c>
      <c r="R136" s="43" t="s">
        <v>568</v>
      </c>
      <c r="S136" s="43" t="s">
        <v>383</v>
      </c>
      <c r="T136" s="43">
        <v>10</v>
      </c>
      <c r="U136" s="43">
        <v>-107.82640000000001</v>
      </c>
      <c r="V136" s="28">
        <v>-9.9999999999999995E-7</v>
      </c>
      <c r="W136" s="43" t="s">
        <v>913</v>
      </c>
      <c r="X136" s="43" t="s">
        <v>65</v>
      </c>
    </row>
    <row r="137" spans="2:24" x14ac:dyDescent="0.2">
      <c r="B137" s="43" t="s">
        <v>183</v>
      </c>
      <c r="C137" s="43">
        <v>278</v>
      </c>
      <c r="D137" s="43" t="s">
        <v>567</v>
      </c>
      <c r="E137" s="43" t="s">
        <v>107</v>
      </c>
      <c r="F137" s="43" t="s">
        <v>569</v>
      </c>
      <c r="G137" s="43" t="s">
        <v>385</v>
      </c>
      <c r="H137" s="43">
        <v>60</v>
      </c>
      <c r="I137" s="43">
        <v>-21.958200000000001</v>
      </c>
      <c r="J137" s="28">
        <v>-1.4810000000000001E-7</v>
      </c>
      <c r="K137" s="43" t="s">
        <v>913</v>
      </c>
      <c r="L137" s="43" t="s">
        <v>65</v>
      </c>
      <c r="N137" s="43" t="s">
        <v>183</v>
      </c>
      <c r="O137" s="43">
        <v>278</v>
      </c>
      <c r="P137" s="43" t="s">
        <v>567</v>
      </c>
      <c r="Q137" s="43" t="s">
        <v>380</v>
      </c>
      <c r="R137" s="43" t="s">
        <v>569</v>
      </c>
      <c r="S137" s="43" t="s">
        <v>385</v>
      </c>
      <c r="T137" s="43">
        <v>10</v>
      </c>
      <c r="U137" s="43">
        <v>-21.962900000000001</v>
      </c>
      <c r="V137" s="28">
        <v>-1.4810000000000001E-7</v>
      </c>
      <c r="W137" s="43" t="s">
        <v>913</v>
      </c>
      <c r="X137" s="43" t="s">
        <v>65</v>
      </c>
    </row>
    <row r="138" spans="2:24" x14ac:dyDescent="0.2">
      <c r="B138" s="43" t="s">
        <v>183</v>
      </c>
      <c r="C138" s="43">
        <v>281</v>
      </c>
      <c r="D138" s="43" t="s">
        <v>570</v>
      </c>
      <c r="E138" s="43" t="s">
        <v>107</v>
      </c>
      <c r="F138" s="43" t="s">
        <v>571</v>
      </c>
      <c r="G138" s="43" t="s">
        <v>383</v>
      </c>
      <c r="H138" s="43">
        <v>60</v>
      </c>
      <c r="I138" s="43">
        <v>-91.853399999999993</v>
      </c>
      <c r="J138" s="28">
        <v>-9.9999999999999995E-7</v>
      </c>
      <c r="K138" s="43" t="s">
        <v>913</v>
      </c>
      <c r="L138" s="43" t="s">
        <v>65</v>
      </c>
      <c r="N138" s="43" t="s">
        <v>183</v>
      </c>
      <c r="O138" s="43">
        <v>281</v>
      </c>
      <c r="P138" s="43" t="s">
        <v>570</v>
      </c>
      <c r="Q138" s="43" t="s">
        <v>380</v>
      </c>
      <c r="R138" s="43" t="s">
        <v>571</v>
      </c>
      <c r="S138" s="43" t="s">
        <v>383</v>
      </c>
      <c r="T138" s="43">
        <v>10</v>
      </c>
      <c r="U138" s="43">
        <v>-91.822299999999998</v>
      </c>
      <c r="V138" s="28">
        <v>-9.9999999999999995E-7</v>
      </c>
      <c r="W138" s="43" t="s">
        <v>913</v>
      </c>
      <c r="X138" s="43" t="s">
        <v>65</v>
      </c>
    </row>
    <row r="139" spans="2:24" x14ac:dyDescent="0.2">
      <c r="B139" s="43" t="s">
        <v>183</v>
      </c>
      <c r="C139" s="43">
        <v>281</v>
      </c>
      <c r="D139" s="43" t="s">
        <v>570</v>
      </c>
      <c r="E139" s="43" t="s">
        <v>107</v>
      </c>
      <c r="F139" s="43" t="s">
        <v>572</v>
      </c>
      <c r="G139" s="43" t="s">
        <v>385</v>
      </c>
      <c r="H139" s="43">
        <v>60</v>
      </c>
      <c r="I139" s="43">
        <v>-30.8977</v>
      </c>
      <c r="J139" s="28">
        <v>-2.184E-7</v>
      </c>
      <c r="K139" s="43" t="s">
        <v>913</v>
      </c>
      <c r="L139" s="43" t="s">
        <v>65</v>
      </c>
      <c r="N139" s="43" t="s">
        <v>183</v>
      </c>
      <c r="O139" s="43">
        <v>281</v>
      </c>
      <c r="P139" s="43" t="s">
        <v>570</v>
      </c>
      <c r="Q139" s="43" t="s">
        <v>380</v>
      </c>
      <c r="R139" s="43" t="s">
        <v>572</v>
      </c>
      <c r="S139" s="43" t="s">
        <v>385</v>
      </c>
      <c r="T139" s="43">
        <v>10</v>
      </c>
      <c r="U139" s="43">
        <v>-30.9312</v>
      </c>
      <c r="V139" s="28">
        <v>-2.1860000000000001E-7</v>
      </c>
      <c r="W139" s="43" t="s">
        <v>913</v>
      </c>
      <c r="X139" s="43" t="s">
        <v>65</v>
      </c>
    </row>
    <row r="140" spans="2:24" x14ac:dyDescent="0.2">
      <c r="B140" s="43" t="s">
        <v>183</v>
      </c>
      <c r="C140" s="43">
        <v>284</v>
      </c>
      <c r="D140" s="43" t="s">
        <v>573</v>
      </c>
      <c r="E140" s="43" t="s">
        <v>107</v>
      </c>
      <c r="F140" s="43" t="s">
        <v>574</v>
      </c>
      <c r="G140" s="43" t="s">
        <v>383</v>
      </c>
      <c r="H140" s="43">
        <v>60</v>
      </c>
      <c r="I140" s="43">
        <v>-91.816400000000002</v>
      </c>
      <c r="J140" s="28">
        <v>-9.9999999999999995E-7</v>
      </c>
      <c r="K140" s="43" t="s">
        <v>913</v>
      </c>
      <c r="L140" s="43" t="s">
        <v>65</v>
      </c>
      <c r="N140" s="43" t="s">
        <v>183</v>
      </c>
      <c r="O140" s="43">
        <v>284</v>
      </c>
      <c r="P140" s="43" t="s">
        <v>573</v>
      </c>
      <c r="Q140" s="43" t="s">
        <v>380</v>
      </c>
      <c r="R140" s="43" t="s">
        <v>574</v>
      </c>
      <c r="S140" s="43" t="s">
        <v>383</v>
      </c>
      <c r="T140" s="43">
        <v>10</v>
      </c>
      <c r="U140" s="43">
        <v>-91.756</v>
      </c>
      <c r="V140" s="28">
        <v>-9.9999999999999995E-7</v>
      </c>
      <c r="W140" s="43" t="s">
        <v>913</v>
      </c>
      <c r="X140" s="43" t="s">
        <v>65</v>
      </c>
    </row>
    <row r="141" spans="2:24" x14ac:dyDescent="0.2">
      <c r="B141" s="43" t="s">
        <v>183</v>
      </c>
      <c r="C141" s="43">
        <v>284</v>
      </c>
      <c r="D141" s="43" t="s">
        <v>573</v>
      </c>
      <c r="E141" s="43" t="s">
        <v>107</v>
      </c>
      <c r="F141" s="43" t="s">
        <v>575</v>
      </c>
      <c r="G141" s="43" t="s">
        <v>385</v>
      </c>
      <c r="H141" s="43">
        <v>60</v>
      </c>
      <c r="I141" s="43">
        <v>-30.935099999999998</v>
      </c>
      <c r="J141" s="28">
        <v>-2.1869999999999999E-7</v>
      </c>
      <c r="K141" s="43" t="s">
        <v>913</v>
      </c>
      <c r="L141" s="43" t="s">
        <v>65</v>
      </c>
      <c r="N141" s="43" t="s">
        <v>183</v>
      </c>
      <c r="O141" s="43">
        <v>284</v>
      </c>
      <c r="P141" s="43" t="s">
        <v>573</v>
      </c>
      <c r="Q141" s="43" t="s">
        <v>380</v>
      </c>
      <c r="R141" s="43" t="s">
        <v>575</v>
      </c>
      <c r="S141" s="43" t="s">
        <v>385</v>
      </c>
      <c r="T141" s="43">
        <v>10</v>
      </c>
      <c r="U141" s="43">
        <v>-30.997499999999999</v>
      </c>
      <c r="V141" s="28">
        <v>-2.191E-7</v>
      </c>
      <c r="W141" s="43" t="s">
        <v>913</v>
      </c>
      <c r="X141" s="43" t="s">
        <v>65</v>
      </c>
    </row>
    <row r="142" spans="2:24" x14ac:dyDescent="0.2">
      <c r="B142" s="43" t="s">
        <v>183</v>
      </c>
      <c r="C142" s="43">
        <v>287</v>
      </c>
      <c r="D142" s="43" t="s">
        <v>576</v>
      </c>
      <c r="E142" s="43" t="s">
        <v>107</v>
      </c>
      <c r="F142" s="43" t="s">
        <v>577</v>
      </c>
      <c r="G142" s="43" t="s">
        <v>383</v>
      </c>
      <c r="H142" s="43">
        <v>60</v>
      </c>
      <c r="I142" s="43">
        <v>-107.7032</v>
      </c>
      <c r="J142" s="28">
        <v>-9.9999999999999995E-7</v>
      </c>
      <c r="K142" s="43" t="s">
        <v>913</v>
      </c>
      <c r="L142" s="43" t="s">
        <v>65</v>
      </c>
      <c r="N142" s="43" t="s">
        <v>183</v>
      </c>
      <c r="O142" s="43">
        <v>287</v>
      </c>
      <c r="P142" s="43" t="s">
        <v>576</v>
      </c>
      <c r="Q142" s="43" t="s">
        <v>380</v>
      </c>
      <c r="R142" s="43" t="s">
        <v>577</v>
      </c>
      <c r="S142" s="43" t="s">
        <v>383</v>
      </c>
      <c r="T142" s="43">
        <v>10</v>
      </c>
      <c r="U142" s="43">
        <v>-107.6122</v>
      </c>
      <c r="V142" s="28">
        <v>-9.9999999999999995E-7</v>
      </c>
      <c r="W142" s="43" t="s">
        <v>913</v>
      </c>
      <c r="X142" s="43" t="s">
        <v>65</v>
      </c>
    </row>
    <row r="143" spans="2:24" x14ac:dyDescent="0.2">
      <c r="B143" s="43" t="s">
        <v>183</v>
      </c>
      <c r="C143" s="43">
        <v>287</v>
      </c>
      <c r="D143" s="43" t="s">
        <v>576</v>
      </c>
      <c r="E143" s="43" t="s">
        <v>107</v>
      </c>
      <c r="F143" s="43" t="s">
        <v>578</v>
      </c>
      <c r="G143" s="43" t="s">
        <v>385</v>
      </c>
      <c r="H143" s="43">
        <v>60</v>
      </c>
      <c r="I143" s="43">
        <v>-22.0746</v>
      </c>
      <c r="J143" s="28">
        <v>-1.4889999999999999E-7</v>
      </c>
      <c r="K143" s="43" t="s">
        <v>913</v>
      </c>
      <c r="L143" s="43" t="s">
        <v>65</v>
      </c>
      <c r="N143" s="43" t="s">
        <v>183</v>
      </c>
      <c r="O143" s="43">
        <v>287</v>
      </c>
      <c r="P143" s="43" t="s">
        <v>576</v>
      </c>
      <c r="Q143" s="43" t="s">
        <v>380</v>
      </c>
      <c r="R143" s="43" t="s">
        <v>578</v>
      </c>
      <c r="S143" s="43" t="s">
        <v>385</v>
      </c>
      <c r="T143" s="43">
        <v>10</v>
      </c>
      <c r="U143" s="43">
        <v>-22.1648</v>
      </c>
      <c r="V143" s="28">
        <v>-1.4950000000000001E-7</v>
      </c>
      <c r="W143" s="43" t="s">
        <v>913</v>
      </c>
      <c r="X143" s="43" t="s">
        <v>65</v>
      </c>
    </row>
    <row r="144" spans="2:24" x14ac:dyDescent="0.2">
      <c r="B144" s="43" t="s">
        <v>183</v>
      </c>
      <c r="C144" s="43">
        <v>290</v>
      </c>
      <c r="D144" s="43" t="s">
        <v>579</v>
      </c>
      <c r="E144" s="43" t="s">
        <v>107</v>
      </c>
      <c r="F144" s="43" t="s">
        <v>580</v>
      </c>
      <c r="G144" s="43" t="s">
        <v>383</v>
      </c>
      <c r="H144" s="43">
        <v>60</v>
      </c>
      <c r="I144" s="43">
        <v>-71.666499999999999</v>
      </c>
      <c r="J144" s="28">
        <v>-9.9999999999999995E-7</v>
      </c>
      <c r="K144" s="43" t="s">
        <v>913</v>
      </c>
      <c r="L144" s="43" t="s">
        <v>65</v>
      </c>
      <c r="N144" s="43" t="s">
        <v>183</v>
      </c>
      <c r="O144" s="43">
        <v>290</v>
      </c>
      <c r="P144" s="43" t="s">
        <v>579</v>
      </c>
      <c r="Q144" s="43" t="s">
        <v>380</v>
      </c>
      <c r="R144" s="43" t="s">
        <v>580</v>
      </c>
      <c r="S144" s="43" t="s">
        <v>383</v>
      </c>
      <c r="T144" s="43">
        <v>10</v>
      </c>
      <c r="U144" s="43">
        <v>-71.567300000000003</v>
      </c>
      <c r="V144" s="28">
        <v>-9.9999999999999995E-7</v>
      </c>
      <c r="W144" s="43" t="s">
        <v>913</v>
      </c>
      <c r="X144" s="43" t="s">
        <v>65</v>
      </c>
    </row>
    <row r="145" spans="2:24" x14ac:dyDescent="0.2">
      <c r="B145" s="43" t="s">
        <v>183</v>
      </c>
      <c r="C145" s="43">
        <v>290</v>
      </c>
      <c r="D145" s="43" t="s">
        <v>579</v>
      </c>
      <c r="E145" s="43" t="s">
        <v>107</v>
      </c>
      <c r="F145" s="43" t="s">
        <v>581</v>
      </c>
      <c r="G145" s="43" t="s">
        <v>385</v>
      </c>
      <c r="H145" s="43">
        <v>60</v>
      </c>
      <c r="I145" s="43">
        <v>-21.007100000000001</v>
      </c>
      <c r="J145" s="28">
        <v>-1.9880000000000001E-7</v>
      </c>
      <c r="K145" s="43" t="s">
        <v>913</v>
      </c>
      <c r="L145" s="43" t="s">
        <v>65</v>
      </c>
      <c r="N145" s="43" t="s">
        <v>183</v>
      </c>
      <c r="O145" s="43">
        <v>290</v>
      </c>
      <c r="P145" s="43" t="s">
        <v>579</v>
      </c>
      <c r="Q145" s="43" t="s">
        <v>380</v>
      </c>
      <c r="R145" s="43" t="s">
        <v>581</v>
      </c>
      <c r="S145" s="43" t="s">
        <v>385</v>
      </c>
      <c r="T145" s="43">
        <v>10</v>
      </c>
      <c r="U145" s="43">
        <v>-21.0822</v>
      </c>
      <c r="V145" s="28">
        <v>-1.9950000000000001E-7</v>
      </c>
      <c r="W145" s="43" t="s">
        <v>913</v>
      </c>
      <c r="X145" s="43" t="s">
        <v>65</v>
      </c>
    </row>
    <row r="146" spans="2:24" x14ac:dyDescent="0.2">
      <c r="B146" s="43" t="s">
        <v>183</v>
      </c>
      <c r="C146" s="43">
        <v>306</v>
      </c>
      <c r="D146" s="43" t="s">
        <v>582</v>
      </c>
      <c r="E146" s="43" t="s">
        <v>107</v>
      </c>
      <c r="F146" s="43" t="s">
        <v>583</v>
      </c>
      <c r="G146" s="43" t="s">
        <v>383</v>
      </c>
      <c r="H146" s="43">
        <v>60</v>
      </c>
      <c r="I146" s="43">
        <v>-18.054099999999998</v>
      </c>
      <c r="J146" s="28">
        <v>-1.8510000000000001E-7</v>
      </c>
      <c r="K146" s="43" t="s">
        <v>913</v>
      </c>
      <c r="L146" s="43" t="s">
        <v>65</v>
      </c>
      <c r="N146" s="43" t="s">
        <v>183</v>
      </c>
      <c r="O146" s="43">
        <v>306</v>
      </c>
      <c r="P146" s="43" t="s">
        <v>582</v>
      </c>
      <c r="Q146" s="43" t="s">
        <v>380</v>
      </c>
      <c r="R146" s="43" t="s">
        <v>583</v>
      </c>
      <c r="S146" s="43" t="s">
        <v>383</v>
      </c>
      <c r="T146" s="43">
        <v>10</v>
      </c>
      <c r="U146" s="43">
        <v>-18.172000000000001</v>
      </c>
      <c r="V146" s="28">
        <v>-1.8629999999999999E-7</v>
      </c>
      <c r="W146" s="43" t="s">
        <v>913</v>
      </c>
      <c r="X146" s="43" t="s">
        <v>65</v>
      </c>
    </row>
    <row r="147" spans="2:24" x14ac:dyDescent="0.2">
      <c r="B147" s="43" t="s">
        <v>183</v>
      </c>
      <c r="C147" s="43">
        <v>306</v>
      </c>
      <c r="D147" s="43" t="s">
        <v>582</v>
      </c>
      <c r="E147" s="43" t="s">
        <v>107</v>
      </c>
      <c r="F147" s="43" t="s">
        <v>584</v>
      </c>
      <c r="G147" s="43" t="s">
        <v>385</v>
      </c>
      <c r="H147" s="43">
        <v>60</v>
      </c>
      <c r="I147" s="43">
        <v>-23.213200000000001</v>
      </c>
      <c r="J147" s="28">
        <v>-2.3799999999999999E-7</v>
      </c>
      <c r="K147" s="43" t="s">
        <v>913</v>
      </c>
      <c r="L147" s="43" t="s">
        <v>65</v>
      </c>
      <c r="N147" s="43" t="s">
        <v>183</v>
      </c>
      <c r="O147" s="43">
        <v>306</v>
      </c>
      <c r="P147" s="43" t="s">
        <v>582</v>
      </c>
      <c r="Q147" s="43" t="s">
        <v>380</v>
      </c>
      <c r="R147" s="43" t="s">
        <v>584</v>
      </c>
      <c r="S147" s="43" t="s">
        <v>385</v>
      </c>
      <c r="T147" s="43">
        <v>10</v>
      </c>
      <c r="U147" s="43">
        <v>-23.0944</v>
      </c>
      <c r="V147" s="28">
        <v>-2.367E-7</v>
      </c>
      <c r="W147" s="43" t="s">
        <v>913</v>
      </c>
      <c r="X147" s="43" t="s">
        <v>65</v>
      </c>
    </row>
    <row r="148" spans="2:24" x14ac:dyDescent="0.2">
      <c r="B148" s="43" t="s">
        <v>183</v>
      </c>
      <c r="C148" s="43">
        <v>307</v>
      </c>
      <c r="D148" s="43" t="s">
        <v>585</v>
      </c>
      <c r="E148" s="43" t="s">
        <v>107</v>
      </c>
      <c r="F148" s="43" t="s">
        <v>586</v>
      </c>
      <c r="G148" s="43" t="s">
        <v>383</v>
      </c>
      <c r="H148" s="43">
        <v>60</v>
      </c>
      <c r="I148" s="43">
        <v>-21.837299999999999</v>
      </c>
      <c r="J148" s="28">
        <v>-1.941E-7</v>
      </c>
      <c r="K148" s="43" t="s">
        <v>913</v>
      </c>
      <c r="L148" s="43" t="s">
        <v>65</v>
      </c>
      <c r="N148" s="43" t="s">
        <v>183</v>
      </c>
      <c r="O148" s="43">
        <v>307</v>
      </c>
      <c r="P148" s="43" t="s">
        <v>585</v>
      </c>
      <c r="Q148" s="43" t="s">
        <v>380</v>
      </c>
      <c r="R148" s="43" t="s">
        <v>586</v>
      </c>
      <c r="S148" s="43" t="s">
        <v>383</v>
      </c>
      <c r="T148" s="43">
        <v>10</v>
      </c>
      <c r="U148" s="43">
        <v>-21.975200000000001</v>
      </c>
      <c r="V148" s="28">
        <v>-1.9530000000000001E-7</v>
      </c>
      <c r="W148" s="43" t="s">
        <v>913</v>
      </c>
      <c r="X148" s="43" t="s">
        <v>65</v>
      </c>
    </row>
    <row r="149" spans="2:24" x14ac:dyDescent="0.2">
      <c r="B149" s="43" t="s">
        <v>183</v>
      </c>
      <c r="C149" s="43">
        <v>307</v>
      </c>
      <c r="D149" s="43" t="s">
        <v>585</v>
      </c>
      <c r="E149" s="43" t="s">
        <v>107</v>
      </c>
      <c r="F149" s="43" t="s">
        <v>587</v>
      </c>
      <c r="G149" s="43" t="s">
        <v>385</v>
      </c>
      <c r="H149" s="43">
        <v>60</v>
      </c>
      <c r="I149" s="43">
        <v>-14.3355</v>
      </c>
      <c r="J149" s="28">
        <v>-1.2739999999999999E-7</v>
      </c>
      <c r="K149" s="43" t="s">
        <v>913</v>
      </c>
      <c r="L149" s="43" t="s">
        <v>65</v>
      </c>
      <c r="N149" s="43" t="s">
        <v>183</v>
      </c>
      <c r="O149" s="43">
        <v>307</v>
      </c>
      <c r="P149" s="43" t="s">
        <v>585</v>
      </c>
      <c r="Q149" s="43" t="s">
        <v>380</v>
      </c>
      <c r="R149" s="43" t="s">
        <v>587</v>
      </c>
      <c r="S149" s="43" t="s">
        <v>385</v>
      </c>
      <c r="T149" s="43">
        <v>10</v>
      </c>
      <c r="U149" s="43">
        <v>-14.205299999999999</v>
      </c>
      <c r="V149" s="28">
        <v>-1.2630000000000001E-7</v>
      </c>
      <c r="W149" s="43" t="s">
        <v>913</v>
      </c>
      <c r="X149" s="43" t="s">
        <v>65</v>
      </c>
    </row>
    <row r="150" spans="2:24" x14ac:dyDescent="0.2">
      <c r="B150" s="43" t="s">
        <v>183</v>
      </c>
      <c r="C150" s="43">
        <v>308</v>
      </c>
      <c r="D150" s="43" t="s">
        <v>585</v>
      </c>
      <c r="E150" s="43" t="s">
        <v>107</v>
      </c>
      <c r="F150" s="43" t="s">
        <v>588</v>
      </c>
      <c r="G150" s="43" t="s">
        <v>383</v>
      </c>
      <c r="H150" s="43">
        <v>60</v>
      </c>
      <c r="I150" s="43">
        <v>-14.506399999999999</v>
      </c>
      <c r="J150" s="28">
        <v>-1.216E-7</v>
      </c>
      <c r="K150" s="43" t="s">
        <v>913</v>
      </c>
      <c r="L150" s="43" t="s">
        <v>65</v>
      </c>
      <c r="N150" s="43" t="s">
        <v>183</v>
      </c>
      <c r="O150" s="43">
        <v>308</v>
      </c>
      <c r="P150" s="43" t="s">
        <v>585</v>
      </c>
      <c r="Q150" s="43" t="s">
        <v>380</v>
      </c>
      <c r="R150" s="43" t="s">
        <v>588</v>
      </c>
      <c r="S150" s="43" t="s">
        <v>383</v>
      </c>
      <c r="T150" s="43">
        <v>10</v>
      </c>
      <c r="U150" s="43">
        <v>-14.641299999999999</v>
      </c>
      <c r="V150" s="28">
        <v>-1.2270000000000001E-7</v>
      </c>
      <c r="W150" s="43" t="s">
        <v>913</v>
      </c>
      <c r="X150" s="43" t="s">
        <v>65</v>
      </c>
    </row>
    <row r="151" spans="2:24" x14ac:dyDescent="0.2">
      <c r="B151" s="43" t="s">
        <v>183</v>
      </c>
      <c r="C151" s="43">
        <v>308</v>
      </c>
      <c r="D151" s="43" t="s">
        <v>585</v>
      </c>
      <c r="E151" s="43" t="s">
        <v>107</v>
      </c>
      <c r="F151" s="43" t="s">
        <v>589</v>
      </c>
      <c r="G151" s="43" t="s">
        <v>385</v>
      </c>
      <c r="H151" s="43">
        <v>60</v>
      </c>
      <c r="I151" s="43">
        <v>-14.378</v>
      </c>
      <c r="J151" s="28">
        <v>-1.205E-7</v>
      </c>
      <c r="K151" s="43" t="s">
        <v>913</v>
      </c>
      <c r="L151" s="43" t="s">
        <v>65</v>
      </c>
      <c r="N151" s="43" t="s">
        <v>183</v>
      </c>
      <c r="O151" s="43">
        <v>308</v>
      </c>
      <c r="P151" s="43" t="s">
        <v>585</v>
      </c>
      <c r="Q151" s="43" t="s">
        <v>380</v>
      </c>
      <c r="R151" s="43" t="s">
        <v>589</v>
      </c>
      <c r="S151" s="43" t="s">
        <v>385</v>
      </c>
      <c r="T151" s="43">
        <v>10</v>
      </c>
      <c r="U151" s="43">
        <v>-14.244300000000001</v>
      </c>
      <c r="V151" s="28">
        <v>-1.194E-7</v>
      </c>
      <c r="W151" s="43" t="s">
        <v>913</v>
      </c>
      <c r="X151" s="43" t="s">
        <v>65</v>
      </c>
    </row>
    <row r="152" spans="2:24" x14ac:dyDescent="0.2">
      <c r="B152" s="43" t="s">
        <v>183</v>
      </c>
      <c r="C152" s="43">
        <v>309</v>
      </c>
      <c r="D152" s="43" t="s">
        <v>585</v>
      </c>
      <c r="E152" s="43" t="s">
        <v>107</v>
      </c>
      <c r="F152" s="43" t="s">
        <v>590</v>
      </c>
      <c r="G152" s="43" t="s">
        <v>383</v>
      </c>
      <c r="H152" s="43">
        <v>60</v>
      </c>
      <c r="I152" s="43">
        <v>-14.461499999999999</v>
      </c>
      <c r="J152" s="28">
        <v>-1.2849999999999999E-7</v>
      </c>
      <c r="K152" s="43" t="s">
        <v>913</v>
      </c>
      <c r="L152" s="43" t="s">
        <v>65</v>
      </c>
      <c r="N152" s="43" t="s">
        <v>183</v>
      </c>
      <c r="O152" s="43">
        <v>309</v>
      </c>
      <c r="P152" s="43" t="s">
        <v>585</v>
      </c>
      <c r="Q152" s="43" t="s">
        <v>380</v>
      </c>
      <c r="R152" s="43" t="s">
        <v>590</v>
      </c>
      <c r="S152" s="43" t="s">
        <v>383</v>
      </c>
      <c r="T152" s="43">
        <v>10</v>
      </c>
      <c r="U152" s="43">
        <v>-14.593500000000001</v>
      </c>
      <c r="V152" s="28">
        <v>-1.297E-7</v>
      </c>
      <c r="W152" s="43" t="s">
        <v>913</v>
      </c>
      <c r="X152" s="43" t="s">
        <v>65</v>
      </c>
    </row>
    <row r="153" spans="2:24" x14ac:dyDescent="0.2">
      <c r="B153" s="43" t="s">
        <v>183</v>
      </c>
      <c r="C153" s="43">
        <v>309</v>
      </c>
      <c r="D153" s="43" t="s">
        <v>585</v>
      </c>
      <c r="E153" s="43" t="s">
        <v>107</v>
      </c>
      <c r="F153" s="43" t="s">
        <v>591</v>
      </c>
      <c r="G153" s="43" t="s">
        <v>385</v>
      </c>
      <c r="H153" s="43">
        <v>60</v>
      </c>
      <c r="I153" s="43">
        <v>-21.7089</v>
      </c>
      <c r="J153" s="28">
        <v>-1.9299999999999999E-7</v>
      </c>
      <c r="K153" s="43" t="s">
        <v>913</v>
      </c>
      <c r="L153" s="43" t="s">
        <v>65</v>
      </c>
      <c r="N153" s="43" t="s">
        <v>183</v>
      </c>
      <c r="O153" s="43">
        <v>309</v>
      </c>
      <c r="P153" s="43" t="s">
        <v>585</v>
      </c>
      <c r="Q153" s="43" t="s">
        <v>380</v>
      </c>
      <c r="R153" s="43" t="s">
        <v>591</v>
      </c>
      <c r="S153" s="43" t="s">
        <v>385</v>
      </c>
      <c r="T153" s="43">
        <v>10</v>
      </c>
      <c r="U153" s="43">
        <v>-21.572099999999999</v>
      </c>
      <c r="V153" s="28">
        <v>-1.9180000000000001E-7</v>
      </c>
      <c r="W153" s="43" t="s">
        <v>913</v>
      </c>
      <c r="X153" s="43" t="s">
        <v>65</v>
      </c>
    </row>
    <row r="154" spans="2:24" x14ac:dyDescent="0.2">
      <c r="B154" s="43" t="s">
        <v>183</v>
      </c>
      <c r="C154" s="43">
        <v>310</v>
      </c>
      <c r="D154" s="43" t="s">
        <v>592</v>
      </c>
      <c r="E154" s="43" t="s">
        <v>107</v>
      </c>
      <c r="F154" s="43" t="s">
        <v>593</v>
      </c>
      <c r="G154" s="43" t="s">
        <v>383</v>
      </c>
      <c r="H154" s="43">
        <v>60</v>
      </c>
      <c r="I154" s="43">
        <v>-23.3339</v>
      </c>
      <c r="J154" s="28">
        <v>-2.3920000000000002E-7</v>
      </c>
      <c r="K154" s="43" t="s">
        <v>913</v>
      </c>
      <c r="L154" s="43" t="s">
        <v>65</v>
      </c>
      <c r="N154" s="43" t="s">
        <v>183</v>
      </c>
      <c r="O154" s="43">
        <v>310</v>
      </c>
      <c r="P154" s="43" t="s">
        <v>592</v>
      </c>
      <c r="Q154" s="43" t="s">
        <v>380</v>
      </c>
      <c r="R154" s="43" t="s">
        <v>593</v>
      </c>
      <c r="S154" s="43" t="s">
        <v>383</v>
      </c>
      <c r="T154" s="43">
        <v>10</v>
      </c>
      <c r="U154" s="43">
        <v>-23.4543</v>
      </c>
      <c r="V154" s="28">
        <v>-2.4040000000000001E-7</v>
      </c>
      <c r="W154" s="43" t="s">
        <v>913</v>
      </c>
      <c r="X154" s="43" t="s">
        <v>65</v>
      </c>
    </row>
    <row r="155" spans="2:24" x14ac:dyDescent="0.2">
      <c r="B155" s="43" t="s">
        <v>183</v>
      </c>
      <c r="C155" s="43">
        <v>310</v>
      </c>
      <c r="D155" s="43" t="s">
        <v>592</v>
      </c>
      <c r="E155" s="43" t="s">
        <v>107</v>
      </c>
      <c r="F155" s="43" t="s">
        <v>594</v>
      </c>
      <c r="G155" s="43" t="s">
        <v>385</v>
      </c>
      <c r="H155" s="43">
        <v>60</v>
      </c>
      <c r="I155" s="43">
        <v>-17.949000000000002</v>
      </c>
      <c r="J155" s="28">
        <v>-1.8400000000000001E-7</v>
      </c>
      <c r="K155" s="43" t="s">
        <v>913</v>
      </c>
      <c r="L155" s="43" t="s">
        <v>65</v>
      </c>
      <c r="N155" s="43" t="s">
        <v>183</v>
      </c>
      <c r="O155" s="43">
        <v>310</v>
      </c>
      <c r="P155" s="43" t="s">
        <v>592</v>
      </c>
      <c r="Q155" s="43" t="s">
        <v>380</v>
      </c>
      <c r="R155" s="43" t="s">
        <v>594</v>
      </c>
      <c r="S155" s="43" t="s">
        <v>385</v>
      </c>
      <c r="T155" s="43">
        <v>10</v>
      </c>
      <c r="U155" s="43">
        <v>-17.832599999999999</v>
      </c>
      <c r="V155" s="28">
        <v>-1.828E-7</v>
      </c>
      <c r="W155" s="43" t="s">
        <v>913</v>
      </c>
      <c r="X155" s="43" t="s">
        <v>65</v>
      </c>
    </row>
    <row r="156" spans="2:24" x14ac:dyDescent="0.2">
      <c r="B156" s="43" t="s">
        <v>232</v>
      </c>
      <c r="C156" s="43">
        <v>105</v>
      </c>
      <c r="D156" s="43" t="s">
        <v>595</v>
      </c>
      <c r="E156" s="43" t="s">
        <v>107</v>
      </c>
      <c r="F156" s="43" t="s">
        <v>596</v>
      </c>
      <c r="G156" s="43" t="s">
        <v>383</v>
      </c>
      <c r="H156" s="43">
        <v>60</v>
      </c>
      <c r="I156" s="43">
        <v>-18.372199999999999</v>
      </c>
      <c r="J156" s="28">
        <v>-1.8830000000000001E-7</v>
      </c>
      <c r="K156" s="43" t="s">
        <v>913</v>
      </c>
      <c r="L156" s="43" t="s">
        <v>65</v>
      </c>
      <c r="N156" s="43" t="s">
        <v>232</v>
      </c>
      <c r="O156" s="43">
        <v>105</v>
      </c>
      <c r="P156" s="43" t="s">
        <v>595</v>
      </c>
      <c r="Q156" s="43" t="s">
        <v>380</v>
      </c>
      <c r="R156" s="43" t="s">
        <v>596</v>
      </c>
      <c r="S156" s="43" t="s">
        <v>383</v>
      </c>
      <c r="T156" s="43">
        <v>10</v>
      </c>
      <c r="U156" s="43">
        <v>-18.423999999999999</v>
      </c>
      <c r="V156" s="28">
        <v>-1.889E-7</v>
      </c>
      <c r="W156" s="43" t="s">
        <v>913</v>
      </c>
      <c r="X156" s="43" t="s">
        <v>65</v>
      </c>
    </row>
    <row r="157" spans="2:24" x14ac:dyDescent="0.2">
      <c r="B157" s="43" t="s">
        <v>232</v>
      </c>
      <c r="C157" s="43">
        <v>105</v>
      </c>
      <c r="D157" s="43" t="s">
        <v>595</v>
      </c>
      <c r="E157" s="43" t="s">
        <v>107</v>
      </c>
      <c r="F157" s="43" t="s">
        <v>597</v>
      </c>
      <c r="G157" s="43" t="s">
        <v>385</v>
      </c>
      <c r="H157" s="43">
        <v>60</v>
      </c>
      <c r="I157" s="43">
        <v>-24.9557</v>
      </c>
      <c r="J157" s="28">
        <v>-2.558E-7</v>
      </c>
      <c r="K157" s="43" t="s">
        <v>913</v>
      </c>
      <c r="L157" s="43" t="s">
        <v>65</v>
      </c>
      <c r="N157" s="43" t="s">
        <v>232</v>
      </c>
      <c r="O157" s="43">
        <v>105</v>
      </c>
      <c r="P157" s="43" t="s">
        <v>595</v>
      </c>
      <c r="Q157" s="43" t="s">
        <v>380</v>
      </c>
      <c r="R157" s="43" t="s">
        <v>597</v>
      </c>
      <c r="S157" s="43" t="s">
        <v>385</v>
      </c>
      <c r="T157" s="43">
        <v>10</v>
      </c>
      <c r="U157" s="43">
        <v>-24.904900000000001</v>
      </c>
      <c r="V157" s="28">
        <v>-2.5530000000000002E-7</v>
      </c>
      <c r="W157" s="43" t="s">
        <v>913</v>
      </c>
      <c r="X157" s="43" t="s">
        <v>65</v>
      </c>
    </row>
    <row r="158" spans="2:24" x14ac:dyDescent="0.2">
      <c r="B158" s="43" t="s">
        <v>232</v>
      </c>
      <c r="C158" s="43">
        <v>106</v>
      </c>
      <c r="D158" s="43" t="s">
        <v>598</v>
      </c>
      <c r="E158" s="43" t="s">
        <v>107</v>
      </c>
      <c r="F158" s="43" t="s">
        <v>599</v>
      </c>
      <c r="G158" s="43" t="s">
        <v>383</v>
      </c>
      <c r="H158" s="43">
        <v>60</v>
      </c>
      <c r="I158" s="43">
        <v>-23.066600000000001</v>
      </c>
      <c r="J158" s="28">
        <v>-2.05E-7</v>
      </c>
      <c r="K158" s="43" t="s">
        <v>913</v>
      </c>
      <c r="L158" s="43" t="s">
        <v>65</v>
      </c>
      <c r="N158" s="43" t="s">
        <v>232</v>
      </c>
      <c r="O158" s="43">
        <v>106</v>
      </c>
      <c r="P158" s="43" t="s">
        <v>598</v>
      </c>
      <c r="Q158" s="43" t="s">
        <v>380</v>
      </c>
      <c r="R158" s="43" t="s">
        <v>599</v>
      </c>
      <c r="S158" s="43" t="s">
        <v>383</v>
      </c>
      <c r="T158" s="43">
        <v>10</v>
      </c>
      <c r="U158" s="43">
        <v>-23.126999999999999</v>
      </c>
      <c r="V158" s="28">
        <v>-2.0559999999999999E-7</v>
      </c>
      <c r="W158" s="43" t="s">
        <v>913</v>
      </c>
      <c r="X158" s="43" t="s">
        <v>65</v>
      </c>
    </row>
    <row r="159" spans="2:24" x14ac:dyDescent="0.2">
      <c r="B159" s="43" t="s">
        <v>232</v>
      </c>
      <c r="C159" s="43">
        <v>106</v>
      </c>
      <c r="D159" s="43" t="s">
        <v>598</v>
      </c>
      <c r="E159" s="43" t="s">
        <v>107</v>
      </c>
      <c r="F159" s="43" t="s">
        <v>600</v>
      </c>
      <c r="G159" s="43" t="s">
        <v>385</v>
      </c>
      <c r="H159" s="43">
        <v>60</v>
      </c>
      <c r="I159" s="43">
        <v>-15.3308</v>
      </c>
      <c r="J159" s="28">
        <v>-1.363E-7</v>
      </c>
      <c r="K159" s="43" t="s">
        <v>913</v>
      </c>
      <c r="L159" s="43" t="s">
        <v>65</v>
      </c>
      <c r="N159" s="43" t="s">
        <v>232</v>
      </c>
      <c r="O159" s="43">
        <v>106</v>
      </c>
      <c r="P159" s="43" t="s">
        <v>598</v>
      </c>
      <c r="Q159" s="43" t="s">
        <v>380</v>
      </c>
      <c r="R159" s="43" t="s">
        <v>600</v>
      </c>
      <c r="S159" s="43" t="s">
        <v>385</v>
      </c>
      <c r="T159" s="43">
        <v>10</v>
      </c>
      <c r="U159" s="43">
        <v>-15.275600000000001</v>
      </c>
      <c r="V159" s="28">
        <v>-1.3580000000000001E-7</v>
      </c>
      <c r="W159" s="43" t="s">
        <v>913</v>
      </c>
      <c r="X159" s="43" t="s">
        <v>65</v>
      </c>
    </row>
    <row r="160" spans="2:24" x14ac:dyDescent="0.2">
      <c r="B160" s="43" t="s">
        <v>232</v>
      </c>
      <c r="C160" s="43">
        <v>107</v>
      </c>
      <c r="D160" s="43" t="s">
        <v>598</v>
      </c>
      <c r="E160" s="43" t="s">
        <v>107</v>
      </c>
      <c r="F160" s="43" t="s">
        <v>601</v>
      </c>
      <c r="G160" s="43" t="s">
        <v>383</v>
      </c>
      <c r="H160" s="43">
        <v>60</v>
      </c>
      <c r="I160" s="43">
        <v>-15.313800000000001</v>
      </c>
      <c r="J160" s="28">
        <v>-1.283E-7</v>
      </c>
      <c r="K160" s="43" t="s">
        <v>913</v>
      </c>
      <c r="L160" s="43" t="s">
        <v>65</v>
      </c>
      <c r="N160" s="43" t="s">
        <v>232</v>
      </c>
      <c r="O160" s="43">
        <v>107</v>
      </c>
      <c r="P160" s="43" t="s">
        <v>598</v>
      </c>
      <c r="Q160" s="43" t="s">
        <v>380</v>
      </c>
      <c r="R160" s="43" t="s">
        <v>601</v>
      </c>
      <c r="S160" s="43" t="s">
        <v>383</v>
      </c>
      <c r="T160" s="43">
        <v>10</v>
      </c>
      <c r="U160" s="43">
        <v>-15.369400000000001</v>
      </c>
      <c r="V160" s="28">
        <v>-1.2879999999999999E-7</v>
      </c>
      <c r="W160" s="43" t="s">
        <v>913</v>
      </c>
      <c r="X160" s="43" t="s">
        <v>65</v>
      </c>
    </row>
    <row r="161" spans="2:24" x14ac:dyDescent="0.2">
      <c r="B161" s="43" t="s">
        <v>232</v>
      </c>
      <c r="C161" s="43">
        <v>107</v>
      </c>
      <c r="D161" s="43" t="s">
        <v>598</v>
      </c>
      <c r="E161" s="43" t="s">
        <v>107</v>
      </c>
      <c r="F161" s="43" t="s">
        <v>602</v>
      </c>
      <c r="G161" s="43" t="s">
        <v>385</v>
      </c>
      <c r="H161" s="43">
        <v>60</v>
      </c>
      <c r="I161" s="43">
        <v>-15.421200000000001</v>
      </c>
      <c r="J161" s="28">
        <v>-1.2919999999999999E-7</v>
      </c>
      <c r="K161" s="43" t="s">
        <v>913</v>
      </c>
      <c r="L161" s="43" t="s">
        <v>65</v>
      </c>
      <c r="N161" s="43" t="s">
        <v>232</v>
      </c>
      <c r="O161" s="43">
        <v>107</v>
      </c>
      <c r="P161" s="43" t="s">
        <v>598</v>
      </c>
      <c r="Q161" s="43" t="s">
        <v>380</v>
      </c>
      <c r="R161" s="43" t="s">
        <v>602</v>
      </c>
      <c r="S161" s="43" t="s">
        <v>385</v>
      </c>
      <c r="T161" s="43">
        <v>10</v>
      </c>
      <c r="U161" s="43">
        <v>-15.364800000000001</v>
      </c>
      <c r="V161" s="28">
        <v>-1.2879999999999999E-7</v>
      </c>
      <c r="W161" s="43" t="s">
        <v>913</v>
      </c>
      <c r="X161" s="43" t="s">
        <v>65</v>
      </c>
    </row>
    <row r="162" spans="2:24" x14ac:dyDescent="0.2">
      <c r="B162" s="43" t="s">
        <v>232</v>
      </c>
      <c r="C162" s="43">
        <v>108</v>
      </c>
      <c r="D162" s="43" t="s">
        <v>598</v>
      </c>
      <c r="E162" s="43" t="s">
        <v>107</v>
      </c>
      <c r="F162" s="43" t="s">
        <v>603</v>
      </c>
      <c r="G162" s="43" t="s">
        <v>383</v>
      </c>
      <c r="H162" s="43">
        <v>60</v>
      </c>
      <c r="I162" s="43">
        <v>-15.244400000000001</v>
      </c>
      <c r="J162" s="28">
        <v>-1.3549999999999999E-7</v>
      </c>
      <c r="K162" s="43" t="s">
        <v>913</v>
      </c>
      <c r="L162" s="43" t="s">
        <v>65</v>
      </c>
      <c r="N162" s="43" t="s">
        <v>232</v>
      </c>
      <c r="O162" s="43">
        <v>108</v>
      </c>
      <c r="P162" s="43" t="s">
        <v>598</v>
      </c>
      <c r="Q162" s="43" t="s">
        <v>380</v>
      </c>
      <c r="R162" s="43" t="s">
        <v>603</v>
      </c>
      <c r="S162" s="43" t="s">
        <v>383</v>
      </c>
      <c r="T162" s="43">
        <v>10</v>
      </c>
      <c r="U162" s="43">
        <v>-15.2981</v>
      </c>
      <c r="V162" s="28">
        <v>-1.36E-7</v>
      </c>
      <c r="W162" s="43" t="s">
        <v>913</v>
      </c>
      <c r="X162" s="43" t="s">
        <v>65</v>
      </c>
    </row>
    <row r="163" spans="2:24" x14ac:dyDescent="0.2">
      <c r="B163" s="43" t="s">
        <v>232</v>
      </c>
      <c r="C163" s="43">
        <v>108</v>
      </c>
      <c r="D163" s="43" t="s">
        <v>598</v>
      </c>
      <c r="E163" s="43" t="s">
        <v>107</v>
      </c>
      <c r="F163" s="43" t="s">
        <v>604</v>
      </c>
      <c r="G163" s="43" t="s">
        <v>385</v>
      </c>
      <c r="H163" s="43">
        <v>60</v>
      </c>
      <c r="I163" s="43">
        <v>-23.122900000000001</v>
      </c>
      <c r="J163" s="28">
        <v>-2.0550000000000001E-7</v>
      </c>
      <c r="K163" s="43" t="s">
        <v>913</v>
      </c>
      <c r="L163" s="43" t="s">
        <v>65</v>
      </c>
      <c r="N163" s="43" t="s">
        <v>232</v>
      </c>
      <c r="O163" s="43">
        <v>108</v>
      </c>
      <c r="P163" s="43" t="s">
        <v>598</v>
      </c>
      <c r="Q163" s="43" t="s">
        <v>380</v>
      </c>
      <c r="R163" s="43" t="s">
        <v>604</v>
      </c>
      <c r="S163" s="43" t="s">
        <v>385</v>
      </c>
      <c r="T163" s="43">
        <v>10</v>
      </c>
      <c r="U163" s="43">
        <v>-23.0624</v>
      </c>
      <c r="V163" s="28">
        <v>-2.05E-7</v>
      </c>
      <c r="W163" s="43" t="s">
        <v>913</v>
      </c>
      <c r="X163" s="43" t="s">
        <v>65</v>
      </c>
    </row>
    <row r="164" spans="2:24" x14ac:dyDescent="0.2">
      <c r="B164" s="43" t="s">
        <v>232</v>
      </c>
      <c r="C164" s="43">
        <v>109</v>
      </c>
      <c r="D164" s="43" t="s">
        <v>605</v>
      </c>
      <c r="E164" s="43" t="s">
        <v>107</v>
      </c>
      <c r="F164" s="43" t="s">
        <v>606</v>
      </c>
      <c r="G164" s="43" t="s">
        <v>383</v>
      </c>
      <c r="H164" s="43">
        <v>60</v>
      </c>
      <c r="I164" s="43">
        <v>-24.871700000000001</v>
      </c>
      <c r="J164" s="28">
        <v>-2.5499999999999999E-7</v>
      </c>
      <c r="K164" s="43" t="s">
        <v>913</v>
      </c>
      <c r="L164" s="43" t="s">
        <v>65</v>
      </c>
      <c r="N164" s="43" t="s">
        <v>232</v>
      </c>
      <c r="O164" s="43">
        <v>109</v>
      </c>
      <c r="P164" s="43" t="s">
        <v>605</v>
      </c>
      <c r="Q164" s="43" t="s">
        <v>380</v>
      </c>
      <c r="R164" s="43" t="s">
        <v>606</v>
      </c>
      <c r="S164" s="43" t="s">
        <v>383</v>
      </c>
      <c r="T164" s="43">
        <v>10</v>
      </c>
      <c r="U164" s="43">
        <v>-24.921500000000002</v>
      </c>
      <c r="V164" s="28">
        <v>-2.5549999999999998E-7</v>
      </c>
      <c r="W164" s="43" t="s">
        <v>913</v>
      </c>
      <c r="X164" s="43" t="s">
        <v>65</v>
      </c>
    </row>
    <row r="165" spans="2:24" x14ac:dyDescent="0.2">
      <c r="B165" s="43" t="s">
        <v>232</v>
      </c>
      <c r="C165" s="43">
        <v>109</v>
      </c>
      <c r="D165" s="43" t="s">
        <v>605</v>
      </c>
      <c r="E165" s="43" t="s">
        <v>107</v>
      </c>
      <c r="F165" s="43" t="s">
        <v>607</v>
      </c>
      <c r="G165" s="43" t="s">
        <v>385</v>
      </c>
      <c r="H165" s="43">
        <v>60</v>
      </c>
      <c r="I165" s="43">
        <v>-18.519300000000001</v>
      </c>
      <c r="J165" s="28">
        <v>-1.8979999999999999E-7</v>
      </c>
      <c r="K165" s="43" t="s">
        <v>913</v>
      </c>
      <c r="L165" s="43" t="s">
        <v>65</v>
      </c>
      <c r="N165" s="43" t="s">
        <v>232</v>
      </c>
      <c r="O165" s="43">
        <v>109</v>
      </c>
      <c r="P165" s="43" t="s">
        <v>605</v>
      </c>
      <c r="Q165" s="43" t="s">
        <v>380</v>
      </c>
      <c r="R165" s="43" t="s">
        <v>607</v>
      </c>
      <c r="S165" s="43" t="s">
        <v>385</v>
      </c>
      <c r="T165" s="43">
        <v>10</v>
      </c>
      <c r="U165" s="43">
        <v>-18.466899999999999</v>
      </c>
      <c r="V165" s="28">
        <v>-1.8930000000000001E-7</v>
      </c>
      <c r="W165" s="43" t="s">
        <v>913</v>
      </c>
      <c r="X165" s="43" t="s">
        <v>65</v>
      </c>
    </row>
    <row r="166" spans="2:24" x14ac:dyDescent="0.2">
      <c r="B166" s="43" t="s">
        <v>232</v>
      </c>
      <c r="C166" s="43">
        <v>87</v>
      </c>
      <c r="D166" s="43" t="s">
        <v>608</v>
      </c>
      <c r="E166" s="43" t="s">
        <v>107</v>
      </c>
      <c r="F166" s="43" t="s">
        <v>609</v>
      </c>
      <c r="G166" s="43" t="s">
        <v>383</v>
      </c>
      <c r="H166" s="43">
        <v>60</v>
      </c>
      <c r="I166" s="43">
        <v>-79.507199999999997</v>
      </c>
      <c r="J166" s="28">
        <v>-9.9999999999999995E-7</v>
      </c>
      <c r="K166" s="43" t="s">
        <v>913</v>
      </c>
      <c r="L166" s="43" t="s">
        <v>65</v>
      </c>
      <c r="N166" s="43" t="s">
        <v>232</v>
      </c>
      <c r="O166" s="43">
        <v>87</v>
      </c>
      <c r="P166" s="43" t="s">
        <v>608</v>
      </c>
      <c r="Q166" s="43" t="s">
        <v>380</v>
      </c>
      <c r="R166" s="43" t="s">
        <v>609</v>
      </c>
      <c r="S166" s="43" t="s">
        <v>383</v>
      </c>
      <c r="T166" s="43">
        <v>10</v>
      </c>
      <c r="U166" s="43">
        <v>-79.557000000000002</v>
      </c>
      <c r="V166" s="28">
        <v>-9.9999999999999995E-7</v>
      </c>
      <c r="W166" s="43" t="s">
        <v>913</v>
      </c>
      <c r="X166" s="43" t="s">
        <v>65</v>
      </c>
    </row>
    <row r="167" spans="2:24" x14ac:dyDescent="0.2">
      <c r="B167" s="43" t="s">
        <v>232</v>
      </c>
      <c r="C167" s="43">
        <v>87</v>
      </c>
      <c r="D167" s="43" t="s">
        <v>608</v>
      </c>
      <c r="E167" s="43" t="s">
        <v>107</v>
      </c>
      <c r="F167" s="43" t="s">
        <v>610</v>
      </c>
      <c r="G167" s="43" t="s">
        <v>385</v>
      </c>
      <c r="H167" s="43">
        <v>60</v>
      </c>
      <c r="I167" s="43">
        <v>-13.315099999999999</v>
      </c>
      <c r="J167" s="28">
        <v>-1.2599999999999999E-7</v>
      </c>
      <c r="K167" s="43" t="s">
        <v>913</v>
      </c>
      <c r="L167" s="43" t="s">
        <v>65</v>
      </c>
      <c r="N167" s="43" t="s">
        <v>232</v>
      </c>
      <c r="O167" s="43">
        <v>87</v>
      </c>
      <c r="P167" s="43" t="s">
        <v>608</v>
      </c>
      <c r="Q167" s="43" t="s">
        <v>380</v>
      </c>
      <c r="R167" s="43" t="s">
        <v>610</v>
      </c>
      <c r="S167" s="43" t="s">
        <v>385</v>
      </c>
      <c r="T167" s="43">
        <v>10</v>
      </c>
      <c r="U167" s="43">
        <v>-13.278600000000001</v>
      </c>
      <c r="V167" s="28">
        <v>-1.2560000000000001E-7</v>
      </c>
      <c r="W167" s="43" t="s">
        <v>913</v>
      </c>
      <c r="X167" s="43" t="s">
        <v>65</v>
      </c>
    </row>
    <row r="168" spans="2:24" x14ac:dyDescent="0.2">
      <c r="B168" s="43" t="s">
        <v>232</v>
      </c>
      <c r="C168" s="43">
        <v>90</v>
      </c>
      <c r="D168" s="43" t="s">
        <v>611</v>
      </c>
      <c r="E168" s="43" t="s">
        <v>107</v>
      </c>
      <c r="F168" s="43" t="s">
        <v>612</v>
      </c>
      <c r="G168" s="43" t="s">
        <v>383</v>
      </c>
      <c r="H168" s="43">
        <v>60</v>
      </c>
      <c r="I168" s="43">
        <v>-102.6041</v>
      </c>
      <c r="J168" s="28">
        <v>-9.9999999999999995E-7</v>
      </c>
      <c r="K168" s="43" t="s">
        <v>913</v>
      </c>
      <c r="L168" s="43" t="s">
        <v>65</v>
      </c>
      <c r="N168" s="43" t="s">
        <v>232</v>
      </c>
      <c r="O168" s="43">
        <v>90</v>
      </c>
      <c r="P168" s="43" t="s">
        <v>611</v>
      </c>
      <c r="Q168" s="43" t="s">
        <v>380</v>
      </c>
      <c r="R168" s="43" t="s">
        <v>612</v>
      </c>
      <c r="S168" s="43" t="s">
        <v>383</v>
      </c>
      <c r="T168" s="43">
        <v>10</v>
      </c>
      <c r="U168" s="43">
        <v>-102.629</v>
      </c>
      <c r="V168" s="28">
        <v>-9.9999999999999995E-7</v>
      </c>
      <c r="W168" s="43" t="s">
        <v>913</v>
      </c>
      <c r="X168" s="43" t="s">
        <v>65</v>
      </c>
    </row>
    <row r="169" spans="2:24" x14ac:dyDescent="0.2">
      <c r="B169" s="43" t="s">
        <v>232</v>
      </c>
      <c r="C169" s="43">
        <v>90</v>
      </c>
      <c r="D169" s="43" t="s">
        <v>611</v>
      </c>
      <c r="E169" s="43" t="s">
        <v>107</v>
      </c>
      <c r="F169" s="43" t="s">
        <v>613</v>
      </c>
      <c r="G169" s="43" t="s">
        <v>385</v>
      </c>
      <c r="H169" s="43">
        <v>60</v>
      </c>
      <c r="I169" s="43">
        <v>-28.052499999999998</v>
      </c>
      <c r="J169" s="28">
        <v>-1.892E-7</v>
      </c>
      <c r="K169" s="43" t="s">
        <v>913</v>
      </c>
      <c r="L169" s="43" t="s">
        <v>65</v>
      </c>
      <c r="N169" s="43" t="s">
        <v>232</v>
      </c>
      <c r="O169" s="43">
        <v>90</v>
      </c>
      <c r="P169" s="43" t="s">
        <v>611</v>
      </c>
      <c r="Q169" s="43" t="s">
        <v>380</v>
      </c>
      <c r="R169" s="43" t="s">
        <v>613</v>
      </c>
      <c r="S169" s="43" t="s">
        <v>385</v>
      </c>
      <c r="T169" s="43">
        <v>10</v>
      </c>
      <c r="U169" s="43">
        <v>-28.029699999999998</v>
      </c>
      <c r="V169" s="28">
        <v>-1.8900000000000001E-7</v>
      </c>
      <c r="W169" s="43" t="s">
        <v>913</v>
      </c>
      <c r="X169" s="43" t="s">
        <v>65</v>
      </c>
    </row>
    <row r="170" spans="2:24" x14ac:dyDescent="0.2">
      <c r="B170" s="43" t="s">
        <v>232</v>
      </c>
      <c r="C170" s="43">
        <v>93</v>
      </c>
      <c r="D170" s="43" t="s">
        <v>614</v>
      </c>
      <c r="E170" s="43" t="s">
        <v>107</v>
      </c>
      <c r="F170" s="43" t="s">
        <v>615</v>
      </c>
      <c r="G170" s="43" t="s">
        <v>383</v>
      </c>
      <c r="H170" s="43">
        <v>60</v>
      </c>
      <c r="I170" s="43">
        <v>-110.80370000000001</v>
      </c>
      <c r="J170" s="28">
        <v>-9.9999999999999995E-7</v>
      </c>
      <c r="K170" s="43" t="s">
        <v>913</v>
      </c>
      <c r="L170" s="43" t="s">
        <v>65</v>
      </c>
      <c r="N170" s="43" t="s">
        <v>232</v>
      </c>
      <c r="O170" s="43">
        <v>93</v>
      </c>
      <c r="P170" s="43" t="s">
        <v>614</v>
      </c>
      <c r="Q170" s="43" t="s">
        <v>380</v>
      </c>
      <c r="R170" s="43" t="s">
        <v>615</v>
      </c>
      <c r="S170" s="43" t="s">
        <v>383</v>
      </c>
      <c r="T170" s="43">
        <v>10</v>
      </c>
      <c r="U170" s="43">
        <v>-110.7885</v>
      </c>
      <c r="V170" s="28">
        <v>-9.9999999999999995E-7</v>
      </c>
      <c r="W170" s="43" t="s">
        <v>913</v>
      </c>
      <c r="X170" s="43" t="s">
        <v>65</v>
      </c>
    </row>
    <row r="171" spans="2:24" x14ac:dyDescent="0.2">
      <c r="B171" s="43" t="s">
        <v>232</v>
      </c>
      <c r="C171" s="43">
        <v>93</v>
      </c>
      <c r="D171" s="43" t="s">
        <v>614</v>
      </c>
      <c r="E171" s="43" t="s">
        <v>107</v>
      </c>
      <c r="F171" s="43" t="s">
        <v>616</v>
      </c>
      <c r="G171" s="43" t="s">
        <v>385</v>
      </c>
      <c r="H171" s="43">
        <v>60</v>
      </c>
      <c r="I171" s="43">
        <v>-14.125500000000001</v>
      </c>
      <c r="J171" s="28">
        <v>-9.9839999999999999E-8</v>
      </c>
      <c r="K171" s="43" t="s">
        <v>913</v>
      </c>
      <c r="L171" s="43" t="s">
        <v>65</v>
      </c>
      <c r="N171" s="43" t="s">
        <v>232</v>
      </c>
      <c r="O171" s="43">
        <v>93</v>
      </c>
      <c r="P171" s="43" t="s">
        <v>614</v>
      </c>
      <c r="Q171" s="43" t="s">
        <v>380</v>
      </c>
      <c r="R171" s="43" t="s">
        <v>616</v>
      </c>
      <c r="S171" s="43" t="s">
        <v>385</v>
      </c>
      <c r="T171" s="43">
        <v>10</v>
      </c>
      <c r="U171" s="43">
        <v>-14.139799999999999</v>
      </c>
      <c r="V171" s="28">
        <v>-9.9939999999999994E-8</v>
      </c>
      <c r="W171" s="43" t="s">
        <v>913</v>
      </c>
      <c r="X171" s="43" t="s">
        <v>65</v>
      </c>
    </row>
    <row r="172" spans="2:24" x14ac:dyDescent="0.2">
      <c r="B172" s="43" t="s">
        <v>232</v>
      </c>
      <c r="C172" s="43">
        <v>96</v>
      </c>
      <c r="D172" s="43" t="s">
        <v>617</v>
      </c>
      <c r="E172" s="43" t="s">
        <v>107</v>
      </c>
      <c r="F172" s="43" t="s">
        <v>618</v>
      </c>
      <c r="G172" s="43" t="s">
        <v>383</v>
      </c>
      <c r="H172" s="43">
        <v>60</v>
      </c>
      <c r="I172" s="43">
        <v>-110.77160000000001</v>
      </c>
      <c r="J172" s="28">
        <v>-9.9999999999999995E-7</v>
      </c>
      <c r="K172" s="43" t="s">
        <v>913</v>
      </c>
      <c r="L172" s="43" t="s">
        <v>65</v>
      </c>
      <c r="N172" s="43" t="s">
        <v>232</v>
      </c>
      <c r="O172" s="43">
        <v>96</v>
      </c>
      <c r="P172" s="43" t="s">
        <v>617</v>
      </c>
      <c r="Q172" s="43" t="s">
        <v>380</v>
      </c>
      <c r="R172" s="43" t="s">
        <v>618</v>
      </c>
      <c r="S172" s="43" t="s">
        <v>383</v>
      </c>
      <c r="T172" s="43">
        <v>10</v>
      </c>
      <c r="U172" s="43">
        <v>-110.7186</v>
      </c>
      <c r="V172" s="28">
        <v>-9.9999999999999995E-7</v>
      </c>
      <c r="W172" s="43" t="s">
        <v>913</v>
      </c>
      <c r="X172" s="43" t="s">
        <v>65</v>
      </c>
    </row>
    <row r="173" spans="2:24" x14ac:dyDescent="0.2">
      <c r="B173" s="43" t="s">
        <v>232</v>
      </c>
      <c r="C173" s="43">
        <v>96</v>
      </c>
      <c r="D173" s="43" t="s">
        <v>617</v>
      </c>
      <c r="E173" s="43" t="s">
        <v>107</v>
      </c>
      <c r="F173" s="43" t="s">
        <v>619</v>
      </c>
      <c r="G173" s="43" t="s">
        <v>385</v>
      </c>
      <c r="H173" s="43">
        <v>60</v>
      </c>
      <c r="I173" s="43">
        <v>-14.1623</v>
      </c>
      <c r="J173" s="28">
        <v>-1.001E-7</v>
      </c>
      <c r="K173" s="43" t="s">
        <v>913</v>
      </c>
      <c r="L173" s="43" t="s">
        <v>65</v>
      </c>
      <c r="N173" s="43" t="s">
        <v>232</v>
      </c>
      <c r="O173" s="43">
        <v>96</v>
      </c>
      <c r="P173" s="43" t="s">
        <v>617</v>
      </c>
      <c r="Q173" s="43" t="s">
        <v>380</v>
      </c>
      <c r="R173" s="43" t="s">
        <v>619</v>
      </c>
      <c r="S173" s="43" t="s">
        <v>385</v>
      </c>
      <c r="T173" s="43">
        <v>10</v>
      </c>
      <c r="U173" s="43">
        <v>-14.214399999999999</v>
      </c>
      <c r="V173" s="28">
        <v>-1.0050000000000001E-7</v>
      </c>
      <c r="W173" s="43" t="s">
        <v>913</v>
      </c>
      <c r="X173" s="43" t="s">
        <v>65</v>
      </c>
    </row>
    <row r="174" spans="2:24" x14ac:dyDescent="0.2">
      <c r="B174" s="43" t="s">
        <v>232</v>
      </c>
      <c r="C174" s="43">
        <v>99</v>
      </c>
      <c r="D174" s="43" t="s">
        <v>620</v>
      </c>
      <c r="E174" s="43" t="s">
        <v>107</v>
      </c>
      <c r="F174" s="43" t="s">
        <v>621</v>
      </c>
      <c r="G174" s="43" t="s">
        <v>383</v>
      </c>
      <c r="H174" s="43">
        <v>60</v>
      </c>
      <c r="I174" s="43">
        <v>-102.4888</v>
      </c>
      <c r="J174" s="28">
        <v>-9.9999999999999995E-7</v>
      </c>
      <c r="K174" s="43" t="s">
        <v>913</v>
      </c>
      <c r="L174" s="43" t="s">
        <v>65</v>
      </c>
      <c r="N174" s="43" t="s">
        <v>232</v>
      </c>
      <c r="O174" s="43">
        <v>99</v>
      </c>
      <c r="P174" s="43" t="s">
        <v>620</v>
      </c>
      <c r="Q174" s="43" t="s">
        <v>380</v>
      </c>
      <c r="R174" s="43" t="s">
        <v>621</v>
      </c>
      <c r="S174" s="43" t="s">
        <v>383</v>
      </c>
      <c r="T174" s="43">
        <v>10</v>
      </c>
      <c r="U174" s="43">
        <v>-102.3961</v>
      </c>
      <c r="V174" s="28">
        <v>-9.9999999999999995E-7</v>
      </c>
      <c r="W174" s="43" t="s">
        <v>913</v>
      </c>
      <c r="X174" s="43" t="s">
        <v>65</v>
      </c>
    </row>
    <row r="175" spans="2:24" x14ac:dyDescent="0.2">
      <c r="B175" s="43" t="s">
        <v>232</v>
      </c>
      <c r="C175" s="43">
        <v>99</v>
      </c>
      <c r="D175" s="43" t="s">
        <v>620</v>
      </c>
      <c r="E175" s="43" t="s">
        <v>107</v>
      </c>
      <c r="F175" s="43" t="s">
        <v>622</v>
      </c>
      <c r="G175" s="43" t="s">
        <v>385</v>
      </c>
      <c r="H175" s="43">
        <v>60</v>
      </c>
      <c r="I175" s="43">
        <v>-28.209099999999999</v>
      </c>
      <c r="J175" s="28">
        <v>-1.902E-7</v>
      </c>
      <c r="K175" s="43" t="s">
        <v>913</v>
      </c>
      <c r="L175" s="43" t="s">
        <v>65</v>
      </c>
      <c r="N175" s="43" t="s">
        <v>232</v>
      </c>
      <c r="O175" s="43">
        <v>99</v>
      </c>
      <c r="P175" s="43" t="s">
        <v>620</v>
      </c>
      <c r="Q175" s="43" t="s">
        <v>380</v>
      </c>
      <c r="R175" s="43" t="s">
        <v>622</v>
      </c>
      <c r="S175" s="43" t="s">
        <v>385</v>
      </c>
      <c r="T175" s="43">
        <v>10</v>
      </c>
      <c r="U175" s="43">
        <v>-28.298100000000002</v>
      </c>
      <c r="V175" s="28">
        <v>-1.9079999999999999E-7</v>
      </c>
      <c r="W175" s="43" t="s">
        <v>913</v>
      </c>
      <c r="X175" s="43" t="s">
        <v>65</v>
      </c>
    </row>
    <row r="176" spans="2:24" x14ac:dyDescent="0.2">
      <c r="B176" s="43" t="s">
        <v>232</v>
      </c>
      <c r="C176" s="43">
        <v>102</v>
      </c>
      <c r="D176" s="43" t="s">
        <v>623</v>
      </c>
      <c r="E176" s="43" t="s">
        <v>107</v>
      </c>
      <c r="F176" s="43" t="s">
        <v>624</v>
      </c>
      <c r="G176" s="43" t="s">
        <v>383</v>
      </c>
      <c r="H176" s="43">
        <v>60</v>
      </c>
      <c r="I176" s="43">
        <v>-79.478499999999997</v>
      </c>
      <c r="J176" s="28">
        <v>-9.9999999999999995E-7</v>
      </c>
      <c r="K176" s="43" t="s">
        <v>913</v>
      </c>
      <c r="L176" s="43" t="s">
        <v>65</v>
      </c>
      <c r="N176" s="43" t="s">
        <v>232</v>
      </c>
      <c r="O176" s="43">
        <v>102</v>
      </c>
      <c r="P176" s="43" t="s">
        <v>623</v>
      </c>
      <c r="Q176" s="43" t="s">
        <v>380</v>
      </c>
      <c r="R176" s="43" t="s">
        <v>624</v>
      </c>
      <c r="S176" s="43" t="s">
        <v>383</v>
      </c>
      <c r="T176" s="43">
        <v>10</v>
      </c>
      <c r="U176" s="43">
        <v>-79.386300000000006</v>
      </c>
      <c r="V176" s="28">
        <v>-9.9999999999999995E-7</v>
      </c>
      <c r="W176" s="43" t="s">
        <v>913</v>
      </c>
      <c r="X176" s="43" t="s">
        <v>65</v>
      </c>
    </row>
    <row r="177" spans="2:24" x14ac:dyDescent="0.2">
      <c r="B177" s="43" t="s">
        <v>232</v>
      </c>
      <c r="C177" s="43">
        <v>102</v>
      </c>
      <c r="D177" s="43" t="s">
        <v>623</v>
      </c>
      <c r="E177" s="43" t="s">
        <v>107</v>
      </c>
      <c r="F177" s="43" t="s">
        <v>625</v>
      </c>
      <c r="G177" s="43" t="s">
        <v>385</v>
      </c>
      <c r="H177" s="43">
        <v>60</v>
      </c>
      <c r="I177" s="43">
        <v>-13.4346</v>
      </c>
      <c r="J177" s="28">
        <v>-1.2709999999999999E-7</v>
      </c>
      <c r="K177" s="43" t="s">
        <v>913</v>
      </c>
      <c r="L177" s="43" t="s">
        <v>65</v>
      </c>
      <c r="N177" s="43" t="s">
        <v>232</v>
      </c>
      <c r="O177" s="43">
        <v>102</v>
      </c>
      <c r="P177" s="43" t="s">
        <v>623</v>
      </c>
      <c r="Q177" s="43" t="s">
        <v>380</v>
      </c>
      <c r="R177" s="43" t="s">
        <v>625</v>
      </c>
      <c r="S177" s="43" t="s">
        <v>385</v>
      </c>
      <c r="T177" s="43">
        <v>10</v>
      </c>
      <c r="U177" s="43">
        <v>-13.5153</v>
      </c>
      <c r="V177" s="28">
        <v>-1.279E-7</v>
      </c>
      <c r="W177" s="43" t="s">
        <v>913</v>
      </c>
      <c r="X177" s="43" t="s">
        <v>65</v>
      </c>
    </row>
    <row r="178" spans="2:24" x14ac:dyDescent="0.2">
      <c r="B178" s="43" t="s">
        <v>232</v>
      </c>
      <c r="C178" s="43">
        <v>110</v>
      </c>
      <c r="D178" s="43" t="s">
        <v>626</v>
      </c>
      <c r="E178" s="43" t="s">
        <v>107</v>
      </c>
      <c r="F178" s="43" t="s">
        <v>627</v>
      </c>
      <c r="G178" s="43" t="s">
        <v>383</v>
      </c>
      <c r="H178" s="43">
        <v>60</v>
      </c>
      <c r="I178" s="43">
        <v>-26.694800000000001</v>
      </c>
      <c r="J178" s="28">
        <v>-1.9929999999999999E-7</v>
      </c>
      <c r="K178" s="43" t="s">
        <v>913</v>
      </c>
      <c r="L178" s="43" t="s">
        <v>65</v>
      </c>
      <c r="N178" s="43" t="s">
        <v>232</v>
      </c>
      <c r="O178" s="43">
        <v>110</v>
      </c>
      <c r="P178" s="43" t="s">
        <v>626</v>
      </c>
      <c r="Q178" s="43" t="s">
        <v>380</v>
      </c>
      <c r="R178" s="43" t="s">
        <v>627</v>
      </c>
      <c r="S178" s="43" t="s">
        <v>383</v>
      </c>
      <c r="T178" s="43">
        <v>10</v>
      </c>
      <c r="U178" s="43">
        <v>-26.811900000000001</v>
      </c>
      <c r="V178" s="28">
        <v>-2.0020000000000001E-7</v>
      </c>
      <c r="W178" s="43" t="s">
        <v>913</v>
      </c>
      <c r="X178" s="43" t="s">
        <v>65</v>
      </c>
    </row>
    <row r="179" spans="2:24" x14ac:dyDescent="0.2">
      <c r="B179" s="43" t="s">
        <v>232</v>
      </c>
      <c r="C179" s="43">
        <v>110</v>
      </c>
      <c r="D179" s="43" t="s">
        <v>626</v>
      </c>
      <c r="E179" s="43" t="s">
        <v>107</v>
      </c>
      <c r="F179" s="43" t="s">
        <v>628</v>
      </c>
      <c r="G179" s="43" t="s">
        <v>385</v>
      </c>
      <c r="H179" s="43">
        <v>60</v>
      </c>
      <c r="I179" s="43">
        <v>-18.613800000000001</v>
      </c>
      <c r="J179" s="28">
        <v>-1.3899999999999999E-7</v>
      </c>
      <c r="K179" s="43" t="s">
        <v>913</v>
      </c>
      <c r="L179" s="43" t="s">
        <v>65</v>
      </c>
      <c r="N179" s="43" t="s">
        <v>232</v>
      </c>
      <c r="O179" s="43">
        <v>110</v>
      </c>
      <c r="P179" s="43" t="s">
        <v>626</v>
      </c>
      <c r="Q179" s="43" t="s">
        <v>380</v>
      </c>
      <c r="R179" s="43" t="s">
        <v>628</v>
      </c>
      <c r="S179" s="43" t="s">
        <v>385</v>
      </c>
      <c r="T179" s="43">
        <v>10</v>
      </c>
      <c r="U179" s="43">
        <v>-18.505500000000001</v>
      </c>
      <c r="V179" s="28">
        <v>-1.3820000000000001E-7</v>
      </c>
      <c r="W179" s="43" t="s">
        <v>913</v>
      </c>
      <c r="X179" s="43" t="s">
        <v>65</v>
      </c>
    </row>
    <row r="180" spans="2:24" x14ac:dyDescent="0.2">
      <c r="B180" s="43" t="s">
        <v>232</v>
      </c>
      <c r="C180" s="43">
        <v>111</v>
      </c>
      <c r="D180" s="43" t="s">
        <v>629</v>
      </c>
      <c r="E180" s="43" t="s">
        <v>107</v>
      </c>
      <c r="F180" s="43" t="s">
        <v>630</v>
      </c>
      <c r="G180" s="43" t="s">
        <v>383</v>
      </c>
      <c r="H180" s="43">
        <v>60</v>
      </c>
      <c r="I180" s="43">
        <v>-18.563400000000001</v>
      </c>
      <c r="J180" s="28">
        <v>-1.3860000000000001E-7</v>
      </c>
      <c r="K180" s="43" t="s">
        <v>913</v>
      </c>
      <c r="L180" s="43" t="s">
        <v>65</v>
      </c>
      <c r="N180" s="43" t="s">
        <v>232</v>
      </c>
      <c r="O180" s="43">
        <v>111</v>
      </c>
      <c r="P180" s="43" t="s">
        <v>629</v>
      </c>
      <c r="Q180" s="43" t="s">
        <v>380</v>
      </c>
      <c r="R180" s="43" t="s">
        <v>630</v>
      </c>
      <c r="S180" s="43" t="s">
        <v>383</v>
      </c>
      <c r="T180" s="43">
        <v>10</v>
      </c>
      <c r="U180" s="43">
        <v>-18.6706</v>
      </c>
      <c r="V180" s="28">
        <v>-1.3939999999999999E-7</v>
      </c>
      <c r="W180" s="43" t="s">
        <v>913</v>
      </c>
      <c r="X180" s="43" t="s">
        <v>65</v>
      </c>
    </row>
    <row r="181" spans="2:24" x14ac:dyDescent="0.2">
      <c r="B181" s="43" t="s">
        <v>232</v>
      </c>
      <c r="C181" s="43">
        <v>111</v>
      </c>
      <c r="D181" s="43" t="s">
        <v>629</v>
      </c>
      <c r="E181" s="43" t="s">
        <v>107</v>
      </c>
      <c r="F181" s="43" t="s">
        <v>631</v>
      </c>
      <c r="G181" s="43" t="s">
        <v>385</v>
      </c>
      <c r="H181" s="43">
        <v>60</v>
      </c>
      <c r="I181" s="43">
        <v>-28.0106</v>
      </c>
      <c r="J181" s="28">
        <v>-2.0910000000000001E-7</v>
      </c>
      <c r="K181" s="43" t="s">
        <v>913</v>
      </c>
      <c r="L181" s="43" t="s">
        <v>65</v>
      </c>
      <c r="N181" s="43" t="s">
        <v>232</v>
      </c>
      <c r="O181" s="43">
        <v>111</v>
      </c>
      <c r="P181" s="43" t="s">
        <v>629</v>
      </c>
      <c r="Q181" s="43" t="s">
        <v>380</v>
      </c>
      <c r="R181" s="43" t="s">
        <v>631</v>
      </c>
      <c r="S181" s="43" t="s">
        <v>385</v>
      </c>
      <c r="T181" s="43">
        <v>10</v>
      </c>
      <c r="U181" s="43">
        <v>-27.8996</v>
      </c>
      <c r="V181" s="28">
        <v>-2.0830000000000001E-7</v>
      </c>
      <c r="W181" s="43" t="s">
        <v>913</v>
      </c>
      <c r="X181" s="43" t="s">
        <v>65</v>
      </c>
    </row>
    <row r="182" spans="2:24" x14ac:dyDescent="0.2">
      <c r="B182" s="43" t="s">
        <v>232</v>
      </c>
      <c r="C182" s="43">
        <v>112</v>
      </c>
      <c r="D182" s="43" t="s">
        <v>629</v>
      </c>
      <c r="E182" s="43" t="s">
        <v>107</v>
      </c>
      <c r="F182" s="43" t="s">
        <v>632</v>
      </c>
      <c r="G182" s="43" t="s">
        <v>383</v>
      </c>
      <c r="H182" s="43">
        <v>60</v>
      </c>
      <c r="I182" s="43">
        <v>-28.5366</v>
      </c>
      <c r="J182" s="28">
        <v>-2.252E-7</v>
      </c>
      <c r="K182" s="43" t="s">
        <v>913</v>
      </c>
      <c r="L182" s="43" t="s">
        <v>65</v>
      </c>
      <c r="N182" s="43" t="s">
        <v>232</v>
      </c>
      <c r="O182" s="43">
        <v>112</v>
      </c>
      <c r="P182" s="43" t="s">
        <v>629</v>
      </c>
      <c r="Q182" s="43" t="s">
        <v>380</v>
      </c>
      <c r="R182" s="43" t="s">
        <v>632</v>
      </c>
      <c r="S182" s="43" t="s">
        <v>383</v>
      </c>
      <c r="T182" s="43">
        <v>10</v>
      </c>
      <c r="U182" s="43">
        <v>-28.642099999999999</v>
      </c>
      <c r="V182" s="28">
        <v>-2.2609999999999999E-7</v>
      </c>
      <c r="W182" s="43" t="s">
        <v>913</v>
      </c>
      <c r="X182" s="43" t="s">
        <v>65</v>
      </c>
    </row>
    <row r="183" spans="2:24" x14ac:dyDescent="0.2">
      <c r="B183" s="43" t="s">
        <v>232</v>
      </c>
      <c r="C183" s="43">
        <v>112</v>
      </c>
      <c r="D183" s="43" t="s">
        <v>629</v>
      </c>
      <c r="E183" s="43" t="s">
        <v>107</v>
      </c>
      <c r="F183" s="43" t="s">
        <v>633</v>
      </c>
      <c r="G183" s="43" t="s">
        <v>385</v>
      </c>
      <c r="H183" s="43">
        <v>60</v>
      </c>
      <c r="I183" s="43">
        <v>-28.567299999999999</v>
      </c>
      <c r="J183" s="28">
        <v>-2.255E-7</v>
      </c>
      <c r="K183" s="43" t="s">
        <v>913</v>
      </c>
      <c r="L183" s="43" t="s">
        <v>65</v>
      </c>
      <c r="N183" s="43" t="s">
        <v>232</v>
      </c>
      <c r="O183" s="43">
        <v>112</v>
      </c>
      <c r="P183" s="43" t="s">
        <v>629</v>
      </c>
      <c r="Q183" s="43" t="s">
        <v>380</v>
      </c>
      <c r="R183" s="43" t="s">
        <v>633</v>
      </c>
      <c r="S183" s="43" t="s">
        <v>385</v>
      </c>
      <c r="T183" s="43">
        <v>10</v>
      </c>
      <c r="U183" s="43">
        <v>-28.4617</v>
      </c>
      <c r="V183" s="28">
        <v>-2.2469999999999999E-7</v>
      </c>
      <c r="W183" s="43" t="s">
        <v>913</v>
      </c>
      <c r="X183" s="43" t="s">
        <v>65</v>
      </c>
    </row>
    <row r="184" spans="2:24" x14ac:dyDescent="0.2">
      <c r="B184" s="43" t="s">
        <v>232</v>
      </c>
      <c r="C184" s="43">
        <v>113</v>
      </c>
      <c r="D184" s="43" t="s">
        <v>629</v>
      </c>
      <c r="E184" s="43" t="s">
        <v>107</v>
      </c>
      <c r="F184" s="43" t="s">
        <v>634</v>
      </c>
      <c r="G184" s="43" t="s">
        <v>383</v>
      </c>
      <c r="H184" s="43">
        <v>60</v>
      </c>
      <c r="I184" s="43">
        <v>-27.984300000000001</v>
      </c>
      <c r="J184" s="28">
        <v>-2.089E-7</v>
      </c>
      <c r="K184" s="43" t="s">
        <v>913</v>
      </c>
      <c r="L184" s="43" t="s">
        <v>65</v>
      </c>
      <c r="N184" s="43" t="s">
        <v>232</v>
      </c>
      <c r="O184" s="43">
        <v>113</v>
      </c>
      <c r="P184" s="43" t="s">
        <v>629</v>
      </c>
      <c r="Q184" s="43" t="s">
        <v>380</v>
      </c>
      <c r="R184" s="43" t="s">
        <v>634</v>
      </c>
      <c r="S184" s="43" t="s">
        <v>383</v>
      </c>
      <c r="T184" s="43">
        <v>10</v>
      </c>
      <c r="U184" s="43">
        <v>-28.095800000000001</v>
      </c>
      <c r="V184" s="28">
        <v>-2.0980000000000001E-7</v>
      </c>
      <c r="W184" s="43" t="s">
        <v>913</v>
      </c>
      <c r="X184" s="43" t="s">
        <v>65</v>
      </c>
    </row>
    <row r="185" spans="2:24" x14ac:dyDescent="0.2">
      <c r="B185" s="43" t="s">
        <v>232</v>
      </c>
      <c r="C185" s="43">
        <v>113</v>
      </c>
      <c r="D185" s="43" t="s">
        <v>629</v>
      </c>
      <c r="E185" s="43" t="s">
        <v>107</v>
      </c>
      <c r="F185" s="43" t="s">
        <v>635</v>
      </c>
      <c r="G185" s="43" t="s">
        <v>385</v>
      </c>
      <c r="H185" s="43">
        <v>60</v>
      </c>
      <c r="I185" s="43">
        <v>-18.582999999999998</v>
      </c>
      <c r="J185" s="28">
        <v>-1.388E-7</v>
      </c>
      <c r="K185" s="43" t="s">
        <v>913</v>
      </c>
      <c r="L185" s="43" t="s">
        <v>65</v>
      </c>
      <c r="N185" s="43" t="s">
        <v>232</v>
      </c>
      <c r="O185" s="43">
        <v>113</v>
      </c>
      <c r="P185" s="43" t="s">
        <v>629</v>
      </c>
      <c r="Q185" s="43" t="s">
        <v>380</v>
      </c>
      <c r="R185" s="43" t="s">
        <v>635</v>
      </c>
      <c r="S185" s="43" t="s">
        <v>385</v>
      </c>
      <c r="T185" s="43">
        <v>10</v>
      </c>
      <c r="U185" s="43">
        <v>-18.475200000000001</v>
      </c>
      <c r="V185" s="28">
        <v>-1.3790000000000001E-7</v>
      </c>
      <c r="W185" s="43" t="s">
        <v>913</v>
      </c>
      <c r="X185" s="43" t="s">
        <v>65</v>
      </c>
    </row>
    <row r="186" spans="2:24" x14ac:dyDescent="0.2">
      <c r="B186" s="43" t="s">
        <v>232</v>
      </c>
      <c r="C186" s="43">
        <v>114</v>
      </c>
      <c r="D186" s="43" t="s">
        <v>636</v>
      </c>
      <c r="E186" s="43" t="s">
        <v>107</v>
      </c>
      <c r="F186" s="43" t="s">
        <v>637</v>
      </c>
      <c r="G186" s="43" t="s">
        <v>383</v>
      </c>
      <c r="H186" s="43">
        <v>60</v>
      </c>
      <c r="I186" s="43">
        <v>-18.575399999999998</v>
      </c>
      <c r="J186" s="28">
        <v>-1.3869999999999999E-7</v>
      </c>
      <c r="K186" s="43" t="s">
        <v>913</v>
      </c>
      <c r="L186" s="43" t="s">
        <v>65</v>
      </c>
      <c r="N186" s="43" t="s">
        <v>232</v>
      </c>
      <c r="O186" s="43">
        <v>114</v>
      </c>
      <c r="P186" s="43" t="s">
        <v>636</v>
      </c>
      <c r="Q186" s="43" t="s">
        <v>380</v>
      </c>
      <c r="R186" s="43" t="s">
        <v>637</v>
      </c>
      <c r="S186" s="43" t="s">
        <v>383</v>
      </c>
      <c r="T186" s="43">
        <v>10</v>
      </c>
      <c r="U186" s="43">
        <v>-18.687999999999999</v>
      </c>
      <c r="V186" s="28">
        <v>-1.395E-7</v>
      </c>
      <c r="W186" s="43" t="s">
        <v>913</v>
      </c>
      <c r="X186" s="43" t="s">
        <v>65</v>
      </c>
    </row>
    <row r="187" spans="2:24" x14ac:dyDescent="0.2">
      <c r="B187" s="43" t="s">
        <v>232</v>
      </c>
      <c r="C187" s="43">
        <v>114</v>
      </c>
      <c r="D187" s="43" t="s">
        <v>636</v>
      </c>
      <c r="E187" s="43" t="s">
        <v>107</v>
      </c>
      <c r="F187" s="43" t="s">
        <v>638</v>
      </c>
      <c r="G187" s="43" t="s">
        <v>385</v>
      </c>
      <c r="H187" s="43">
        <v>60</v>
      </c>
      <c r="I187" s="43">
        <v>-26.773499999999999</v>
      </c>
      <c r="J187" s="28">
        <v>-1.9990000000000001E-7</v>
      </c>
      <c r="K187" s="43" t="s">
        <v>913</v>
      </c>
      <c r="L187" s="43" t="s">
        <v>65</v>
      </c>
      <c r="N187" s="43" t="s">
        <v>232</v>
      </c>
      <c r="O187" s="43">
        <v>114</v>
      </c>
      <c r="P187" s="43" t="s">
        <v>636</v>
      </c>
      <c r="Q187" s="43" t="s">
        <v>380</v>
      </c>
      <c r="R187" s="43" t="s">
        <v>638</v>
      </c>
      <c r="S187" s="43" t="s">
        <v>385</v>
      </c>
      <c r="T187" s="43">
        <v>10</v>
      </c>
      <c r="U187" s="43">
        <v>-26.651800000000001</v>
      </c>
      <c r="V187" s="28">
        <v>-1.99E-7</v>
      </c>
      <c r="W187" s="43" t="s">
        <v>913</v>
      </c>
      <c r="X187" s="43" t="s">
        <v>65</v>
      </c>
    </row>
    <row r="188" spans="2:24" x14ac:dyDescent="0.2">
      <c r="B188" s="43" t="s">
        <v>232</v>
      </c>
      <c r="C188" s="43">
        <v>88</v>
      </c>
      <c r="D188" s="43" t="s">
        <v>639</v>
      </c>
      <c r="E188" s="43" t="s">
        <v>107</v>
      </c>
      <c r="F188" s="43" t="s">
        <v>640</v>
      </c>
      <c r="G188" s="43" t="s">
        <v>383</v>
      </c>
      <c r="H188" s="43">
        <v>60</v>
      </c>
      <c r="I188" s="43">
        <v>-78.5869</v>
      </c>
      <c r="J188" s="28">
        <v>-9.9999999999999995E-7</v>
      </c>
      <c r="K188" s="43" t="s">
        <v>913</v>
      </c>
      <c r="L188" s="43" t="s">
        <v>65</v>
      </c>
      <c r="N188" s="43" t="s">
        <v>232</v>
      </c>
      <c r="O188" s="43">
        <v>88</v>
      </c>
      <c r="P188" s="43" t="s">
        <v>639</v>
      </c>
      <c r="Q188" s="43" t="s">
        <v>380</v>
      </c>
      <c r="R188" s="43" t="s">
        <v>640</v>
      </c>
      <c r="S188" s="43" t="s">
        <v>383</v>
      </c>
      <c r="T188" s="43">
        <v>10</v>
      </c>
      <c r="U188" s="43">
        <v>-78.645799999999994</v>
      </c>
      <c r="V188" s="28">
        <v>-9.9999999999999995E-7</v>
      </c>
      <c r="W188" s="43" t="s">
        <v>913</v>
      </c>
      <c r="X188" s="43" t="s">
        <v>65</v>
      </c>
    </row>
    <row r="189" spans="2:24" x14ac:dyDescent="0.2">
      <c r="B189" s="43" t="s">
        <v>232</v>
      </c>
      <c r="C189" s="43">
        <v>88</v>
      </c>
      <c r="D189" s="43" t="s">
        <v>639</v>
      </c>
      <c r="E189" s="43" t="s">
        <v>107</v>
      </c>
      <c r="F189" s="43" t="s">
        <v>641</v>
      </c>
      <c r="G189" s="43" t="s">
        <v>385</v>
      </c>
      <c r="H189" s="43">
        <v>60</v>
      </c>
      <c r="I189" s="43">
        <v>-7.7016</v>
      </c>
      <c r="J189" s="28">
        <v>-6.5970000000000001E-8</v>
      </c>
      <c r="K189" s="43" t="s">
        <v>913</v>
      </c>
      <c r="L189" s="43" t="s">
        <v>65</v>
      </c>
      <c r="N189" s="43" t="s">
        <v>232</v>
      </c>
      <c r="O189" s="43">
        <v>88</v>
      </c>
      <c r="P189" s="43" t="s">
        <v>639</v>
      </c>
      <c r="Q189" s="43" t="s">
        <v>380</v>
      </c>
      <c r="R189" s="43" t="s">
        <v>641</v>
      </c>
      <c r="S189" s="43" t="s">
        <v>385</v>
      </c>
      <c r="T189" s="43">
        <v>10</v>
      </c>
      <c r="U189" s="43">
        <v>-7.6664000000000003</v>
      </c>
      <c r="V189" s="28">
        <v>-6.5670000000000005E-8</v>
      </c>
      <c r="W189" s="43" t="s">
        <v>913</v>
      </c>
      <c r="X189" s="43" t="s">
        <v>65</v>
      </c>
    </row>
    <row r="190" spans="2:24" x14ac:dyDescent="0.2">
      <c r="B190" s="43" t="s">
        <v>232</v>
      </c>
      <c r="C190" s="43">
        <v>91</v>
      </c>
      <c r="D190" s="43" t="s">
        <v>642</v>
      </c>
      <c r="E190" s="43" t="s">
        <v>107</v>
      </c>
      <c r="F190" s="43" t="s">
        <v>643</v>
      </c>
      <c r="G190" s="43" t="s">
        <v>383</v>
      </c>
      <c r="H190" s="43">
        <v>60</v>
      </c>
      <c r="I190" s="43">
        <v>-116.82729999999999</v>
      </c>
      <c r="J190" s="28">
        <v>-9.9999999999999995E-7</v>
      </c>
      <c r="K190" s="43" t="s">
        <v>913</v>
      </c>
      <c r="L190" s="43" t="s">
        <v>65</v>
      </c>
      <c r="N190" s="43" t="s">
        <v>232</v>
      </c>
      <c r="O190" s="43">
        <v>91</v>
      </c>
      <c r="P190" s="43" t="s">
        <v>642</v>
      </c>
      <c r="Q190" s="43" t="s">
        <v>380</v>
      </c>
      <c r="R190" s="43" t="s">
        <v>643</v>
      </c>
      <c r="S190" s="43" t="s">
        <v>383</v>
      </c>
      <c r="T190" s="43">
        <v>10</v>
      </c>
      <c r="U190" s="43">
        <v>-116.8507</v>
      </c>
      <c r="V190" s="28">
        <v>-9.9999999999999995E-7</v>
      </c>
      <c r="W190" s="43" t="s">
        <v>913</v>
      </c>
      <c r="X190" s="43" t="s">
        <v>65</v>
      </c>
    </row>
    <row r="191" spans="2:24" x14ac:dyDescent="0.2">
      <c r="B191" s="43" t="s">
        <v>232</v>
      </c>
      <c r="C191" s="43">
        <v>91</v>
      </c>
      <c r="D191" s="43" t="s">
        <v>642</v>
      </c>
      <c r="E191" s="43" t="s">
        <v>107</v>
      </c>
      <c r="F191" s="43" t="s">
        <v>644</v>
      </c>
      <c r="G191" s="43" t="s">
        <v>385</v>
      </c>
      <c r="H191" s="43">
        <v>60</v>
      </c>
      <c r="I191" s="43">
        <v>-28.867799999999999</v>
      </c>
      <c r="J191" s="28">
        <v>-1.9289999999999999E-7</v>
      </c>
      <c r="K191" s="43" t="s">
        <v>913</v>
      </c>
      <c r="L191" s="43" t="s">
        <v>65</v>
      </c>
      <c r="N191" s="43" t="s">
        <v>232</v>
      </c>
      <c r="O191" s="43">
        <v>91</v>
      </c>
      <c r="P191" s="43" t="s">
        <v>642</v>
      </c>
      <c r="Q191" s="43" t="s">
        <v>380</v>
      </c>
      <c r="R191" s="43" t="s">
        <v>644</v>
      </c>
      <c r="S191" s="43" t="s">
        <v>385</v>
      </c>
      <c r="T191" s="43">
        <v>10</v>
      </c>
      <c r="U191" s="43">
        <v>-28.845099999999999</v>
      </c>
      <c r="V191" s="28">
        <v>-1.927E-7</v>
      </c>
      <c r="W191" s="43" t="s">
        <v>913</v>
      </c>
      <c r="X191" s="43" t="s">
        <v>65</v>
      </c>
    </row>
    <row r="192" spans="2:24" x14ac:dyDescent="0.2">
      <c r="B192" s="43" t="s">
        <v>232</v>
      </c>
      <c r="C192" s="43">
        <v>94</v>
      </c>
      <c r="D192" s="43" t="s">
        <v>645</v>
      </c>
      <c r="E192" s="43" t="s">
        <v>107</v>
      </c>
      <c r="F192" s="43" t="s">
        <v>646</v>
      </c>
      <c r="G192" s="43" t="s">
        <v>383</v>
      </c>
      <c r="H192" s="43">
        <v>60</v>
      </c>
      <c r="I192" s="43">
        <v>-100.9453</v>
      </c>
      <c r="J192" s="28">
        <v>-9.9999999999999995E-7</v>
      </c>
      <c r="K192" s="43" t="s">
        <v>913</v>
      </c>
      <c r="L192" s="43" t="s">
        <v>65</v>
      </c>
      <c r="N192" s="43" t="s">
        <v>232</v>
      </c>
      <c r="O192" s="43">
        <v>94</v>
      </c>
      <c r="P192" s="43" t="s">
        <v>645</v>
      </c>
      <c r="Q192" s="43" t="s">
        <v>380</v>
      </c>
      <c r="R192" s="43" t="s">
        <v>646</v>
      </c>
      <c r="S192" s="43" t="s">
        <v>383</v>
      </c>
      <c r="T192" s="43">
        <v>10</v>
      </c>
      <c r="U192" s="43">
        <v>-100.9299</v>
      </c>
      <c r="V192" s="28">
        <v>-9.9999999999999995E-7</v>
      </c>
      <c r="W192" s="43" t="s">
        <v>913</v>
      </c>
      <c r="X192" s="43" t="s">
        <v>65</v>
      </c>
    </row>
    <row r="193" spans="2:24" x14ac:dyDescent="0.2">
      <c r="B193" s="43" t="s">
        <v>232</v>
      </c>
      <c r="C193" s="43">
        <v>94</v>
      </c>
      <c r="D193" s="43" t="s">
        <v>645</v>
      </c>
      <c r="E193" s="43" t="s">
        <v>107</v>
      </c>
      <c r="F193" s="43" t="s">
        <v>647</v>
      </c>
      <c r="G193" s="43" t="s">
        <v>385</v>
      </c>
      <c r="H193" s="43">
        <v>60</v>
      </c>
      <c r="I193" s="43">
        <v>-13.273300000000001</v>
      </c>
      <c r="J193" s="28">
        <v>-9.041E-8</v>
      </c>
      <c r="K193" s="43" t="s">
        <v>913</v>
      </c>
      <c r="L193" s="43" t="s">
        <v>65</v>
      </c>
      <c r="N193" s="43" t="s">
        <v>232</v>
      </c>
      <c r="O193" s="43">
        <v>94</v>
      </c>
      <c r="P193" s="43" t="s">
        <v>645</v>
      </c>
      <c r="Q193" s="43" t="s">
        <v>380</v>
      </c>
      <c r="R193" s="43" t="s">
        <v>647</v>
      </c>
      <c r="S193" s="43" t="s">
        <v>385</v>
      </c>
      <c r="T193" s="43">
        <v>10</v>
      </c>
      <c r="U193" s="43">
        <v>-13.287100000000001</v>
      </c>
      <c r="V193" s="28">
        <v>-9.0499999999999996E-8</v>
      </c>
      <c r="W193" s="43" t="s">
        <v>913</v>
      </c>
      <c r="X193" s="43" t="s">
        <v>65</v>
      </c>
    </row>
    <row r="194" spans="2:24" x14ac:dyDescent="0.2">
      <c r="B194" s="43" t="s">
        <v>232</v>
      </c>
      <c r="C194" s="43">
        <v>97</v>
      </c>
      <c r="D194" s="43" t="s">
        <v>648</v>
      </c>
      <c r="E194" s="43" t="s">
        <v>107</v>
      </c>
      <c r="F194" s="43" t="s">
        <v>649</v>
      </c>
      <c r="G194" s="43" t="s">
        <v>383</v>
      </c>
      <c r="H194" s="43">
        <v>60</v>
      </c>
      <c r="I194" s="43">
        <v>-100.90819999999999</v>
      </c>
      <c r="J194" s="28">
        <v>-9.9999999999999995E-7</v>
      </c>
      <c r="K194" s="43" t="s">
        <v>913</v>
      </c>
      <c r="L194" s="43" t="s">
        <v>65</v>
      </c>
      <c r="N194" s="43" t="s">
        <v>232</v>
      </c>
      <c r="O194" s="43">
        <v>97</v>
      </c>
      <c r="P194" s="43" t="s">
        <v>648</v>
      </c>
      <c r="Q194" s="43" t="s">
        <v>380</v>
      </c>
      <c r="R194" s="43" t="s">
        <v>649</v>
      </c>
      <c r="S194" s="43" t="s">
        <v>383</v>
      </c>
      <c r="T194" s="43">
        <v>10</v>
      </c>
      <c r="U194" s="43">
        <v>-100.85680000000001</v>
      </c>
      <c r="V194" s="28">
        <v>-9.9999999999999995E-7</v>
      </c>
      <c r="W194" s="43" t="s">
        <v>913</v>
      </c>
      <c r="X194" s="43" t="s">
        <v>65</v>
      </c>
    </row>
    <row r="195" spans="2:24" x14ac:dyDescent="0.2">
      <c r="B195" s="43" t="s">
        <v>232</v>
      </c>
      <c r="C195" s="43">
        <v>97</v>
      </c>
      <c r="D195" s="43" t="s">
        <v>648</v>
      </c>
      <c r="E195" s="43" t="s">
        <v>107</v>
      </c>
      <c r="F195" s="43" t="s">
        <v>650</v>
      </c>
      <c r="G195" s="43" t="s">
        <v>385</v>
      </c>
      <c r="H195" s="43">
        <v>60</v>
      </c>
      <c r="I195" s="43">
        <v>-13.312799999999999</v>
      </c>
      <c r="J195" s="28">
        <v>-9.0680000000000002E-8</v>
      </c>
      <c r="K195" s="43" t="s">
        <v>913</v>
      </c>
      <c r="L195" s="43" t="s">
        <v>65</v>
      </c>
      <c r="N195" s="43" t="s">
        <v>232</v>
      </c>
      <c r="O195" s="43">
        <v>97</v>
      </c>
      <c r="P195" s="43" t="s">
        <v>648</v>
      </c>
      <c r="Q195" s="43" t="s">
        <v>380</v>
      </c>
      <c r="R195" s="43" t="s">
        <v>650</v>
      </c>
      <c r="S195" s="43" t="s">
        <v>385</v>
      </c>
      <c r="T195" s="43">
        <v>10</v>
      </c>
      <c r="U195" s="43">
        <v>-13.366</v>
      </c>
      <c r="V195" s="28">
        <v>-9.104E-8</v>
      </c>
      <c r="W195" s="43" t="s">
        <v>913</v>
      </c>
      <c r="X195" s="43" t="s">
        <v>65</v>
      </c>
    </row>
    <row r="196" spans="2:24" x14ac:dyDescent="0.2">
      <c r="B196" s="43" t="s">
        <v>232</v>
      </c>
      <c r="C196" s="43">
        <v>100</v>
      </c>
      <c r="D196" s="43" t="s">
        <v>651</v>
      </c>
      <c r="E196" s="43" t="s">
        <v>107</v>
      </c>
      <c r="F196" s="43" t="s">
        <v>652</v>
      </c>
      <c r="G196" s="43" t="s">
        <v>383</v>
      </c>
      <c r="H196" s="43">
        <v>60</v>
      </c>
      <c r="I196" s="43">
        <v>-116.64790000000001</v>
      </c>
      <c r="J196" s="28">
        <v>-9.9999999999999995E-7</v>
      </c>
      <c r="K196" s="43" t="s">
        <v>913</v>
      </c>
      <c r="L196" s="43" t="s">
        <v>65</v>
      </c>
      <c r="N196" s="43" t="s">
        <v>232</v>
      </c>
      <c r="O196" s="43">
        <v>100</v>
      </c>
      <c r="P196" s="43" t="s">
        <v>651</v>
      </c>
      <c r="Q196" s="43" t="s">
        <v>380</v>
      </c>
      <c r="R196" s="43" t="s">
        <v>652</v>
      </c>
      <c r="S196" s="43" t="s">
        <v>383</v>
      </c>
      <c r="T196" s="43">
        <v>10</v>
      </c>
      <c r="U196" s="43">
        <v>-116.5585</v>
      </c>
      <c r="V196" s="28">
        <v>-9.9999999999999995E-7</v>
      </c>
      <c r="W196" s="43" t="s">
        <v>913</v>
      </c>
      <c r="X196" s="43" t="s">
        <v>65</v>
      </c>
    </row>
    <row r="197" spans="2:24" x14ac:dyDescent="0.2">
      <c r="B197" s="43" t="s">
        <v>232</v>
      </c>
      <c r="C197" s="43">
        <v>100</v>
      </c>
      <c r="D197" s="43" t="s">
        <v>651</v>
      </c>
      <c r="E197" s="43" t="s">
        <v>107</v>
      </c>
      <c r="F197" s="43" t="s">
        <v>653</v>
      </c>
      <c r="G197" s="43" t="s">
        <v>385</v>
      </c>
      <c r="H197" s="43">
        <v>60</v>
      </c>
      <c r="I197" s="43">
        <v>-28.997499999999999</v>
      </c>
      <c r="J197" s="28">
        <v>-1.9369999999999999E-7</v>
      </c>
      <c r="K197" s="43" t="s">
        <v>913</v>
      </c>
      <c r="L197" s="43" t="s">
        <v>65</v>
      </c>
      <c r="N197" s="43" t="s">
        <v>232</v>
      </c>
      <c r="O197" s="43">
        <v>100</v>
      </c>
      <c r="P197" s="43" t="s">
        <v>651</v>
      </c>
      <c r="Q197" s="43" t="s">
        <v>380</v>
      </c>
      <c r="R197" s="43" t="s">
        <v>653</v>
      </c>
      <c r="S197" s="43" t="s">
        <v>385</v>
      </c>
      <c r="T197" s="43">
        <v>10</v>
      </c>
      <c r="U197" s="43">
        <v>-29.086300000000001</v>
      </c>
      <c r="V197" s="28">
        <v>-1.9430000000000001E-7</v>
      </c>
      <c r="W197" s="43" t="s">
        <v>913</v>
      </c>
      <c r="X197" s="43" t="s">
        <v>65</v>
      </c>
    </row>
    <row r="198" spans="2:24" x14ac:dyDescent="0.2">
      <c r="B198" s="43" t="s">
        <v>232</v>
      </c>
      <c r="C198" s="43">
        <v>103</v>
      </c>
      <c r="D198" s="43" t="s">
        <v>654</v>
      </c>
      <c r="E198" s="43" t="s">
        <v>107</v>
      </c>
      <c r="F198" s="43" t="s">
        <v>655</v>
      </c>
      <c r="G198" s="43" t="s">
        <v>383</v>
      </c>
      <c r="H198" s="43">
        <v>60</v>
      </c>
      <c r="I198" s="43">
        <v>-78.421899999999994</v>
      </c>
      <c r="J198" s="28">
        <v>-9.9999999999999995E-7</v>
      </c>
      <c r="K198" s="43" t="s">
        <v>913</v>
      </c>
      <c r="L198" s="43" t="s">
        <v>65</v>
      </c>
      <c r="N198" s="43" t="s">
        <v>232</v>
      </c>
      <c r="O198" s="43">
        <v>103</v>
      </c>
      <c r="P198" s="43" t="s">
        <v>654</v>
      </c>
      <c r="Q198" s="43" t="s">
        <v>380</v>
      </c>
      <c r="R198" s="43" t="s">
        <v>655</v>
      </c>
      <c r="S198" s="43" t="s">
        <v>383</v>
      </c>
      <c r="T198" s="43">
        <v>10</v>
      </c>
      <c r="U198" s="43">
        <v>-78.306100000000001</v>
      </c>
      <c r="V198" s="28">
        <v>-9.9999999999999995E-7</v>
      </c>
      <c r="W198" s="43" t="s">
        <v>913</v>
      </c>
      <c r="X198" s="43" t="s">
        <v>65</v>
      </c>
    </row>
    <row r="199" spans="2:24" x14ac:dyDescent="0.2">
      <c r="B199" s="43" t="s">
        <v>232</v>
      </c>
      <c r="C199" s="43">
        <v>103</v>
      </c>
      <c r="D199" s="43" t="s">
        <v>654</v>
      </c>
      <c r="E199" s="43" t="s">
        <v>107</v>
      </c>
      <c r="F199" s="43" t="s">
        <v>656</v>
      </c>
      <c r="G199" s="43" t="s">
        <v>385</v>
      </c>
      <c r="H199" s="43">
        <v>60</v>
      </c>
      <c r="I199" s="43">
        <v>-7.8578000000000001</v>
      </c>
      <c r="J199" s="28">
        <v>-6.7309999999999999E-8</v>
      </c>
      <c r="K199" s="43" t="s">
        <v>913</v>
      </c>
      <c r="L199" s="43" t="s">
        <v>65</v>
      </c>
      <c r="N199" s="43" t="s">
        <v>232</v>
      </c>
      <c r="O199" s="43">
        <v>103</v>
      </c>
      <c r="P199" s="43" t="s">
        <v>654</v>
      </c>
      <c r="Q199" s="43" t="s">
        <v>380</v>
      </c>
      <c r="R199" s="43" t="s">
        <v>656</v>
      </c>
      <c r="S199" s="43" t="s">
        <v>385</v>
      </c>
      <c r="T199" s="43">
        <v>10</v>
      </c>
      <c r="U199" s="43">
        <v>-7.95</v>
      </c>
      <c r="V199" s="28">
        <v>-6.8099999999999994E-8</v>
      </c>
      <c r="W199" s="43" t="s">
        <v>913</v>
      </c>
      <c r="X199" s="43" t="s">
        <v>65</v>
      </c>
    </row>
    <row r="200" spans="2:24" x14ac:dyDescent="0.2">
      <c r="B200" s="43" t="s">
        <v>232</v>
      </c>
      <c r="C200" s="43">
        <v>115</v>
      </c>
      <c r="D200" s="43" t="s">
        <v>657</v>
      </c>
      <c r="E200" s="43" t="s">
        <v>107</v>
      </c>
      <c r="F200" s="43" t="s">
        <v>658</v>
      </c>
      <c r="G200" s="43" t="s">
        <v>383</v>
      </c>
      <c r="H200" s="43">
        <v>60</v>
      </c>
      <c r="I200" s="43">
        <v>-26.682400000000001</v>
      </c>
      <c r="J200" s="28">
        <v>-1.9920000000000001E-7</v>
      </c>
      <c r="K200" s="43" t="s">
        <v>913</v>
      </c>
      <c r="L200" s="43" t="s">
        <v>65</v>
      </c>
      <c r="N200" s="43" t="s">
        <v>232</v>
      </c>
      <c r="O200" s="43">
        <v>115</v>
      </c>
      <c r="P200" s="43" t="s">
        <v>657</v>
      </c>
      <c r="Q200" s="43" t="s">
        <v>380</v>
      </c>
      <c r="R200" s="43" t="s">
        <v>658</v>
      </c>
      <c r="S200" s="43" t="s">
        <v>383</v>
      </c>
      <c r="T200" s="43">
        <v>10</v>
      </c>
      <c r="U200" s="43">
        <v>-26.851199999999999</v>
      </c>
      <c r="V200" s="28">
        <v>-2.005E-7</v>
      </c>
      <c r="W200" s="43" t="s">
        <v>913</v>
      </c>
      <c r="X200" s="43" t="s">
        <v>65</v>
      </c>
    </row>
    <row r="201" spans="2:24" x14ac:dyDescent="0.2">
      <c r="B201" s="43" t="s">
        <v>232</v>
      </c>
      <c r="C201" s="43">
        <v>115</v>
      </c>
      <c r="D201" s="43" t="s">
        <v>657</v>
      </c>
      <c r="E201" s="43" t="s">
        <v>107</v>
      </c>
      <c r="F201" s="43" t="s">
        <v>659</v>
      </c>
      <c r="G201" s="43" t="s">
        <v>385</v>
      </c>
      <c r="H201" s="43">
        <v>60</v>
      </c>
      <c r="I201" s="43">
        <v>-18.521599999999999</v>
      </c>
      <c r="J201" s="28">
        <v>-1.3829999999999999E-7</v>
      </c>
      <c r="K201" s="43" t="s">
        <v>913</v>
      </c>
      <c r="L201" s="43" t="s">
        <v>65</v>
      </c>
      <c r="N201" s="43" t="s">
        <v>232</v>
      </c>
      <c r="O201" s="43">
        <v>115</v>
      </c>
      <c r="P201" s="43" t="s">
        <v>657</v>
      </c>
      <c r="Q201" s="43" t="s">
        <v>380</v>
      </c>
      <c r="R201" s="43" t="s">
        <v>659</v>
      </c>
      <c r="S201" s="43" t="s">
        <v>385</v>
      </c>
      <c r="T201" s="43">
        <v>10</v>
      </c>
      <c r="U201" s="43">
        <v>-18.3644</v>
      </c>
      <c r="V201" s="28">
        <v>-1.371E-7</v>
      </c>
      <c r="W201" s="43" t="s">
        <v>913</v>
      </c>
      <c r="X201" s="43" t="s">
        <v>65</v>
      </c>
    </row>
    <row r="202" spans="2:24" x14ac:dyDescent="0.2">
      <c r="B202" s="43" t="s">
        <v>232</v>
      </c>
      <c r="C202" s="43">
        <v>116</v>
      </c>
      <c r="D202" s="43" t="s">
        <v>660</v>
      </c>
      <c r="E202" s="43" t="s">
        <v>107</v>
      </c>
      <c r="F202" s="43" t="s">
        <v>661</v>
      </c>
      <c r="G202" s="43" t="s">
        <v>383</v>
      </c>
      <c r="H202" s="43">
        <v>60</v>
      </c>
      <c r="I202" s="43">
        <v>-18.596499999999999</v>
      </c>
      <c r="J202" s="28">
        <v>-1.3890000000000001E-7</v>
      </c>
      <c r="K202" s="43" t="s">
        <v>913</v>
      </c>
      <c r="L202" s="43" t="s">
        <v>65</v>
      </c>
      <c r="N202" s="43" t="s">
        <v>232</v>
      </c>
      <c r="O202" s="43">
        <v>116</v>
      </c>
      <c r="P202" s="43" t="s">
        <v>660</v>
      </c>
      <c r="Q202" s="43" t="s">
        <v>380</v>
      </c>
      <c r="R202" s="43" t="s">
        <v>661</v>
      </c>
      <c r="S202" s="43" t="s">
        <v>383</v>
      </c>
      <c r="T202" s="43">
        <v>10</v>
      </c>
      <c r="U202" s="43">
        <v>-18.749300000000002</v>
      </c>
      <c r="V202" s="28">
        <v>-1.4000000000000001E-7</v>
      </c>
      <c r="W202" s="43" t="s">
        <v>913</v>
      </c>
      <c r="X202" s="43" t="s">
        <v>65</v>
      </c>
    </row>
    <row r="203" spans="2:24" x14ac:dyDescent="0.2">
      <c r="B203" s="43" t="s">
        <v>232</v>
      </c>
      <c r="C203" s="43">
        <v>116</v>
      </c>
      <c r="D203" s="43" t="s">
        <v>660</v>
      </c>
      <c r="E203" s="43" t="s">
        <v>107</v>
      </c>
      <c r="F203" s="43" t="s">
        <v>662</v>
      </c>
      <c r="G203" s="43" t="s">
        <v>385</v>
      </c>
      <c r="H203" s="43">
        <v>60</v>
      </c>
      <c r="I203" s="43">
        <v>-27.918299999999999</v>
      </c>
      <c r="J203" s="28">
        <v>-2.0849999999999999E-7</v>
      </c>
      <c r="K203" s="43" t="s">
        <v>913</v>
      </c>
      <c r="L203" s="43" t="s">
        <v>65</v>
      </c>
      <c r="N203" s="43" t="s">
        <v>232</v>
      </c>
      <c r="O203" s="43">
        <v>116</v>
      </c>
      <c r="P203" s="43" t="s">
        <v>660</v>
      </c>
      <c r="Q203" s="43" t="s">
        <v>380</v>
      </c>
      <c r="R203" s="43" t="s">
        <v>662</v>
      </c>
      <c r="S203" s="43" t="s">
        <v>385</v>
      </c>
      <c r="T203" s="43">
        <v>10</v>
      </c>
      <c r="U203" s="43">
        <v>-27.760899999999999</v>
      </c>
      <c r="V203" s="28">
        <v>-2.0730000000000001E-7</v>
      </c>
      <c r="W203" s="43" t="s">
        <v>913</v>
      </c>
      <c r="X203" s="43" t="s">
        <v>65</v>
      </c>
    </row>
    <row r="204" spans="2:24" x14ac:dyDescent="0.2">
      <c r="B204" s="43" t="s">
        <v>232</v>
      </c>
      <c r="C204" s="43">
        <v>117</v>
      </c>
      <c r="D204" s="43" t="s">
        <v>660</v>
      </c>
      <c r="E204" s="43" t="s">
        <v>107</v>
      </c>
      <c r="F204" s="43" t="s">
        <v>663</v>
      </c>
      <c r="G204" s="43" t="s">
        <v>383</v>
      </c>
      <c r="H204" s="43">
        <v>60</v>
      </c>
      <c r="I204" s="43">
        <v>-28.496500000000001</v>
      </c>
      <c r="J204" s="28">
        <v>-2.2490000000000001E-7</v>
      </c>
      <c r="K204" s="43" t="s">
        <v>913</v>
      </c>
      <c r="L204" s="43" t="s">
        <v>65</v>
      </c>
      <c r="N204" s="43" t="s">
        <v>232</v>
      </c>
      <c r="O204" s="43">
        <v>117</v>
      </c>
      <c r="P204" s="43" t="s">
        <v>660</v>
      </c>
      <c r="Q204" s="43" t="s">
        <v>380</v>
      </c>
      <c r="R204" s="43" t="s">
        <v>663</v>
      </c>
      <c r="S204" s="43" t="s">
        <v>383</v>
      </c>
      <c r="T204" s="43">
        <v>10</v>
      </c>
      <c r="U204" s="43">
        <v>-28.6465</v>
      </c>
      <c r="V204" s="28">
        <v>-2.2609999999999999E-7</v>
      </c>
      <c r="W204" s="43" t="s">
        <v>913</v>
      </c>
      <c r="X204" s="43" t="s">
        <v>65</v>
      </c>
    </row>
    <row r="205" spans="2:24" x14ac:dyDescent="0.2">
      <c r="B205" s="43" t="s">
        <v>232</v>
      </c>
      <c r="C205" s="43">
        <v>117</v>
      </c>
      <c r="D205" s="43" t="s">
        <v>660</v>
      </c>
      <c r="E205" s="43" t="s">
        <v>107</v>
      </c>
      <c r="F205" s="43" t="s">
        <v>664</v>
      </c>
      <c r="G205" s="43" t="s">
        <v>385</v>
      </c>
      <c r="H205" s="43">
        <v>60</v>
      </c>
      <c r="I205" s="43">
        <v>-28.440999999999999</v>
      </c>
      <c r="J205" s="28">
        <v>-2.2450000000000001E-7</v>
      </c>
      <c r="K205" s="43" t="s">
        <v>913</v>
      </c>
      <c r="L205" s="43" t="s">
        <v>65</v>
      </c>
      <c r="N205" s="43" t="s">
        <v>232</v>
      </c>
      <c r="O205" s="43">
        <v>117</v>
      </c>
      <c r="P205" s="43" t="s">
        <v>660</v>
      </c>
      <c r="Q205" s="43" t="s">
        <v>380</v>
      </c>
      <c r="R205" s="43" t="s">
        <v>664</v>
      </c>
      <c r="S205" s="43" t="s">
        <v>385</v>
      </c>
      <c r="T205" s="43">
        <v>10</v>
      </c>
      <c r="U205" s="43">
        <v>-28.2911</v>
      </c>
      <c r="V205" s="28">
        <v>-2.2329999999999999E-7</v>
      </c>
      <c r="W205" s="43" t="s">
        <v>913</v>
      </c>
      <c r="X205" s="43" t="s">
        <v>65</v>
      </c>
    </row>
    <row r="206" spans="2:24" x14ac:dyDescent="0.2">
      <c r="B206" s="43" t="s">
        <v>232</v>
      </c>
      <c r="C206" s="43">
        <v>118</v>
      </c>
      <c r="D206" s="43" t="s">
        <v>660</v>
      </c>
      <c r="E206" s="43" t="s">
        <v>107</v>
      </c>
      <c r="F206" s="43" t="s">
        <v>665</v>
      </c>
      <c r="G206" s="43" t="s">
        <v>383</v>
      </c>
      <c r="H206" s="43">
        <v>60</v>
      </c>
      <c r="I206" s="43">
        <v>-27.976400000000002</v>
      </c>
      <c r="J206" s="28">
        <v>-2.089E-7</v>
      </c>
      <c r="K206" s="43" t="s">
        <v>913</v>
      </c>
      <c r="L206" s="43" t="s">
        <v>65</v>
      </c>
      <c r="N206" s="43" t="s">
        <v>232</v>
      </c>
      <c r="O206" s="43">
        <v>118</v>
      </c>
      <c r="P206" s="43" t="s">
        <v>660</v>
      </c>
      <c r="Q206" s="43" t="s">
        <v>380</v>
      </c>
      <c r="R206" s="43" t="s">
        <v>665</v>
      </c>
      <c r="S206" s="43" t="s">
        <v>383</v>
      </c>
      <c r="T206" s="43">
        <v>10</v>
      </c>
      <c r="U206" s="43">
        <v>-28.134399999999999</v>
      </c>
      <c r="V206" s="28">
        <v>-2.1010000000000001E-7</v>
      </c>
      <c r="W206" s="43" t="s">
        <v>913</v>
      </c>
      <c r="X206" s="43" t="s">
        <v>65</v>
      </c>
    </row>
    <row r="207" spans="2:24" x14ac:dyDescent="0.2">
      <c r="B207" s="43" t="s">
        <v>232</v>
      </c>
      <c r="C207" s="43">
        <v>118</v>
      </c>
      <c r="D207" s="43" t="s">
        <v>660</v>
      </c>
      <c r="E207" s="43" t="s">
        <v>107</v>
      </c>
      <c r="F207" s="43" t="s">
        <v>666</v>
      </c>
      <c r="G207" s="43" t="s">
        <v>385</v>
      </c>
      <c r="H207" s="43">
        <v>60</v>
      </c>
      <c r="I207" s="43">
        <v>-18.539899999999999</v>
      </c>
      <c r="J207" s="28">
        <v>-1.384E-7</v>
      </c>
      <c r="K207" s="43" t="s">
        <v>913</v>
      </c>
      <c r="L207" s="43" t="s">
        <v>65</v>
      </c>
      <c r="N207" s="43" t="s">
        <v>232</v>
      </c>
      <c r="O207" s="43">
        <v>118</v>
      </c>
      <c r="P207" s="43" t="s">
        <v>660</v>
      </c>
      <c r="Q207" s="43" t="s">
        <v>380</v>
      </c>
      <c r="R207" s="43" t="s">
        <v>666</v>
      </c>
      <c r="S207" s="43" t="s">
        <v>385</v>
      </c>
      <c r="T207" s="43">
        <v>10</v>
      </c>
      <c r="U207" s="43">
        <v>-18.386500000000002</v>
      </c>
      <c r="V207" s="28">
        <v>-1.3729999999999999E-7</v>
      </c>
      <c r="W207" s="43" t="s">
        <v>913</v>
      </c>
      <c r="X207" s="43" t="s">
        <v>65</v>
      </c>
    </row>
    <row r="208" spans="2:24" x14ac:dyDescent="0.2">
      <c r="B208" s="43" t="s">
        <v>232</v>
      </c>
      <c r="C208" s="43">
        <v>119</v>
      </c>
      <c r="D208" s="43" t="s">
        <v>667</v>
      </c>
      <c r="E208" s="43" t="s">
        <v>107</v>
      </c>
      <c r="F208" s="43" t="s">
        <v>668</v>
      </c>
      <c r="G208" s="43" t="s">
        <v>383</v>
      </c>
      <c r="H208" s="43">
        <v>60</v>
      </c>
      <c r="I208" s="43">
        <v>-18.579499999999999</v>
      </c>
      <c r="J208" s="28">
        <v>-1.3869999999999999E-7</v>
      </c>
      <c r="K208" s="43" t="s">
        <v>913</v>
      </c>
      <c r="L208" s="43" t="s">
        <v>65</v>
      </c>
      <c r="N208" s="43" t="s">
        <v>232</v>
      </c>
      <c r="O208" s="43">
        <v>119</v>
      </c>
      <c r="P208" s="43" t="s">
        <v>667</v>
      </c>
      <c r="Q208" s="43" t="s">
        <v>380</v>
      </c>
      <c r="R208" s="43" t="s">
        <v>668</v>
      </c>
      <c r="S208" s="43" t="s">
        <v>383</v>
      </c>
      <c r="T208" s="43">
        <v>10</v>
      </c>
      <c r="U208" s="43">
        <v>-18.7362</v>
      </c>
      <c r="V208" s="28">
        <v>-1.399E-7</v>
      </c>
      <c r="W208" s="43" t="s">
        <v>913</v>
      </c>
      <c r="X208" s="43" t="s">
        <v>65</v>
      </c>
    </row>
    <row r="209" spans="2:24" x14ac:dyDescent="0.2">
      <c r="B209" s="43" t="s">
        <v>232</v>
      </c>
      <c r="C209" s="43">
        <v>119</v>
      </c>
      <c r="D209" s="43" t="s">
        <v>667</v>
      </c>
      <c r="E209" s="43" t="s">
        <v>107</v>
      </c>
      <c r="F209" s="43" t="s">
        <v>669</v>
      </c>
      <c r="G209" s="43" t="s">
        <v>385</v>
      </c>
      <c r="H209" s="43">
        <v>60</v>
      </c>
      <c r="I209" s="43">
        <v>-26.624600000000001</v>
      </c>
      <c r="J209" s="28">
        <v>-1.9880000000000001E-7</v>
      </c>
      <c r="K209" s="43" t="s">
        <v>913</v>
      </c>
      <c r="L209" s="43" t="s">
        <v>65</v>
      </c>
      <c r="N209" s="43" t="s">
        <v>232</v>
      </c>
      <c r="O209" s="43">
        <v>119</v>
      </c>
      <c r="P209" s="43" t="s">
        <v>667</v>
      </c>
      <c r="Q209" s="43" t="s">
        <v>380</v>
      </c>
      <c r="R209" s="43" t="s">
        <v>669</v>
      </c>
      <c r="S209" s="43" t="s">
        <v>385</v>
      </c>
      <c r="T209" s="43">
        <v>10</v>
      </c>
      <c r="U209" s="43">
        <v>-26.456600000000002</v>
      </c>
      <c r="V209" s="28">
        <v>-1.9749999999999999E-7</v>
      </c>
      <c r="W209" s="43" t="s">
        <v>913</v>
      </c>
      <c r="X209" s="43" t="s">
        <v>65</v>
      </c>
    </row>
    <row r="210" spans="2:24" x14ac:dyDescent="0.2">
      <c r="B210" s="43" t="s">
        <v>232</v>
      </c>
      <c r="C210" s="43">
        <v>89</v>
      </c>
      <c r="D210" s="43" t="s">
        <v>670</v>
      </c>
      <c r="E210" s="43" t="s">
        <v>107</v>
      </c>
      <c r="F210" s="43" t="s">
        <v>671</v>
      </c>
      <c r="G210" s="43" t="s">
        <v>383</v>
      </c>
      <c r="H210" s="43">
        <v>60</v>
      </c>
      <c r="I210" s="43">
        <v>-77.786600000000007</v>
      </c>
      <c r="J210" s="28">
        <v>-9.9999999999999995E-7</v>
      </c>
      <c r="K210" s="43" t="s">
        <v>913</v>
      </c>
      <c r="L210" s="43" t="s">
        <v>65</v>
      </c>
      <c r="N210" s="43" t="s">
        <v>232</v>
      </c>
      <c r="O210" s="43">
        <v>89</v>
      </c>
      <c r="P210" s="43" t="s">
        <v>670</v>
      </c>
      <c r="Q210" s="43" t="s">
        <v>380</v>
      </c>
      <c r="R210" s="43" t="s">
        <v>671</v>
      </c>
      <c r="S210" s="43" t="s">
        <v>383</v>
      </c>
      <c r="T210" s="43">
        <v>10</v>
      </c>
      <c r="U210" s="43">
        <v>-77.847399999999993</v>
      </c>
      <c r="V210" s="28">
        <v>-9.9999999999999995E-7</v>
      </c>
      <c r="W210" s="43" t="s">
        <v>913</v>
      </c>
      <c r="X210" s="43" t="s">
        <v>65</v>
      </c>
    </row>
    <row r="211" spans="2:24" x14ac:dyDescent="0.2">
      <c r="B211" s="43" t="s">
        <v>232</v>
      </c>
      <c r="C211" s="43">
        <v>89</v>
      </c>
      <c r="D211" s="43" t="s">
        <v>670</v>
      </c>
      <c r="E211" s="43" t="s">
        <v>107</v>
      </c>
      <c r="F211" s="43" t="s">
        <v>672</v>
      </c>
      <c r="G211" s="43" t="s">
        <v>385</v>
      </c>
      <c r="H211" s="43">
        <v>60</v>
      </c>
      <c r="I211" s="43">
        <v>-14.6944</v>
      </c>
      <c r="J211" s="28">
        <v>-1.3899999999999999E-7</v>
      </c>
      <c r="K211" s="43" t="s">
        <v>913</v>
      </c>
      <c r="L211" s="43" t="s">
        <v>65</v>
      </c>
      <c r="N211" s="43" t="s">
        <v>232</v>
      </c>
      <c r="O211" s="43">
        <v>89</v>
      </c>
      <c r="P211" s="43" t="s">
        <v>670</v>
      </c>
      <c r="Q211" s="43" t="s">
        <v>380</v>
      </c>
      <c r="R211" s="43" t="s">
        <v>672</v>
      </c>
      <c r="S211" s="43" t="s">
        <v>385</v>
      </c>
      <c r="T211" s="43">
        <v>10</v>
      </c>
      <c r="U211" s="43">
        <v>-14.666600000000001</v>
      </c>
      <c r="V211" s="28">
        <v>-1.388E-7</v>
      </c>
      <c r="W211" s="43" t="s">
        <v>913</v>
      </c>
      <c r="X211" s="43" t="s">
        <v>65</v>
      </c>
    </row>
    <row r="212" spans="2:24" x14ac:dyDescent="0.2">
      <c r="B212" s="43" t="s">
        <v>232</v>
      </c>
      <c r="C212" s="43">
        <v>92</v>
      </c>
      <c r="D212" s="43" t="s">
        <v>673</v>
      </c>
      <c r="E212" s="43" t="s">
        <v>107</v>
      </c>
      <c r="F212" s="43" t="s">
        <v>674</v>
      </c>
      <c r="G212" s="43" t="s">
        <v>383</v>
      </c>
      <c r="H212" s="43">
        <v>60</v>
      </c>
      <c r="I212" s="43">
        <v>-116.06659999999999</v>
      </c>
      <c r="J212" s="28">
        <v>-9.9999999999999995E-7</v>
      </c>
      <c r="K212" s="43" t="s">
        <v>913</v>
      </c>
      <c r="L212" s="43" t="s">
        <v>65</v>
      </c>
      <c r="N212" s="43" t="s">
        <v>232</v>
      </c>
      <c r="O212" s="43">
        <v>92</v>
      </c>
      <c r="P212" s="43" t="s">
        <v>673</v>
      </c>
      <c r="Q212" s="43" t="s">
        <v>380</v>
      </c>
      <c r="R212" s="43" t="s">
        <v>674</v>
      </c>
      <c r="S212" s="43" t="s">
        <v>383</v>
      </c>
      <c r="T212" s="43">
        <v>10</v>
      </c>
      <c r="U212" s="43">
        <v>-116.0909</v>
      </c>
      <c r="V212" s="28">
        <v>-9.9999999999999995E-7</v>
      </c>
      <c r="W212" s="43" t="s">
        <v>913</v>
      </c>
      <c r="X212" s="43" t="s">
        <v>65</v>
      </c>
    </row>
    <row r="213" spans="2:24" x14ac:dyDescent="0.2">
      <c r="B213" s="43" t="s">
        <v>232</v>
      </c>
      <c r="C213" s="43">
        <v>92</v>
      </c>
      <c r="D213" s="43" t="s">
        <v>673</v>
      </c>
      <c r="E213" s="43" t="s">
        <v>107</v>
      </c>
      <c r="F213" s="43" t="s">
        <v>675</v>
      </c>
      <c r="G213" s="43" t="s">
        <v>385</v>
      </c>
      <c r="H213" s="43">
        <v>60</v>
      </c>
      <c r="I213" s="43">
        <v>-13.133599999999999</v>
      </c>
      <c r="J213" s="28">
        <v>-8.8559999999999994E-8</v>
      </c>
      <c r="K213" s="43" t="s">
        <v>913</v>
      </c>
      <c r="L213" s="43" t="s">
        <v>65</v>
      </c>
      <c r="N213" s="43" t="s">
        <v>232</v>
      </c>
      <c r="O213" s="43">
        <v>92</v>
      </c>
      <c r="P213" s="43" t="s">
        <v>673</v>
      </c>
      <c r="Q213" s="43" t="s">
        <v>380</v>
      </c>
      <c r="R213" s="43" t="s">
        <v>675</v>
      </c>
      <c r="S213" s="43" t="s">
        <v>385</v>
      </c>
      <c r="T213" s="43">
        <v>10</v>
      </c>
      <c r="U213" s="43">
        <v>-13.1111</v>
      </c>
      <c r="V213" s="28">
        <v>-8.8409999999999996E-8</v>
      </c>
      <c r="W213" s="43" t="s">
        <v>913</v>
      </c>
      <c r="X213" s="43" t="s">
        <v>65</v>
      </c>
    </row>
    <row r="214" spans="2:24" x14ac:dyDescent="0.2">
      <c r="B214" s="43" t="s">
        <v>232</v>
      </c>
      <c r="C214" s="43">
        <v>95</v>
      </c>
      <c r="D214" s="43" t="s">
        <v>676</v>
      </c>
      <c r="E214" s="43" t="s">
        <v>107</v>
      </c>
      <c r="F214" s="43" t="s">
        <v>677</v>
      </c>
      <c r="G214" s="43" t="s">
        <v>383</v>
      </c>
      <c r="H214" s="43">
        <v>60</v>
      </c>
      <c r="I214" s="43">
        <v>-100.37779999999999</v>
      </c>
      <c r="J214" s="28">
        <v>-9.9999999999999995E-7</v>
      </c>
      <c r="K214" s="43" t="s">
        <v>913</v>
      </c>
      <c r="L214" s="43" t="s">
        <v>65</v>
      </c>
      <c r="N214" s="43" t="s">
        <v>232</v>
      </c>
      <c r="O214" s="43">
        <v>95</v>
      </c>
      <c r="P214" s="43" t="s">
        <v>676</v>
      </c>
      <c r="Q214" s="43" t="s">
        <v>380</v>
      </c>
      <c r="R214" s="43" t="s">
        <v>677</v>
      </c>
      <c r="S214" s="43" t="s">
        <v>383</v>
      </c>
      <c r="T214" s="43">
        <v>10</v>
      </c>
      <c r="U214" s="43">
        <v>-100.36409999999999</v>
      </c>
      <c r="V214" s="28">
        <v>-9.9999999999999995E-7</v>
      </c>
      <c r="W214" s="43" t="s">
        <v>913</v>
      </c>
      <c r="X214" s="43" t="s">
        <v>65</v>
      </c>
    </row>
    <row r="215" spans="2:24" x14ac:dyDescent="0.2">
      <c r="B215" s="43" t="s">
        <v>232</v>
      </c>
      <c r="C215" s="43">
        <v>95</v>
      </c>
      <c r="D215" s="43" t="s">
        <v>676</v>
      </c>
      <c r="E215" s="43" t="s">
        <v>107</v>
      </c>
      <c r="F215" s="43" t="s">
        <v>678</v>
      </c>
      <c r="G215" s="43" t="s">
        <v>385</v>
      </c>
      <c r="H215" s="43">
        <v>60</v>
      </c>
      <c r="I215" s="43">
        <v>-21.368500000000001</v>
      </c>
      <c r="J215" s="28">
        <v>-1.5099999999999999E-7</v>
      </c>
      <c r="K215" s="43" t="s">
        <v>913</v>
      </c>
      <c r="L215" s="43" t="s">
        <v>65</v>
      </c>
      <c r="N215" s="43" t="s">
        <v>232</v>
      </c>
      <c r="O215" s="43">
        <v>95</v>
      </c>
      <c r="P215" s="43" t="s">
        <v>676</v>
      </c>
      <c r="Q215" s="43" t="s">
        <v>380</v>
      </c>
      <c r="R215" s="43" t="s">
        <v>678</v>
      </c>
      <c r="S215" s="43" t="s">
        <v>385</v>
      </c>
      <c r="T215" s="43">
        <v>10</v>
      </c>
      <c r="U215" s="43">
        <v>-21.383700000000001</v>
      </c>
      <c r="V215" s="28">
        <v>-1.511E-7</v>
      </c>
      <c r="W215" s="43" t="s">
        <v>913</v>
      </c>
      <c r="X215" s="43" t="s">
        <v>65</v>
      </c>
    </row>
    <row r="216" spans="2:24" x14ac:dyDescent="0.2">
      <c r="B216" s="43" t="s">
        <v>232</v>
      </c>
      <c r="C216" s="43">
        <v>98</v>
      </c>
      <c r="D216" s="43" t="s">
        <v>679</v>
      </c>
      <c r="E216" s="43" t="s">
        <v>107</v>
      </c>
      <c r="F216" s="43" t="s">
        <v>680</v>
      </c>
      <c r="G216" s="43" t="s">
        <v>383</v>
      </c>
      <c r="H216" s="43">
        <v>60</v>
      </c>
      <c r="I216" s="43">
        <v>-100.3411</v>
      </c>
      <c r="J216" s="28">
        <v>-9.9999999999999995E-7</v>
      </c>
      <c r="K216" s="43" t="s">
        <v>913</v>
      </c>
      <c r="L216" s="43" t="s">
        <v>65</v>
      </c>
      <c r="N216" s="43" t="s">
        <v>232</v>
      </c>
      <c r="O216" s="43">
        <v>98</v>
      </c>
      <c r="P216" s="43" t="s">
        <v>679</v>
      </c>
      <c r="Q216" s="43" t="s">
        <v>380</v>
      </c>
      <c r="R216" s="43" t="s">
        <v>680</v>
      </c>
      <c r="S216" s="43" t="s">
        <v>383</v>
      </c>
      <c r="T216" s="43">
        <v>10</v>
      </c>
      <c r="U216" s="43">
        <v>-100.2895</v>
      </c>
      <c r="V216" s="28">
        <v>-9.9999999999999995E-7</v>
      </c>
      <c r="W216" s="43" t="s">
        <v>913</v>
      </c>
      <c r="X216" s="43" t="s">
        <v>65</v>
      </c>
    </row>
    <row r="217" spans="2:24" x14ac:dyDescent="0.2">
      <c r="B217" s="43" t="s">
        <v>232</v>
      </c>
      <c r="C217" s="43">
        <v>98</v>
      </c>
      <c r="D217" s="43" t="s">
        <v>679</v>
      </c>
      <c r="E217" s="43" t="s">
        <v>107</v>
      </c>
      <c r="F217" s="43" t="s">
        <v>681</v>
      </c>
      <c r="G217" s="43" t="s">
        <v>385</v>
      </c>
      <c r="H217" s="43">
        <v>60</v>
      </c>
      <c r="I217" s="43">
        <v>-21.405200000000001</v>
      </c>
      <c r="J217" s="28">
        <v>-1.5130000000000001E-7</v>
      </c>
      <c r="K217" s="43" t="s">
        <v>913</v>
      </c>
      <c r="L217" s="43" t="s">
        <v>65</v>
      </c>
      <c r="N217" s="43" t="s">
        <v>232</v>
      </c>
      <c r="O217" s="43">
        <v>98</v>
      </c>
      <c r="P217" s="43" t="s">
        <v>679</v>
      </c>
      <c r="Q217" s="43" t="s">
        <v>380</v>
      </c>
      <c r="R217" s="43" t="s">
        <v>681</v>
      </c>
      <c r="S217" s="43" t="s">
        <v>385</v>
      </c>
      <c r="T217" s="43">
        <v>10</v>
      </c>
      <c r="U217" s="43">
        <v>-21.457599999999999</v>
      </c>
      <c r="V217" s="28">
        <v>-1.5169999999999999E-7</v>
      </c>
      <c r="W217" s="43" t="s">
        <v>913</v>
      </c>
      <c r="X217" s="43" t="s">
        <v>65</v>
      </c>
    </row>
    <row r="218" spans="2:24" x14ac:dyDescent="0.2">
      <c r="B218" s="43" t="s">
        <v>232</v>
      </c>
      <c r="C218" s="43">
        <v>101</v>
      </c>
      <c r="D218" s="43" t="s">
        <v>682</v>
      </c>
      <c r="E218" s="43" t="s">
        <v>107</v>
      </c>
      <c r="F218" s="43" t="s">
        <v>683</v>
      </c>
      <c r="G218" s="43" t="s">
        <v>383</v>
      </c>
      <c r="H218" s="43">
        <v>60</v>
      </c>
      <c r="I218" s="43">
        <v>-115.9627</v>
      </c>
      <c r="J218" s="28">
        <v>-9.9999999999999995E-7</v>
      </c>
      <c r="K218" s="43" t="s">
        <v>913</v>
      </c>
      <c r="L218" s="43" t="s">
        <v>65</v>
      </c>
      <c r="N218" s="43" t="s">
        <v>232</v>
      </c>
      <c r="O218" s="43">
        <v>101</v>
      </c>
      <c r="P218" s="43" t="s">
        <v>682</v>
      </c>
      <c r="Q218" s="43" t="s">
        <v>380</v>
      </c>
      <c r="R218" s="43" t="s">
        <v>683</v>
      </c>
      <c r="S218" s="43" t="s">
        <v>383</v>
      </c>
      <c r="T218" s="43">
        <v>10</v>
      </c>
      <c r="U218" s="43">
        <v>-115.8725</v>
      </c>
      <c r="V218" s="28">
        <v>-9.9999999999999995E-7</v>
      </c>
      <c r="W218" s="43" t="s">
        <v>913</v>
      </c>
      <c r="X218" s="43" t="s">
        <v>65</v>
      </c>
    </row>
    <row r="219" spans="2:24" x14ac:dyDescent="0.2">
      <c r="B219" s="43" t="s">
        <v>232</v>
      </c>
      <c r="C219" s="43">
        <v>101</v>
      </c>
      <c r="D219" s="43" t="s">
        <v>682</v>
      </c>
      <c r="E219" s="43" t="s">
        <v>107</v>
      </c>
      <c r="F219" s="43" t="s">
        <v>684</v>
      </c>
      <c r="G219" s="43" t="s">
        <v>385</v>
      </c>
      <c r="H219" s="43">
        <v>60</v>
      </c>
      <c r="I219" s="43">
        <v>-13.242100000000001</v>
      </c>
      <c r="J219" s="28">
        <v>-8.9299999999999999E-8</v>
      </c>
      <c r="K219" s="43" t="s">
        <v>913</v>
      </c>
      <c r="L219" s="43" t="s">
        <v>65</v>
      </c>
      <c r="N219" s="43" t="s">
        <v>232</v>
      </c>
      <c r="O219" s="43">
        <v>101</v>
      </c>
      <c r="P219" s="43" t="s">
        <v>682</v>
      </c>
      <c r="Q219" s="43" t="s">
        <v>380</v>
      </c>
      <c r="R219" s="43" t="s">
        <v>684</v>
      </c>
      <c r="S219" s="43" t="s">
        <v>385</v>
      </c>
      <c r="T219" s="43">
        <v>10</v>
      </c>
      <c r="U219" s="43">
        <v>-13.331899999999999</v>
      </c>
      <c r="V219" s="28">
        <v>-8.9900000000000004E-8</v>
      </c>
      <c r="W219" s="43" t="s">
        <v>913</v>
      </c>
      <c r="X219" s="43" t="s">
        <v>65</v>
      </c>
    </row>
    <row r="220" spans="2:24" x14ac:dyDescent="0.2">
      <c r="B220" s="43" t="s">
        <v>232</v>
      </c>
      <c r="C220" s="43">
        <v>104</v>
      </c>
      <c r="D220" s="43" t="s">
        <v>685</v>
      </c>
      <c r="E220" s="43" t="s">
        <v>107</v>
      </c>
      <c r="F220" s="43" t="s">
        <v>686</v>
      </c>
      <c r="G220" s="43" t="s">
        <v>383</v>
      </c>
      <c r="H220" s="43">
        <v>60</v>
      </c>
      <c r="I220" s="43">
        <v>-77.644599999999997</v>
      </c>
      <c r="J220" s="28">
        <v>-9.9999999999999995E-7</v>
      </c>
      <c r="K220" s="43" t="s">
        <v>913</v>
      </c>
      <c r="L220" s="43" t="s">
        <v>65</v>
      </c>
      <c r="N220" s="43" t="s">
        <v>232</v>
      </c>
      <c r="O220" s="43">
        <v>104</v>
      </c>
      <c r="P220" s="43" t="s">
        <v>685</v>
      </c>
      <c r="Q220" s="43" t="s">
        <v>380</v>
      </c>
      <c r="R220" s="43" t="s">
        <v>686</v>
      </c>
      <c r="S220" s="43" t="s">
        <v>383</v>
      </c>
      <c r="T220" s="43">
        <v>10</v>
      </c>
      <c r="U220" s="43">
        <v>-77.535200000000003</v>
      </c>
      <c r="V220" s="28">
        <v>-9.9999999999999995E-7</v>
      </c>
      <c r="W220" s="43" t="s">
        <v>913</v>
      </c>
      <c r="X220" s="43" t="s">
        <v>65</v>
      </c>
    </row>
    <row r="221" spans="2:24" x14ac:dyDescent="0.2">
      <c r="B221" s="43" t="s">
        <v>232</v>
      </c>
      <c r="C221" s="43">
        <v>104</v>
      </c>
      <c r="D221" s="43" t="s">
        <v>685</v>
      </c>
      <c r="E221" s="43" t="s">
        <v>107</v>
      </c>
      <c r="F221" s="43" t="s">
        <v>687</v>
      </c>
      <c r="G221" s="43" t="s">
        <v>385</v>
      </c>
      <c r="H221" s="43">
        <v>60</v>
      </c>
      <c r="I221" s="43">
        <v>-14.8164</v>
      </c>
      <c r="J221" s="28">
        <v>-1.402E-7</v>
      </c>
      <c r="K221" s="43" t="s">
        <v>913</v>
      </c>
      <c r="L221" s="43" t="s">
        <v>65</v>
      </c>
      <c r="N221" s="43" t="s">
        <v>232</v>
      </c>
      <c r="O221" s="43">
        <v>104</v>
      </c>
      <c r="P221" s="43" t="s">
        <v>685</v>
      </c>
      <c r="Q221" s="43" t="s">
        <v>380</v>
      </c>
      <c r="R221" s="43" t="s">
        <v>687</v>
      </c>
      <c r="S221" s="43" t="s">
        <v>385</v>
      </c>
      <c r="T221" s="43">
        <v>10</v>
      </c>
      <c r="U221" s="43">
        <v>-14.8931</v>
      </c>
      <c r="V221" s="28">
        <v>-1.409E-7</v>
      </c>
      <c r="W221" s="43" t="s">
        <v>913</v>
      </c>
      <c r="X221" s="43" t="s">
        <v>65</v>
      </c>
    </row>
    <row r="222" spans="2:24" x14ac:dyDescent="0.2">
      <c r="B222" s="43" t="s">
        <v>232</v>
      </c>
      <c r="C222" s="43">
        <v>120</v>
      </c>
      <c r="D222" s="43" t="s">
        <v>688</v>
      </c>
      <c r="E222" s="43" t="s">
        <v>107</v>
      </c>
      <c r="F222" s="43" t="s">
        <v>689</v>
      </c>
      <c r="G222" s="43" t="s">
        <v>383</v>
      </c>
      <c r="H222" s="43">
        <v>60</v>
      </c>
      <c r="I222" s="43">
        <v>-17.627400000000002</v>
      </c>
      <c r="J222" s="28">
        <v>-1.807E-7</v>
      </c>
      <c r="K222" s="43" t="s">
        <v>913</v>
      </c>
      <c r="L222" s="43" t="s">
        <v>65</v>
      </c>
      <c r="N222" s="43" t="s">
        <v>232</v>
      </c>
      <c r="O222" s="43">
        <v>120</v>
      </c>
      <c r="P222" s="43" t="s">
        <v>688</v>
      </c>
      <c r="Q222" s="43" t="s">
        <v>380</v>
      </c>
      <c r="R222" s="43" t="s">
        <v>689</v>
      </c>
      <c r="S222" s="43" t="s">
        <v>383</v>
      </c>
      <c r="T222" s="43">
        <v>10</v>
      </c>
      <c r="U222" s="43">
        <v>-17.780799999999999</v>
      </c>
      <c r="V222" s="28">
        <v>-1.8230000000000001E-7</v>
      </c>
      <c r="W222" s="43" t="s">
        <v>913</v>
      </c>
      <c r="X222" s="43" t="s">
        <v>65</v>
      </c>
    </row>
    <row r="223" spans="2:24" x14ac:dyDescent="0.2">
      <c r="B223" s="43" t="s">
        <v>232</v>
      </c>
      <c r="C223" s="43">
        <v>120</v>
      </c>
      <c r="D223" s="43" t="s">
        <v>688</v>
      </c>
      <c r="E223" s="43" t="s">
        <v>107</v>
      </c>
      <c r="F223" s="43" t="s">
        <v>690</v>
      </c>
      <c r="G223" s="43" t="s">
        <v>385</v>
      </c>
      <c r="H223" s="43">
        <v>60</v>
      </c>
      <c r="I223" s="43">
        <v>-23.145499999999998</v>
      </c>
      <c r="J223" s="28">
        <v>-2.3729999999999999E-7</v>
      </c>
      <c r="K223" s="43" t="s">
        <v>913</v>
      </c>
      <c r="L223" s="43" t="s">
        <v>65</v>
      </c>
      <c r="N223" s="43" t="s">
        <v>232</v>
      </c>
      <c r="O223" s="43">
        <v>120</v>
      </c>
      <c r="P223" s="43" t="s">
        <v>688</v>
      </c>
      <c r="Q223" s="43" t="s">
        <v>380</v>
      </c>
      <c r="R223" s="43" t="s">
        <v>690</v>
      </c>
      <c r="S223" s="43" t="s">
        <v>385</v>
      </c>
      <c r="T223" s="43">
        <v>10</v>
      </c>
      <c r="U223" s="43">
        <v>-22.989699999999999</v>
      </c>
      <c r="V223" s="28">
        <v>-2.357E-7</v>
      </c>
      <c r="W223" s="43" t="s">
        <v>913</v>
      </c>
      <c r="X223" s="43" t="s">
        <v>65</v>
      </c>
    </row>
    <row r="224" spans="2:24" x14ac:dyDescent="0.2">
      <c r="B224" s="43" t="s">
        <v>232</v>
      </c>
      <c r="C224" s="43">
        <v>121</v>
      </c>
      <c r="D224" s="43" t="s">
        <v>691</v>
      </c>
      <c r="E224" s="43" t="s">
        <v>107</v>
      </c>
      <c r="F224" s="43" t="s">
        <v>692</v>
      </c>
      <c r="G224" s="43" t="s">
        <v>383</v>
      </c>
      <c r="H224" s="43">
        <v>60</v>
      </c>
      <c r="I224" s="43">
        <v>-21.789000000000001</v>
      </c>
      <c r="J224" s="28">
        <v>-1.9369999999999999E-7</v>
      </c>
      <c r="K224" s="43" t="s">
        <v>913</v>
      </c>
      <c r="L224" s="43" t="s">
        <v>65</v>
      </c>
      <c r="N224" s="43" t="s">
        <v>232</v>
      </c>
      <c r="O224" s="43">
        <v>121</v>
      </c>
      <c r="P224" s="43" t="s">
        <v>691</v>
      </c>
      <c r="Q224" s="43" t="s">
        <v>380</v>
      </c>
      <c r="R224" s="43" t="s">
        <v>692</v>
      </c>
      <c r="S224" s="43" t="s">
        <v>383</v>
      </c>
      <c r="T224" s="43">
        <v>10</v>
      </c>
      <c r="U224" s="43">
        <v>-21.968399999999999</v>
      </c>
      <c r="V224" s="28">
        <v>-1.9530000000000001E-7</v>
      </c>
      <c r="W224" s="43" t="s">
        <v>913</v>
      </c>
      <c r="X224" s="43" t="s">
        <v>65</v>
      </c>
    </row>
    <row r="225" spans="2:24" x14ac:dyDescent="0.2">
      <c r="B225" s="43" t="s">
        <v>232</v>
      </c>
      <c r="C225" s="43">
        <v>121</v>
      </c>
      <c r="D225" s="43" t="s">
        <v>691</v>
      </c>
      <c r="E225" s="43" t="s">
        <v>107</v>
      </c>
      <c r="F225" s="43" t="s">
        <v>693</v>
      </c>
      <c r="G225" s="43" t="s">
        <v>385</v>
      </c>
      <c r="H225" s="43">
        <v>60</v>
      </c>
      <c r="I225" s="43">
        <v>-14.1991</v>
      </c>
      <c r="J225" s="28">
        <v>-1.2620000000000001E-7</v>
      </c>
      <c r="K225" s="43" t="s">
        <v>913</v>
      </c>
      <c r="L225" s="43" t="s">
        <v>65</v>
      </c>
      <c r="N225" s="43" t="s">
        <v>232</v>
      </c>
      <c r="O225" s="43">
        <v>121</v>
      </c>
      <c r="P225" s="43" t="s">
        <v>691</v>
      </c>
      <c r="Q225" s="43" t="s">
        <v>380</v>
      </c>
      <c r="R225" s="43" t="s">
        <v>693</v>
      </c>
      <c r="S225" s="43" t="s">
        <v>385</v>
      </c>
      <c r="T225" s="43">
        <v>10</v>
      </c>
      <c r="U225" s="43">
        <v>-14.027100000000001</v>
      </c>
      <c r="V225" s="28">
        <v>-1.247E-7</v>
      </c>
      <c r="W225" s="43" t="s">
        <v>913</v>
      </c>
      <c r="X225" s="43" t="s">
        <v>65</v>
      </c>
    </row>
    <row r="226" spans="2:24" x14ac:dyDescent="0.2">
      <c r="B226" s="43" t="s">
        <v>232</v>
      </c>
      <c r="C226" s="43">
        <v>122</v>
      </c>
      <c r="D226" s="43" t="s">
        <v>691</v>
      </c>
      <c r="E226" s="43" t="s">
        <v>107</v>
      </c>
      <c r="F226" s="43" t="s">
        <v>694</v>
      </c>
      <c r="G226" s="43" t="s">
        <v>383</v>
      </c>
      <c r="H226" s="43">
        <v>60</v>
      </c>
      <c r="I226" s="43">
        <v>-14.4034</v>
      </c>
      <c r="J226" s="28">
        <v>-1.2069999999999999E-7</v>
      </c>
      <c r="K226" s="43" t="s">
        <v>913</v>
      </c>
      <c r="L226" s="43" t="s">
        <v>65</v>
      </c>
      <c r="N226" s="43" t="s">
        <v>232</v>
      </c>
      <c r="O226" s="43">
        <v>122</v>
      </c>
      <c r="P226" s="43" t="s">
        <v>691</v>
      </c>
      <c r="Q226" s="43" t="s">
        <v>380</v>
      </c>
      <c r="R226" s="43" t="s">
        <v>694</v>
      </c>
      <c r="S226" s="43" t="s">
        <v>383</v>
      </c>
      <c r="T226" s="43">
        <v>10</v>
      </c>
      <c r="U226" s="43">
        <v>-14.581899999999999</v>
      </c>
      <c r="V226" s="28">
        <v>-1.222E-7</v>
      </c>
      <c r="W226" s="43" t="s">
        <v>913</v>
      </c>
      <c r="X226" s="43" t="s">
        <v>65</v>
      </c>
    </row>
    <row r="227" spans="2:24" x14ac:dyDescent="0.2">
      <c r="B227" s="43" t="s">
        <v>232</v>
      </c>
      <c r="C227" s="43">
        <v>122</v>
      </c>
      <c r="D227" s="43" t="s">
        <v>691</v>
      </c>
      <c r="E227" s="43" t="s">
        <v>107</v>
      </c>
      <c r="F227" s="43" t="s">
        <v>695</v>
      </c>
      <c r="G227" s="43" t="s">
        <v>385</v>
      </c>
      <c r="H227" s="43">
        <v>60</v>
      </c>
      <c r="I227" s="43">
        <v>-14.273300000000001</v>
      </c>
      <c r="J227" s="28">
        <v>-1.1960000000000001E-7</v>
      </c>
      <c r="K227" s="43" t="s">
        <v>913</v>
      </c>
      <c r="L227" s="43" t="s">
        <v>65</v>
      </c>
      <c r="N227" s="43" t="s">
        <v>232</v>
      </c>
      <c r="O227" s="43">
        <v>122</v>
      </c>
      <c r="P227" s="43" t="s">
        <v>691</v>
      </c>
      <c r="Q227" s="43" t="s">
        <v>380</v>
      </c>
      <c r="R227" s="43" t="s">
        <v>695</v>
      </c>
      <c r="S227" s="43" t="s">
        <v>385</v>
      </c>
      <c r="T227" s="43">
        <v>10</v>
      </c>
      <c r="U227" s="43">
        <v>-14.095700000000001</v>
      </c>
      <c r="V227" s="28">
        <v>-1.1810000000000001E-7</v>
      </c>
      <c r="W227" s="43" t="s">
        <v>913</v>
      </c>
      <c r="X227" s="43" t="s">
        <v>65</v>
      </c>
    </row>
    <row r="228" spans="2:24" x14ac:dyDescent="0.2">
      <c r="B228" s="43" t="s">
        <v>232</v>
      </c>
      <c r="C228" s="43">
        <v>123</v>
      </c>
      <c r="D228" s="43" t="s">
        <v>691</v>
      </c>
      <c r="E228" s="43" t="s">
        <v>107</v>
      </c>
      <c r="F228" s="43" t="s">
        <v>696</v>
      </c>
      <c r="G228" s="43" t="s">
        <v>383</v>
      </c>
      <c r="H228" s="43">
        <v>60</v>
      </c>
      <c r="I228" s="43">
        <v>-14.326000000000001</v>
      </c>
      <c r="J228" s="28">
        <v>-1.2730000000000001E-7</v>
      </c>
      <c r="K228" s="43" t="s">
        <v>913</v>
      </c>
      <c r="L228" s="43" t="s">
        <v>65</v>
      </c>
      <c r="N228" s="43" t="s">
        <v>232</v>
      </c>
      <c r="O228" s="43">
        <v>123</v>
      </c>
      <c r="P228" s="43" t="s">
        <v>691</v>
      </c>
      <c r="Q228" s="43" t="s">
        <v>380</v>
      </c>
      <c r="R228" s="43" t="s">
        <v>696</v>
      </c>
      <c r="S228" s="43" t="s">
        <v>383</v>
      </c>
      <c r="T228" s="43">
        <v>10</v>
      </c>
      <c r="U228" s="43">
        <v>-14.4992</v>
      </c>
      <c r="V228" s="28">
        <v>-1.289E-7</v>
      </c>
      <c r="W228" s="43" t="s">
        <v>913</v>
      </c>
      <c r="X228" s="43" t="s">
        <v>65</v>
      </c>
    </row>
    <row r="229" spans="2:24" x14ac:dyDescent="0.2">
      <c r="B229" s="43" t="s">
        <v>232</v>
      </c>
      <c r="C229" s="43">
        <v>123</v>
      </c>
      <c r="D229" s="43" t="s">
        <v>691</v>
      </c>
      <c r="E229" s="43" t="s">
        <v>107</v>
      </c>
      <c r="F229" s="43" t="s">
        <v>697</v>
      </c>
      <c r="G229" s="43" t="s">
        <v>385</v>
      </c>
      <c r="H229" s="43">
        <v>60</v>
      </c>
      <c r="I229" s="43">
        <v>-21.660799999999998</v>
      </c>
      <c r="J229" s="28">
        <v>-1.9250000000000001E-7</v>
      </c>
      <c r="K229" s="43" t="s">
        <v>913</v>
      </c>
      <c r="L229" s="43" t="s">
        <v>65</v>
      </c>
      <c r="N229" s="43" t="s">
        <v>232</v>
      </c>
      <c r="O229" s="43">
        <v>123</v>
      </c>
      <c r="P229" s="43" t="s">
        <v>691</v>
      </c>
      <c r="Q229" s="43" t="s">
        <v>380</v>
      </c>
      <c r="R229" s="43" t="s">
        <v>697</v>
      </c>
      <c r="S229" s="43" t="s">
        <v>385</v>
      </c>
      <c r="T229" s="43">
        <v>10</v>
      </c>
      <c r="U229" s="43">
        <v>-21.4818</v>
      </c>
      <c r="V229" s="28">
        <v>-1.909E-7</v>
      </c>
      <c r="W229" s="43" t="s">
        <v>913</v>
      </c>
      <c r="X229" s="43" t="s">
        <v>65</v>
      </c>
    </row>
    <row r="230" spans="2:24" x14ac:dyDescent="0.2">
      <c r="B230" s="43" t="s">
        <v>232</v>
      </c>
      <c r="C230" s="43">
        <v>124</v>
      </c>
      <c r="D230" s="43" t="s">
        <v>698</v>
      </c>
      <c r="E230" s="43" t="s">
        <v>107</v>
      </c>
      <c r="F230" s="43" t="s">
        <v>699</v>
      </c>
      <c r="G230" s="43" t="s">
        <v>383</v>
      </c>
      <c r="H230" s="43">
        <v>60</v>
      </c>
      <c r="I230" s="43">
        <v>-23.257200000000001</v>
      </c>
      <c r="J230" s="28">
        <v>-2.3839999999999999E-7</v>
      </c>
      <c r="K230" s="43" t="s">
        <v>913</v>
      </c>
      <c r="L230" s="43" t="s">
        <v>65</v>
      </c>
      <c r="N230" s="43" t="s">
        <v>232</v>
      </c>
      <c r="O230" s="43">
        <v>124</v>
      </c>
      <c r="P230" s="43" t="s">
        <v>698</v>
      </c>
      <c r="Q230" s="43" t="s">
        <v>380</v>
      </c>
      <c r="R230" s="43" t="s">
        <v>699</v>
      </c>
      <c r="S230" s="43" t="s">
        <v>383</v>
      </c>
      <c r="T230" s="43">
        <v>10</v>
      </c>
      <c r="U230" s="43">
        <v>-23.413900000000002</v>
      </c>
      <c r="V230" s="28">
        <v>-2.3999999999999998E-7</v>
      </c>
      <c r="W230" s="43" t="s">
        <v>913</v>
      </c>
      <c r="X230" s="43" t="s">
        <v>65</v>
      </c>
    </row>
    <row r="231" spans="2:24" x14ac:dyDescent="0.2">
      <c r="B231" s="43" t="s">
        <v>232</v>
      </c>
      <c r="C231" s="43">
        <v>124</v>
      </c>
      <c r="D231" s="43" t="s">
        <v>698</v>
      </c>
      <c r="E231" s="43" t="s">
        <v>107</v>
      </c>
      <c r="F231" s="43" t="s">
        <v>700</v>
      </c>
      <c r="G231" s="43" t="s">
        <v>385</v>
      </c>
      <c r="H231" s="43">
        <v>60</v>
      </c>
      <c r="I231" s="43">
        <v>-17.5213</v>
      </c>
      <c r="J231" s="28">
        <v>-1.7959999999999999E-7</v>
      </c>
      <c r="K231" s="43" t="s">
        <v>913</v>
      </c>
      <c r="L231" s="43" t="s">
        <v>65</v>
      </c>
      <c r="N231" s="43" t="s">
        <v>232</v>
      </c>
      <c r="O231" s="43">
        <v>124</v>
      </c>
      <c r="P231" s="43" t="s">
        <v>698</v>
      </c>
      <c r="Q231" s="43" t="s">
        <v>380</v>
      </c>
      <c r="R231" s="43" t="s">
        <v>700</v>
      </c>
      <c r="S231" s="43" t="s">
        <v>385</v>
      </c>
      <c r="T231" s="43">
        <v>10</v>
      </c>
      <c r="U231" s="43">
        <v>-17.3689</v>
      </c>
      <c r="V231" s="28">
        <v>-1.7800000000000001E-7</v>
      </c>
      <c r="W231" s="43" t="s">
        <v>913</v>
      </c>
      <c r="X231" s="43" t="s">
        <v>65</v>
      </c>
    </row>
    <row r="232" spans="2:24" x14ac:dyDescent="0.2">
      <c r="B232" s="43" t="s">
        <v>281</v>
      </c>
      <c r="C232" s="43">
        <v>167</v>
      </c>
      <c r="D232" s="43" t="s">
        <v>701</v>
      </c>
      <c r="E232" s="43" t="s">
        <v>107</v>
      </c>
      <c r="F232" s="43" t="s">
        <v>702</v>
      </c>
      <c r="G232" s="43" t="s">
        <v>383</v>
      </c>
      <c r="H232" s="43">
        <v>60</v>
      </c>
      <c r="I232" s="43">
        <v>-18.7163</v>
      </c>
      <c r="J232" s="28">
        <v>-1.9189999999999999E-7</v>
      </c>
      <c r="K232" s="43" t="s">
        <v>913</v>
      </c>
      <c r="L232" s="43" t="s">
        <v>65</v>
      </c>
      <c r="N232" s="43" t="s">
        <v>281</v>
      </c>
      <c r="O232" s="43">
        <v>167</v>
      </c>
      <c r="P232" s="43" t="s">
        <v>701</v>
      </c>
      <c r="Q232" s="43" t="s">
        <v>380</v>
      </c>
      <c r="R232" s="43" t="s">
        <v>702</v>
      </c>
      <c r="S232" s="43" t="s">
        <v>383</v>
      </c>
      <c r="T232" s="43">
        <v>10</v>
      </c>
      <c r="U232" s="43">
        <v>-18.773399999999999</v>
      </c>
      <c r="V232" s="28">
        <v>-1.924E-7</v>
      </c>
      <c r="W232" s="43" t="s">
        <v>913</v>
      </c>
      <c r="X232" s="43" t="s">
        <v>65</v>
      </c>
    </row>
    <row r="233" spans="2:24" x14ac:dyDescent="0.2">
      <c r="B233" s="43" t="s">
        <v>281</v>
      </c>
      <c r="C233" s="43">
        <v>167</v>
      </c>
      <c r="D233" s="43" t="s">
        <v>701</v>
      </c>
      <c r="E233" s="43" t="s">
        <v>107</v>
      </c>
      <c r="F233" s="43" t="s">
        <v>703</v>
      </c>
      <c r="G233" s="43" t="s">
        <v>385</v>
      </c>
      <c r="H233" s="43">
        <v>60</v>
      </c>
      <c r="I233" s="43">
        <v>-24.7395</v>
      </c>
      <c r="J233" s="28">
        <v>-2.5359999999999999E-7</v>
      </c>
      <c r="K233" s="43" t="s">
        <v>913</v>
      </c>
      <c r="L233" s="43" t="s">
        <v>65</v>
      </c>
      <c r="N233" s="43" t="s">
        <v>281</v>
      </c>
      <c r="O233" s="43">
        <v>167</v>
      </c>
      <c r="P233" s="43" t="s">
        <v>701</v>
      </c>
      <c r="Q233" s="43" t="s">
        <v>380</v>
      </c>
      <c r="R233" s="43" t="s">
        <v>703</v>
      </c>
      <c r="S233" s="43" t="s">
        <v>385</v>
      </c>
      <c r="T233" s="43">
        <v>10</v>
      </c>
      <c r="U233" s="43">
        <v>-24.6845</v>
      </c>
      <c r="V233" s="28">
        <v>-2.53E-7</v>
      </c>
      <c r="W233" s="43" t="s">
        <v>913</v>
      </c>
      <c r="X233" s="43" t="s">
        <v>65</v>
      </c>
    </row>
    <row r="234" spans="2:24" x14ac:dyDescent="0.2">
      <c r="B234" s="43" t="s">
        <v>281</v>
      </c>
      <c r="C234" s="43">
        <v>168</v>
      </c>
      <c r="D234" s="43" t="s">
        <v>704</v>
      </c>
      <c r="E234" s="43" t="s">
        <v>107</v>
      </c>
      <c r="F234" s="43" t="s">
        <v>705</v>
      </c>
      <c r="G234" s="43" t="s">
        <v>383</v>
      </c>
      <c r="H234" s="43">
        <v>60</v>
      </c>
      <c r="I234" s="43">
        <v>-23.0685</v>
      </c>
      <c r="J234" s="28">
        <v>-2.051E-7</v>
      </c>
      <c r="K234" s="43" t="s">
        <v>913</v>
      </c>
      <c r="L234" s="43" t="s">
        <v>65</v>
      </c>
      <c r="N234" s="43" t="s">
        <v>281</v>
      </c>
      <c r="O234" s="43">
        <v>168</v>
      </c>
      <c r="P234" s="43" t="s">
        <v>704</v>
      </c>
      <c r="Q234" s="43" t="s">
        <v>380</v>
      </c>
      <c r="R234" s="43" t="s">
        <v>705</v>
      </c>
      <c r="S234" s="43" t="s">
        <v>383</v>
      </c>
      <c r="T234" s="43">
        <v>10</v>
      </c>
      <c r="U234" s="43">
        <v>-23.134699999999999</v>
      </c>
      <c r="V234" s="28">
        <v>-2.0559999999999999E-7</v>
      </c>
      <c r="W234" s="43" t="s">
        <v>913</v>
      </c>
      <c r="X234" s="43" t="s">
        <v>65</v>
      </c>
    </row>
    <row r="235" spans="2:24" x14ac:dyDescent="0.2">
      <c r="B235" s="43" t="s">
        <v>281</v>
      </c>
      <c r="C235" s="43">
        <v>168</v>
      </c>
      <c r="D235" s="43" t="s">
        <v>704</v>
      </c>
      <c r="E235" s="43" t="s">
        <v>107</v>
      </c>
      <c r="F235" s="43" t="s">
        <v>706</v>
      </c>
      <c r="G235" s="43" t="s">
        <v>385</v>
      </c>
      <c r="H235" s="43">
        <v>60</v>
      </c>
      <c r="I235" s="43">
        <v>-15.3428</v>
      </c>
      <c r="J235" s="28">
        <v>-1.364E-7</v>
      </c>
      <c r="K235" s="43" t="s">
        <v>913</v>
      </c>
      <c r="L235" s="43" t="s">
        <v>65</v>
      </c>
      <c r="N235" s="43" t="s">
        <v>281</v>
      </c>
      <c r="O235" s="43">
        <v>168</v>
      </c>
      <c r="P235" s="43" t="s">
        <v>704</v>
      </c>
      <c r="Q235" s="43" t="s">
        <v>380</v>
      </c>
      <c r="R235" s="43" t="s">
        <v>706</v>
      </c>
      <c r="S235" s="43" t="s">
        <v>385</v>
      </c>
      <c r="T235" s="43">
        <v>10</v>
      </c>
      <c r="U235" s="43">
        <v>-15.283200000000001</v>
      </c>
      <c r="V235" s="28">
        <v>-1.3589999999999999E-7</v>
      </c>
      <c r="W235" s="43" t="s">
        <v>913</v>
      </c>
      <c r="X235" s="43" t="s">
        <v>65</v>
      </c>
    </row>
    <row r="236" spans="2:24" x14ac:dyDescent="0.2">
      <c r="B236" s="43" t="s">
        <v>281</v>
      </c>
      <c r="C236" s="43">
        <v>169</v>
      </c>
      <c r="D236" s="43" t="s">
        <v>704</v>
      </c>
      <c r="E236" s="43" t="s">
        <v>107</v>
      </c>
      <c r="F236" s="43" t="s">
        <v>707</v>
      </c>
      <c r="G236" s="43" t="s">
        <v>383</v>
      </c>
      <c r="H236" s="43">
        <v>60</v>
      </c>
      <c r="I236" s="43">
        <v>-15.338699999999999</v>
      </c>
      <c r="J236" s="28">
        <v>-1.286E-7</v>
      </c>
      <c r="K236" s="43" t="s">
        <v>913</v>
      </c>
      <c r="L236" s="43" t="s">
        <v>65</v>
      </c>
      <c r="N236" s="43" t="s">
        <v>281</v>
      </c>
      <c r="O236" s="43">
        <v>169</v>
      </c>
      <c r="P236" s="43" t="s">
        <v>704</v>
      </c>
      <c r="Q236" s="43" t="s">
        <v>380</v>
      </c>
      <c r="R236" s="43" t="s">
        <v>707</v>
      </c>
      <c r="S236" s="43" t="s">
        <v>383</v>
      </c>
      <c r="T236" s="43">
        <v>10</v>
      </c>
      <c r="U236" s="43">
        <v>-15.399699999999999</v>
      </c>
      <c r="V236" s="28">
        <v>-1.2910000000000001E-7</v>
      </c>
      <c r="W236" s="43" t="s">
        <v>913</v>
      </c>
      <c r="X236" s="43" t="s">
        <v>65</v>
      </c>
    </row>
    <row r="237" spans="2:24" x14ac:dyDescent="0.2">
      <c r="B237" s="43" t="s">
        <v>281</v>
      </c>
      <c r="C237" s="43">
        <v>169</v>
      </c>
      <c r="D237" s="43" t="s">
        <v>704</v>
      </c>
      <c r="E237" s="43" t="s">
        <v>107</v>
      </c>
      <c r="F237" s="43" t="s">
        <v>708</v>
      </c>
      <c r="G237" s="43" t="s">
        <v>385</v>
      </c>
      <c r="H237" s="43">
        <v>60</v>
      </c>
      <c r="I237" s="43">
        <v>-15.4397</v>
      </c>
      <c r="J237" s="28">
        <v>-1.2940000000000001E-7</v>
      </c>
      <c r="K237" s="43" t="s">
        <v>913</v>
      </c>
      <c r="L237" s="43" t="s">
        <v>65</v>
      </c>
      <c r="N237" s="43" t="s">
        <v>281</v>
      </c>
      <c r="O237" s="43">
        <v>169</v>
      </c>
      <c r="P237" s="43" t="s">
        <v>704</v>
      </c>
      <c r="Q237" s="43" t="s">
        <v>380</v>
      </c>
      <c r="R237" s="43" t="s">
        <v>708</v>
      </c>
      <c r="S237" s="43" t="s">
        <v>385</v>
      </c>
      <c r="T237" s="43">
        <v>10</v>
      </c>
      <c r="U237" s="43">
        <v>-15.3788</v>
      </c>
      <c r="V237" s="28">
        <v>-1.289E-7</v>
      </c>
      <c r="W237" s="43" t="s">
        <v>913</v>
      </c>
      <c r="X237" s="43" t="s">
        <v>65</v>
      </c>
    </row>
    <row r="238" spans="2:24" x14ac:dyDescent="0.2">
      <c r="B238" s="43" t="s">
        <v>281</v>
      </c>
      <c r="C238" s="43">
        <v>170</v>
      </c>
      <c r="D238" s="43" t="s">
        <v>704</v>
      </c>
      <c r="E238" s="43" t="s">
        <v>107</v>
      </c>
      <c r="F238" s="43" t="s">
        <v>709</v>
      </c>
      <c r="G238" s="43" t="s">
        <v>383</v>
      </c>
      <c r="H238" s="43">
        <v>60</v>
      </c>
      <c r="I238" s="43">
        <v>-15.241099999999999</v>
      </c>
      <c r="J238" s="28">
        <v>-1.3549999999999999E-7</v>
      </c>
      <c r="K238" s="43" t="s">
        <v>913</v>
      </c>
      <c r="L238" s="43" t="s">
        <v>65</v>
      </c>
      <c r="N238" s="43" t="s">
        <v>281</v>
      </c>
      <c r="O238" s="43">
        <v>170</v>
      </c>
      <c r="P238" s="43" t="s">
        <v>704</v>
      </c>
      <c r="Q238" s="43" t="s">
        <v>380</v>
      </c>
      <c r="R238" s="43" t="s">
        <v>709</v>
      </c>
      <c r="S238" s="43" t="s">
        <v>383</v>
      </c>
      <c r="T238" s="43">
        <v>10</v>
      </c>
      <c r="U238" s="43">
        <v>-15.3</v>
      </c>
      <c r="V238" s="28">
        <v>-1.36E-7</v>
      </c>
      <c r="W238" s="43" t="s">
        <v>913</v>
      </c>
      <c r="X238" s="43" t="s">
        <v>65</v>
      </c>
    </row>
    <row r="239" spans="2:24" x14ac:dyDescent="0.2">
      <c r="B239" s="43" t="s">
        <v>281</v>
      </c>
      <c r="C239" s="43">
        <v>170</v>
      </c>
      <c r="D239" s="43" t="s">
        <v>704</v>
      </c>
      <c r="E239" s="43" t="s">
        <v>107</v>
      </c>
      <c r="F239" s="43" t="s">
        <v>710</v>
      </c>
      <c r="G239" s="43" t="s">
        <v>385</v>
      </c>
      <c r="H239" s="43">
        <v>60</v>
      </c>
      <c r="I239" s="43">
        <v>-23.176600000000001</v>
      </c>
      <c r="J239" s="28">
        <v>-2.0599999999999999E-7</v>
      </c>
      <c r="K239" s="43" t="s">
        <v>913</v>
      </c>
      <c r="L239" s="43" t="s">
        <v>65</v>
      </c>
      <c r="N239" s="43" t="s">
        <v>281</v>
      </c>
      <c r="O239" s="43">
        <v>170</v>
      </c>
      <c r="P239" s="43" t="s">
        <v>704</v>
      </c>
      <c r="Q239" s="43" t="s">
        <v>380</v>
      </c>
      <c r="R239" s="43" t="s">
        <v>710</v>
      </c>
      <c r="S239" s="43" t="s">
        <v>385</v>
      </c>
      <c r="T239" s="43">
        <v>10</v>
      </c>
      <c r="U239" s="43">
        <v>-23.110800000000001</v>
      </c>
      <c r="V239" s="28">
        <v>-2.054E-7</v>
      </c>
      <c r="W239" s="43" t="s">
        <v>913</v>
      </c>
      <c r="X239" s="43" t="s">
        <v>65</v>
      </c>
    </row>
    <row r="240" spans="2:24" x14ac:dyDescent="0.2">
      <c r="B240" s="43" t="s">
        <v>281</v>
      </c>
      <c r="C240" s="43">
        <v>171</v>
      </c>
      <c r="D240" s="43" t="s">
        <v>711</v>
      </c>
      <c r="E240" s="43" t="s">
        <v>107</v>
      </c>
      <c r="F240" s="43" t="s">
        <v>712</v>
      </c>
      <c r="G240" s="43" t="s">
        <v>383</v>
      </c>
      <c r="H240" s="43">
        <v>60</v>
      </c>
      <c r="I240" s="43">
        <v>-24.649000000000001</v>
      </c>
      <c r="J240" s="28">
        <v>-2.5269999999999998E-7</v>
      </c>
      <c r="K240" s="43" t="s">
        <v>913</v>
      </c>
      <c r="L240" s="43" t="s">
        <v>65</v>
      </c>
      <c r="N240" s="43" t="s">
        <v>281</v>
      </c>
      <c r="O240" s="43">
        <v>171</v>
      </c>
      <c r="P240" s="43" t="s">
        <v>711</v>
      </c>
      <c r="Q240" s="43" t="s">
        <v>380</v>
      </c>
      <c r="R240" s="43" t="s">
        <v>712</v>
      </c>
      <c r="S240" s="43" t="s">
        <v>383</v>
      </c>
      <c r="T240" s="43">
        <v>10</v>
      </c>
      <c r="U240" s="43">
        <v>-24.7042</v>
      </c>
      <c r="V240" s="28">
        <v>-2.5320000000000002E-7</v>
      </c>
      <c r="W240" s="43" t="s">
        <v>913</v>
      </c>
      <c r="X240" s="43" t="s">
        <v>65</v>
      </c>
    </row>
    <row r="241" spans="2:24" x14ac:dyDescent="0.2">
      <c r="B241" s="43" t="s">
        <v>281</v>
      </c>
      <c r="C241" s="43">
        <v>171</v>
      </c>
      <c r="D241" s="43" t="s">
        <v>711</v>
      </c>
      <c r="E241" s="43" t="s">
        <v>107</v>
      </c>
      <c r="F241" s="43" t="s">
        <v>713</v>
      </c>
      <c r="G241" s="43" t="s">
        <v>385</v>
      </c>
      <c r="H241" s="43">
        <v>60</v>
      </c>
      <c r="I241" s="43">
        <v>-18.788</v>
      </c>
      <c r="J241" s="28">
        <v>-1.9259999999999999E-7</v>
      </c>
      <c r="K241" s="43" t="s">
        <v>913</v>
      </c>
      <c r="L241" s="43" t="s">
        <v>65</v>
      </c>
      <c r="N241" s="43" t="s">
        <v>281</v>
      </c>
      <c r="O241" s="43">
        <v>171</v>
      </c>
      <c r="P241" s="43" t="s">
        <v>711</v>
      </c>
      <c r="Q241" s="43" t="s">
        <v>380</v>
      </c>
      <c r="R241" s="43" t="s">
        <v>713</v>
      </c>
      <c r="S241" s="43" t="s">
        <v>385</v>
      </c>
      <c r="T241" s="43">
        <v>10</v>
      </c>
      <c r="U241" s="43">
        <v>-18.730899999999998</v>
      </c>
      <c r="V241" s="28">
        <v>-1.92E-7</v>
      </c>
      <c r="W241" s="43" t="s">
        <v>913</v>
      </c>
      <c r="X241" s="43" t="s">
        <v>65</v>
      </c>
    </row>
    <row r="242" spans="2:24" x14ac:dyDescent="0.2">
      <c r="B242" s="43" t="s">
        <v>281</v>
      </c>
      <c r="C242" s="43">
        <v>149</v>
      </c>
      <c r="D242" s="43" t="s">
        <v>714</v>
      </c>
      <c r="E242" s="43" t="s">
        <v>107</v>
      </c>
      <c r="F242" s="43" t="s">
        <v>715</v>
      </c>
      <c r="G242" s="43" t="s">
        <v>383</v>
      </c>
      <c r="H242" s="43">
        <v>60</v>
      </c>
      <c r="I242" s="43">
        <v>-83.613600000000005</v>
      </c>
      <c r="J242" s="28">
        <v>-9.9999999999999995E-7</v>
      </c>
      <c r="K242" s="43" t="s">
        <v>913</v>
      </c>
      <c r="L242" s="43" t="s">
        <v>65</v>
      </c>
      <c r="N242" s="43" t="s">
        <v>281</v>
      </c>
      <c r="O242" s="43">
        <v>149</v>
      </c>
      <c r="P242" s="43" t="s">
        <v>714</v>
      </c>
      <c r="Q242" s="43" t="s">
        <v>380</v>
      </c>
      <c r="R242" s="43" t="s">
        <v>715</v>
      </c>
      <c r="S242" s="43" t="s">
        <v>383</v>
      </c>
      <c r="T242" s="43">
        <v>10</v>
      </c>
      <c r="U242" s="43">
        <v>-83.697000000000003</v>
      </c>
      <c r="V242" s="28">
        <v>-9.9999999999999995E-7</v>
      </c>
      <c r="W242" s="43" t="s">
        <v>913</v>
      </c>
      <c r="X242" s="43" t="s">
        <v>65</v>
      </c>
    </row>
    <row r="243" spans="2:24" x14ac:dyDescent="0.2">
      <c r="B243" s="43" t="s">
        <v>281</v>
      </c>
      <c r="C243" s="43">
        <v>149</v>
      </c>
      <c r="D243" s="43" t="s">
        <v>714</v>
      </c>
      <c r="E243" s="43" t="s">
        <v>107</v>
      </c>
      <c r="F243" s="43" t="s">
        <v>716</v>
      </c>
      <c r="G243" s="43" t="s">
        <v>385</v>
      </c>
      <c r="H243" s="43">
        <v>60</v>
      </c>
      <c r="I243" s="43">
        <v>-10.3849</v>
      </c>
      <c r="J243" s="28">
        <v>-9.2309999999999997E-8</v>
      </c>
      <c r="K243" s="43" t="s">
        <v>913</v>
      </c>
      <c r="L243" s="43" t="s">
        <v>65</v>
      </c>
      <c r="N243" s="43" t="s">
        <v>281</v>
      </c>
      <c r="O243" s="43">
        <v>149</v>
      </c>
      <c r="P243" s="43" t="s">
        <v>714</v>
      </c>
      <c r="Q243" s="43" t="s">
        <v>380</v>
      </c>
      <c r="R243" s="43" t="s">
        <v>716</v>
      </c>
      <c r="S243" s="43" t="s">
        <v>385</v>
      </c>
      <c r="T243" s="43">
        <v>10</v>
      </c>
      <c r="U243" s="43">
        <v>-10.316800000000001</v>
      </c>
      <c r="V243" s="28">
        <v>-9.1699999999999994E-8</v>
      </c>
      <c r="W243" s="43" t="s">
        <v>913</v>
      </c>
      <c r="X243" s="43" t="s">
        <v>65</v>
      </c>
    </row>
    <row r="244" spans="2:24" x14ac:dyDescent="0.2">
      <c r="B244" s="43" t="s">
        <v>281</v>
      </c>
      <c r="C244" s="43">
        <v>152</v>
      </c>
      <c r="D244" s="43" t="s">
        <v>717</v>
      </c>
      <c r="E244" s="43" t="s">
        <v>107</v>
      </c>
      <c r="F244" s="43" t="s">
        <v>718</v>
      </c>
      <c r="G244" s="43" t="s">
        <v>383</v>
      </c>
      <c r="H244" s="43">
        <v>60</v>
      </c>
      <c r="I244" s="43">
        <v>-104.2769</v>
      </c>
      <c r="J244" s="28">
        <v>-9.9999999999999995E-7</v>
      </c>
      <c r="K244" s="43" t="s">
        <v>913</v>
      </c>
      <c r="L244" s="43" t="s">
        <v>65</v>
      </c>
      <c r="N244" s="43" t="s">
        <v>281</v>
      </c>
      <c r="O244" s="43">
        <v>152</v>
      </c>
      <c r="P244" s="43" t="s">
        <v>717</v>
      </c>
      <c r="Q244" s="43" t="s">
        <v>380</v>
      </c>
      <c r="R244" s="43" t="s">
        <v>718</v>
      </c>
      <c r="S244" s="43" t="s">
        <v>383</v>
      </c>
      <c r="T244" s="43">
        <v>10</v>
      </c>
      <c r="U244" s="43">
        <v>-104.3396</v>
      </c>
      <c r="V244" s="28">
        <v>-9.9999999999999995E-7</v>
      </c>
      <c r="W244" s="43" t="s">
        <v>913</v>
      </c>
      <c r="X244" s="43" t="s">
        <v>65</v>
      </c>
    </row>
    <row r="245" spans="2:24" x14ac:dyDescent="0.2">
      <c r="B245" s="43" t="s">
        <v>281</v>
      </c>
      <c r="C245" s="43">
        <v>152</v>
      </c>
      <c r="D245" s="43" t="s">
        <v>717</v>
      </c>
      <c r="E245" s="43" t="s">
        <v>107</v>
      </c>
      <c r="F245" s="43" t="s">
        <v>719</v>
      </c>
      <c r="G245" s="43" t="s">
        <v>385</v>
      </c>
      <c r="H245" s="43">
        <v>60</v>
      </c>
      <c r="I245" s="43">
        <v>-26.153400000000001</v>
      </c>
      <c r="J245" s="28">
        <v>-1.7639999999999999E-7</v>
      </c>
      <c r="K245" s="43" t="s">
        <v>913</v>
      </c>
      <c r="L245" s="43" t="s">
        <v>65</v>
      </c>
      <c r="N245" s="43" t="s">
        <v>281</v>
      </c>
      <c r="O245" s="43">
        <v>152</v>
      </c>
      <c r="P245" s="43" t="s">
        <v>717</v>
      </c>
      <c r="Q245" s="43" t="s">
        <v>380</v>
      </c>
      <c r="R245" s="43" t="s">
        <v>719</v>
      </c>
      <c r="S245" s="43" t="s">
        <v>385</v>
      </c>
      <c r="T245" s="43">
        <v>10</v>
      </c>
      <c r="U245" s="43">
        <v>-26.094200000000001</v>
      </c>
      <c r="V245" s="28">
        <v>-1.7599999999999999E-7</v>
      </c>
      <c r="W245" s="43" t="s">
        <v>913</v>
      </c>
      <c r="X245" s="43" t="s">
        <v>65</v>
      </c>
    </row>
    <row r="246" spans="2:24" x14ac:dyDescent="0.2">
      <c r="B246" s="43" t="s">
        <v>281</v>
      </c>
      <c r="C246" s="43">
        <v>155</v>
      </c>
      <c r="D246" s="43" t="s">
        <v>720</v>
      </c>
      <c r="E246" s="43" t="s">
        <v>107</v>
      </c>
      <c r="F246" s="43" t="s">
        <v>721</v>
      </c>
      <c r="G246" s="43" t="s">
        <v>383</v>
      </c>
      <c r="H246" s="43">
        <v>60</v>
      </c>
      <c r="I246" s="43">
        <v>-112.7649</v>
      </c>
      <c r="J246" s="28">
        <v>-9.9999999999999995E-7</v>
      </c>
      <c r="K246" s="43" t="s">
        <v>913</v>
      </c>
      <c r="L246" s="43" t="s">
        <v>65</v>
      </c>
      <c r="N246" s="43" t="s">
        <v>281</v>
      </c>
      <c r="O246" s="43">
        <v>155</v>
      </c>
      <c r="P246" s="43" t="s">
        <v>720</v>
      </c>
      <c r="Q246" s="43" t="s">
        <v>380</v>
      </c>
      <c r="R246" s="43" t="s">
        <v>721</v>
      </c>
      <c r="S246" s="43" t="s">
        <v>383</v>
      </c>
      <c r="T246" s="43">
        <v>10</v>
      </c>
      <c r="U246" s="43">
        <v>-112.7851</v>
      </c>
      <c r="V246" s="28">
        <v>-9.9999999999999995E-7</v>
      </c>
      <c r="W246" s="43" t="s">
        <v>913</v>
      </c>
      <c r="X246" s="43" t="s">
        <v>65</v>
      </c>
    </row>
    <row r="247" spans="2:24" x14ac:dyDescent="0.2">
      <c r="B247" s="43" t="s">
        <v>281</v>
      </c>
      <c r="C247" s="43">
        <v>155</v>
      </c>
      <c r="D247" s="43" t="s">
        <v>720</v>
      </c>
      <c r="E247" s="43" t="s">
        <v>107</v>
      </c>
      <c r="F247" s="43" t="s">
        <v>722</v>
      </c>
      <c r="G247" s="43" t="s">
        <v>385</v>
      </c>
      <c r="H247" s="43">
        <v>60</v>
      </c>
      <c r="I247" s="43">
        <v>-12.41</v>
      </c>
      <c r="J247" s="28">
        <v>-8.7719999999999994E-8</v>
      </c>
      <c r="K247" s="43" t="s">
        <v>913</v>
      </c>
      <c r="L247" s="43" t="s">
        <v>65</v>
      </c>
      <c r="N247" s="43" t="s">
        <v>281</v>
      </c>
      <c r="O247" s="43">
        <v>155</v>
      </c>
      <c r="P247" s="43" t="s">
        <v>720</v>
      </c>
      <c r="Q247" s="43" t="s">
        <v>380</v>
      </c>
      <c r="R247" s="43" t="s">
        <v>722</v>
      </c>
      <c r="S247" s="43" t="s">
        <v>385</v>
      </c>
      <c r="T247" s="43">
        <v>10</v>
      </c>
      <c r="U247" s="43">
        <v>-12.3911</v>
      </c>
      <c r="V247" s="28">
        <v>-8.7579999999999994E-8</v>
      </c>
      <c r="W247" s="43" t="s">
        <v>913</v>
      </c>
      <c r="X247" s="43" t="s">
        <v>65</v>
      </c>
    </row>
    <row r="248" spans="2:24" x14ac:dyDescent="0.2">
      <c r="B248" s="43" t="s">
        <v>281</v>
      </c>
      <c r="C248" s="43">
        <v>158</v>
      </c>
      <c r="D248" s="43" t="s">
        <v>723</v>
      </c>
      <c r="E248" s="43" t="s">
        <v>107</v>
      </c>
      <c r="F248" s="43" t="s">
        <v>724</v>
      </c>
      <c r="G248" s="43" t="s">
        <v>383</v>
      </c>
      <c r="H248" s="43">
        <v>60</v>
      </c>
      <c r="I248" s="43">
        <v>-112.7285</v>
      </c>
      <c r="J248" s="28">
        <v>-9.9999999999999995E-7</v>
      </c>
      <c r="K248" s="43" t="s">
        <v>913</v>
      </c>
      <c r="L248" s="43" t="s">
        <v>65</v>
      </c>
      <c r="N248" s="43" t="s">
        <v>281</v>
      </c>
      <c r="O248" s="43">
        <v>158</v>
      </c>
      <c r="P248" s="43" t="s">
        <v>723</v>
      </c>
      <c r="Q248" s="43" t="s">
        <v>380</v>
      </c>
      <c r="R248" s="43" t="s">
        <v>724</v>
      </c>
      <c r="S248" s="43" t="s">
        <v>383</v>
      </c>
      <c r="T248" s="43">
        <v>10</v>
      </c>
      <c r="U248" s="43">
        <v>-112.70650000000001</v>
      </c>
      <c r="V248" s="28">
        <v>-9.9999999999999995E-7</v>
      </c>
      <c r="W248" s="43" t="s">
        <v>913</v>
      </c>
      <c r="X248" s="43" t="s">
        <v>65</v>
      </c>
    </row>
    <row r="249" spans="2:24" x14ac:dyDescent="0.2">
      <c r="B249" s="43" t="s">
        <v>281</v>
      </c>
      <c r="C249" s="43">
        <v>158</v>
      </c>
      <c r="D249" s="43" t="s">
        <v>723</v>
      </c>
      <c r="E249" s="43" t="s">
        <v>107</v>
      </c>
      <c r="F249" s="43" t="s">
        <v>725</v>
      </c>
      <c r="G249" s="43" t="s">
        <v>385</v>
      </c>
      <c r="H249" s="43">
        <v>60</v>
      </c>
      <c r="I249" s="43">
        <v>-12.445600000000001</v>
      </c>
      <c r="J249" s="28">
        <v>-8.797E-8</v>
      </c>
      <c r="K249" s="43" t="s">
        <v>913</v>
      </c>
      <c r="L249" s="43" t="s">
        <v>65</v>
      </c>
      <c r="N249" s="43" t="s">
        <v>281</v>
      </c>
      <c r="O249" s="43">
        <v>158</v>
      </c>
      <c r="P249" s="43" t="s">
        <v>723</v>
      </c>
      <c r="Q249" s="43" t="s">
        <v>380</v>
      </c>
      <c r="R249" s="43" t="s">
        <v>725</v>
      </c>
      <c r="S249" s="43" t="s">
        <v>385</v>
      </c>
      <c r="T249" s="43">
        <v>10</v>
      </c>
      <c r="U249" s="43">
        <v>-12.469099999999999</v>
      </c>
      <c r="V249" s="28">
        <v>-8.8129999999999996E-8</v>
      </c>
      <c r="W249" s="43" t="s">
        <v>913</v>
      </c>
      <c r="X249" s="43" t="s">
        <v>65</v>
      </c>
    </row>
    <row r="250" spans="2:24" x14ac:dyDescent="0.2">
      <c r="B250" s="43" t="s">
        <v>281</v>
      </c>
      <c r="C250" s="43">
        <v>161</v>
      </c>
      <c r="D250" s="43" t="s">
        <v>726</v>
      </c>
      <c r="E250" s="43" t="s">
        <v>107</v>
      </c>
      <c r="F250" s="43" t="s">
        <v>727</v>
      </c>
      <c r="G250" s="43" t="s">
        <v>383</v>
      </c>
      <c r="H250" s="43">
        <v>60</v>
      </c>
      <c r="I250" s="43">
        <v>-104.16589999999999</v>
      </c>
      <c r="J250" s="28">
        <v>-9.9999999999999995E-7</v>
      </c>
      <c r="K250" s="43" t="s">
        <v>913</v>
      </c>
      <c r="L250" s="43" t="s">
        <v>65</v>
      </c>
      <c r="N250" s="43" t="s">
        <v>281</v>
      </c>
      <c r="O250" s="43">
        <v>161</v>
      </c>
      <c r="P250" s="43" t="s">
        <v>726</v>
      </c>
      <c r="Q250" s="43" t="s">
        <v>380</v>
      </c>
      <c r="R250" s="43" t="s">
        <v>727</v>
      </c>
      <c r="S250" s="43" t="s">
        <v>383</v>
      </c>
      <c r="T250" s="43">
        <v>10</v>
      </c>
      <c r="U250" s="43">
        <v>-104.0973</v>
      </c>
      <c r="V250" s="28">
        <v>-9.9999999999999995E-7</v>
      </c>
      <c r="W250" s="43" t="s">
        <v>913</v>
      </c>
      <c r="X250" s="43" t="s">
        <v>65</v>
      </c>
    </row>
    <row r="251" spans="2:24" x14ac:dyDescent="0.2">
      <c r="B251" s="43" t="s">
        <v>281</v>
      </c>
      <c r="C251" s="43">
        <v>161</v>
      </c>
      <c r="D251" s="43" t="s">
        <v>726</v>
      </c>
      <c r="E251" s="43" t="s">
        <v>107</v>
      </c>
      <c r="F251" s="43" t="s">
        <v>728</v>
      </c>
      <c r="G251" s="43" t="s">
        <v>385</v>
      </c>
      <c r="H251" s="43">
        <v>60</v>
      </c>
      <c r="I251" s="43">
        <v>-26.2544</v>
      </c>
      <c r="J251" s="28">
        <v>-1.7700000000000001E-7</v>
      </c>
      <c r="K251" s="43" t="s">
        <v>913</v>
      </c>
      <c r="L251" s="43" t="s">
        <v>65</v>
      </c>
      <c r="N251" s="43" t="s">
        <v>281</v>
      </c>
      <c r="O251" s="43">
        <v>161</v>
      </c>
      <c r="P251" s="43" t="s">
        <v>726</v>
      </c>
      <c r="Q251" s="43" t="s">
        <v>380</v>
      </c>
      <c r="R251" s="43" t="s">
        <v>728</v>
      </c>
      <c r="S251" s="43" t="s">
        <v>385</v>
      </c>
      <c r="T251" s="43">
        <v>10</v>
      </c>
      <c r="U251" s="43">
        <v>-26.319900000000001</v>
      </c>
      <c r="V251" s="28">
        <v>-1.7749999999999999E-7</v>
      </c>
      <c r="W251" s="43" t="s">
        <v>913</v>
      </c>
      <c r="X251" s="43" t="s">
        <v>65</v>
      </c>
    </row>
    <row r="252" spans="2:24" x14ac:dyDescent="0.2">
      <c r="B252" s="43" t="s">
        <v>281</v>
      </c>
      <c r="C252" s="43">
        <v>164</v>
      </c>
      <c r="D252" s="43" t="s">
        <v>729</v>
      </c>
      <c r="E252" s="43" t="s">
        <v>107</v>
      </c>
      <c r="F252" s="43" t="s">
        <v>730</v>
      </c>
      <c r="G252" s="43" t="s">
        <v>383</v>
      </c>
      <c r="H252" s="43">
        <v>60</v>
      </c>
      <c r="I252" s="43">
        <v>-83.474199999999996</v>
      </c>
      <c r="J252" s="28">
        <v>-9.9999999999999995E-7</v>
      </c>
      <c r="K252" s="43" t="s">
        <v>913</v>
      </c>
      <c r="L252" s="43" t="s">
        <v>65</v>
      </c>
      <c r="N252" s="43" t="s">
        <v>281</v>
      </c>
      <c r="O252" s="43">
        <v>164</v>
      </c>
      <c r="P252" s="43" t="s">
        <v>729</v>
      </c>
      <c r="Q252" s="43" t="s">
        <v>380</v>
      </c>
      <c r="R252" s="43" t="s">
        <v>730</v>
      </c>
      <c r="S252" s="43" t="s">
        <v>383</v>
      </c>
      <c r="T252" s="43">
        <v>10</v>
      </c>
      <c r="U252" s="43">
        <v>-83.391000000000005</v>
      </c>
      <c r="V252" s="28">
        <v>-9.9999999999999995E-7</v>
      </c>
      <c r="W252" s="43" t="s">
        <v>913</v>
      </c>
      <c r="X252" s="43" t="s">
        <v>65</v>
      </c>
    </row>
    <row r="253" spans="2:24" x14ac:dyDescent="0.2">
      <c r="B253" s="43" t="s">
        <v>281</v>
      </c>
      <c r="C253" s="43">
        <v>164</v>
      </c>
      <c r="D253" s="43" t="s">
        <v>729</v>
      </c>
      <c r="E253" s="43" t="s">
        <v>107</v>
      </c>
      <c r="F253" s="43" t="s">
        <v>731</v>
      </c>
      <c r="G253" s="43" t="s">
        <v>385</v>
      </c>
      <c r="H253" s="43">
        <v>60</v>
      </c>
      <c r="I253" s="43">
        <v>-10.529299999999999</v>
      </c>
      <c r="J253" s="28">
        <v>-9.3590000000000006E-8</v>
      </c>
      <c r="K253" s="43" t="s">
        <v>913</v>
      </c>
      <c r="L253" s="43" t="s">
        <v>65</v>
      </c>
      <c r="N253" s="43" t="s">
        <v>281</v>
      </c>
      <c r="O253" s="43">
        <v>164</v>
      </c>
      <c r="P253" s="43" t="s">
        <v>729</v>
      </c>
      <c r="Q253" s="43" t="s">
        <v>380</v>
      </c>
      <c r="R253" s="43" t="s">
        <v>731</v>
      </c>
      <c r="S253" s="43" t="s">
        <v>385</v>
      </c>
      <c r="T253" s="43">
        <v>10</v>
      </c>
      <c r="U253" s="43">
        <v>-10.600899999999999</v>
      </c>
      <c r="V253" s="28">
        <v>-9.4230000000000004E-8</v>
      </c>
      <c r="W253" s="43" t="s">
        <v>913</v>
      </c>
      <c r="X253" s="43" t="s">
        <v>65</v>
      </c>
    </row>
    <row r="254" spans="2:24" x14ac:dyDescent="0.2">
      <c r="B254" s="43" t="s">
        <v>281</v>
      </c>
      <c r="C254" s="43">
        <v>172</v>
      </c>
      <c r="D254" s="43" t="s">
        <v>732</v>
      </c>
      <c r="E254" s="43" t="s">
        <v>107</v>
      </c>
      <c r="F254" s="43" t="s">
        <v>733</v>
      </c>
      <c r="G254" s="43" t="s">
        <v>383</v>
      </c>
      <c r="H254" s="43">
        <v>60</v>
      </c>
      <c r="I254" s="43">
        <v>-26.595099999999999</v>
      </c>
      <c r="J254" s="28">
        <v>-1.9859999999999999E-7</v>
      </c>
      <c r="K254" s="43" t="s">
        <v>913</v>
      </c>
      <c r="L254" s="43" t="s">
        <v>65</v>
      </c>
      <c r="N254" s="43" t="s">
        <v>281</v>
      </c>
      <c r="O254" s="43">
        <v>172</v>
      </c>
      <c r="P254" s="43" t="s">
        <v>732</v>
      </c>
      <c r="Q254" s="43" t="s">
        <v>380</v>
      </c>
      <c r="R254" s="43" t="s">
        <v>733</v>
      </c>
      <c r="S254" s="43" t="s">
        <v>383</v>
      </c>
      <c r="T254" s="43">
        <v>10</v>
      </c>
      <c r="U254" s="43">
        <v>-26.7239</v>
      </c>
      <c r="V254" s="28">
        <v>-1.9950000000000001E-7</v>
      </c>
      <c r="W254" s="43" t="s">
        <v>913</v>
      </c>
      <c r="X254" s="43" t="s">
        <v>65</v>
      </c>
    </row>
    <row r="255" spans="2:24" x14ac:dyDescent="0.2">
      <c r="B255" s="43" t="s">
        <v>281</v>
      </c>
      <c r="C255" s="43">
        <v>172</v>
      </c>
      <c r="D255" s="43" t="s">
        <v>732</v>
      </c>
      <c r="E255" s="43" t="s">
        <v>107</v>
      </c>
      <c r="F255" s="43" t="s">
        <v>734</v>
      </c>
      <c r="G255" s="43" t="s">
        <v>385</v>
      </c>
      <c r="H255" s="43">
        <v>60</v>
      </c>
      <c r="I255" s="43">
        <v>-18.821999999999999</v>
      </c>
      <c r="J255" s="28">
        <v>-1.4049999999999999E-7</v>
      </c>
      <c r="K255" s="43" t="s">
        <v>913</v>
      </c>
      <c r="L255" s="43" t="s">
        <v>65</v>
      </c>
      <c r="N255" s="43" t="s">
        <v>281</v>
      </c>
      <c r="O255" s="43">
        <v>172</v>
      </c>
      <c r="P255" s="43" t="s">
        <v>732</v>
      </c>
      <c r="Q255" s="43" t="s">
        <v>380</v>
      </c>
      <c r="R255" s="43" t="s">
        <v>734</v>
      </c>
      <c r="S255" s="43" t="s">
        <v>385</v>
      </c>
      <c r="T255" s="43">
        <v>10</v>
      </c>
      <c r="U255" s="43">
        <v>-18.7026</v>
      </c>
      <c r="V255" s="28">
        <v>-1.3960000000000001E-7</v>
      </c>
      <c r="W255" s="43" t="s">
        <v>913</v>
      </c>
      <c r="X255" s="43" t="s">
        <v>65</v>
      </c>
    </row>
    <row r="256" spans="2:24" x14ac:dyDescent="0.2">
      <c r="B256" s="43" t="s">
        <v>281</v>
      </c>
      <c r="C256" s="43">
        <v>173</v>
      </c>
      <c r="D256" s="43" t="s">
        <v>735</v>
      </c>
      <c r="E256" s="43" t="s">
        <v>107</v>
      </c>
      <c r="F256" s="43" t="s">
        <v>736</v>
      </c>
      <c r="G256" s="43" t="s">
        <v>383</v>
      </c>
      <c r="H256" s="43">
        <v>60</v>
      </c>
      <c r="I256" s="43">
        <v>-18.547799999999999</v>
      </c>
      <c r="J256" s="28">
        <v>-1.385E-7</v>
      </c>
      <c r="K256" s="43" t="s">
        <v>913</v>
      </c>
      <c r="L256" s="43" t="s">
        <v>65</v>
      </c>
      <c r="N256" s="43" t="s">
        <v>281</v>
      </c>
      <c r="O256" s="43">
        <v>173</v>
      </c>
      <c r="P256" s="43" t="s">
        <v>735</v>
      </c>
      <c r="Q256" s="43" t="s">
        <v>380</v>
      </c>
      <c r="R256" s="43" t="s">
        <v>736</v>
      </c>
      <c r="S256" s="43" t="s">
        <v>383</v>
      </c>
      <c r="T256" s="43">
        <v>10</v>
      </c>
      <c r="U256" s="43">
        <v>-18.665700000000001</v>
      </c>
      <c r="V256" s="28">
        <v>-1.3939999999999999E-7</v>
      </c>
      <c r="W256" s="43" t="s">
        <v>913</v>
      </c>
      <c r="X256" s="43" t="s">
        <v>65</v>
      </c>
    </row>
    <row r="257" spans="2:24" x14ac:dyDescent="0.2">
      <c r="B257" s="43" t="s">
        <v>281</v>
      </c>
      <c r="C257" s="43">
        <v>173</v>
      </c>
      <c r="D257" s="43" t="s">
        <v>735</v>
      </c>
      <c r="E257" s="43" t="s">
        <v>107</v>
      </c>
      <c r="F257" s="43" t="s">
        <v>737</v>
      </c>
      <c r="G257" s="43" t="s">
        <v>385</v>
      </c>
      <c r="H257" s="43">
        <v>60</v>
      </c>
      <c r="I257" s="43">
        <v>-28.023299999999999</v>
      </c>
      <c r="J257" s="28">
        <v>-2.0919999999999999E-7</v>
      </c>
      <c r="K257" s="43" t="s">
        <v>913</v>
      </c>
      <c r="L257" s="43" t="s">
        <v>65</v>
      </c>
      <c r="N257" s="43" t="s">
        <v>281</v>
      </c>
      <c r="O257" s="43">
        <v>173</v>
      </c>
      <c r="P257" s="43" t="s">
        <v>735</v>
      </c>
      <c r="Q257" s="43" t="s">
        <v>380</v>
      </c>
      <c r="R257" s="43" t="s">
        <v>737</v>
      </c>
      <c r="S257" s="43" t="s">
        <v>385</v>
      </c>
      <c r="T257" s="43">
        <v>10</v>
      </c>
      <c r="U257" s="43">
        <v>-27.9011</v>
      </c>
      <c r="V257" s="28">
        <v>-2.0830000000000001E-7</v>
      </c>
      <c r="W257" s="43" t="s">
        <v>913</v>
      </c>
      <c r="X257" s="43" t="s">
        <v>65</v>
      </c>
    </row>
    <row r="258" spans="2:24" x14ac:dyDescent="0.2">
      <c r="B258" s="43" t="s">
        <v>281</v>
      </c>
      <c r="C258" s="43">
        <v>174</v>
      </c>
      <c r="D258" s="43" t="s">
        <v>735</v>
      </c>
      <c r="E258" s="43" t="s">
        <v>107</v>
      </c>
      <c r="F258" s="43" t="s">
        <v>738</v>
      </c>
      <c r="G258" s="43" t="s">
        <v>383</v>
      </c>
      <c r="H258" s="43">
        <v>60</v>
      </c>
      <c r="I258" s="43">
        <v>-28.543099999999999</v>
      </c>
      <c r="J258" s="28">
        <v>-2.2530000000000001E-7</v>
      </c>
      <c r="K258" s="43" t="s">
        <v>913</v>
      </c>
      <c r="L258" s="43" t="s">
        <v>65</v>
      </c>
      <c r="N258" s="43" t="s">
        <v>281</v>
      </c>
      <c r="O258" s="43">
        <v>174</v>
      </c>
      <c r="P258" s="43" t="s">
        <v>735</v>
      </c>
      <c r="Q258" s="43" t="s">
        <v>380</v>
      </c>
      <c r="R258" s="43" t="s">
        <v>738</v>
      </c>
      <c r="S258" s="43" t="s">
        <v>383</v>
      </c>
      <c r="T258" s="43">
        <v>10</v>
      </c>
      <c r="U258" s="43">
        <v>-28.659400000000002</v>
      </c>
      <c r="V258" s="28">
        <v>-2.262E-7</v>
      </c>
      <c r="W258" s="43" t="s">
        <v>913</v>
      </c>
      <c r="X258" s="43" t="s">
        <v>65</v>
      </c>
    </row>
    <row r="259" spans="2:24" x14ac:dyDescent="0.2">
      <c r="B259" s="43" t="s">
        <v>281</v>
      </c>
      <c r="C259" s="43">
        <v>174</v>
      </c>
      <c r="D259" s="43" t="s">
        <v>735</v>
      </c>
      <c r="E259" s="43" t="s">
        <v>107</v>
      </c>
      <c r="F259" s="43" t="s">
        <v>739</v>
      </c>
      <c r="G259" s="43" t="s">
        <v>385</v>
      </c>
      <c r="H259" s="43">
        <v>60</v>
      </c>
      <c r="I259" s="43">
        <v>-28.569800000000001</v>
      </c>
      <c r="J259" s="28">
        <v>-2.255E-7</v>
      </c>
      <c r="K259" s="43" t="s">
        <v>913</v>
      </c>
      <c r="L259" s="43" t="s">
        <v>65</v>
      </c>
      <c r="N259" s="43" t="s">
        <v>281</v>
      </c>
      <c r="O259" s="43">
        <v>174</v>
      </c>
      <c r="P259" s="43" t="s">
        <v>735</v>
      </c>
      <c r="Q259" s="43" t="s">
        <v>380</v>
      </c>
      <c r="R259" s="43" t="s">
        <v>739</v>
      </c>
      <c r="S259" s="43" t="s">
        <v>385</v>
      </c>
      <c r="T259" s="43">
        <v>10</v>
      </c>
      <c r="U259" s="43">
        <v>-28.453499999999998</v>
      </c>
      <c r="V259" s="28">
        <v>-2.2460000000000001E-7</v>
      </c>
      <c r="W259" s="43" t="s">
        <v>913</v>
      </c>
      <c r="X259" s="43" t="s">
        <v>65</v>
      </c>
    </row>
    <row r="260" spans="2:24" x14ac:dyDescent="0.2">
      <c r="B260" s="43" t="s">
        <v>281</v>
      </c>
      <c r="C260" s="43">
        <v>175</v>
      </c>
      <c r="D260" s="43" t="s">
        <v>735</v>
      </c>
      <c r="E260" s="43" t="s">
        <v>107</v>
      </c>
      <c r="F260" s="43" t="s">
        <v>740</v>
      </c>
      <c r="G260" s="43" t="s">
        <v>383</v>
      </c>
      <c r="H260" s="43">
        <v>60</v>
      </c>
      <c r="I260" s="43">
        <v>-27.992599999999999</v>
      </c>
      <c r="J260" s="28">
        <v>-2.0900000000000001E-7</v>
      </c>
      <c r="K260" s="43" t="s">
        <v>913</v>
      </c>
      <c r="L260" s="43" t="s">
        <v>65</v>
      </c>
      <c r="N260" s="43" t="s">
        <v>281</v>
      </c>
      <c r="O260" s="43">
        <v>175</v>
      </c>
      <c r="P260" s="43" t="s">
        <v>735</v>
      </c>
      <c r="Q260" s="43" t="s">
        <v>380</v>
      </c>
      <c r="R260" s="43" t="s">
        <v>740</v>
      </c>
      <c r="S260" s="43" t="s">
        <v>383</v>
      </c>
      <c r="T260" s="43">
        <v>10</v>
      </c>
      <c r="U260" s="43">
        <v>-28.115400000000001</v>
      </c>
      <c r="V260" s="28">
        <v>-2.0989999999999999E-7</v>
      </c>
      <c r="W260" s="43" t="s">
        <v>913</v>
      </c>
      <c r="X260" s="43" t="s">
        <v>65</v>
      </c>
    </row>
    <row r="261" spans="2:24" x14ac:dyDescent="0.2">
      <c r="B261" s="43" t="s">
        <v>281</v>
      </c>
      <c r="C261" s="43">
        <v>175</v>
      </c>
      <c r="D261" s="43" t="s">
        <v>735</v>
      </c>
      <c r="E261" s="43" t="s">
        <v>107</v>
      </c>
      <c r="F261" s="43" t="s">
        <v>741</v>
      </c>
      <c r="G261" s="43" t="s">
        <v>385</v>
      </c>
      <c r="H261" s="43">
        <v>60</v>
      </c>
      <c r="I261" s="43">
        <v>-18.579599999999999</v>
      </c>
      <c r="J261" s="28">
        <v>-1.3869999999999999E-7</v>
      </c>
      <c r="K261" s="43" t="s">
        <v>913</v>
      </c>
      <c r="L261" s="43" t="s">
        <v>65</v>
      </c>
      <c r="N261" s="43" t="s">
        <v>281</v>
      </c>
      <c r="O261" s="43">
        <v>175</v>
      </c>
      <c r="P261" s="43" t="s">
        <v>735</v>
      </c>
      <c r="Q261" s="43" t="s">
        <v>380</v>
      </c>
      <c r="R261" s="43" t="s">
        <v>741</v>
      </c>
      <c r="S261" s="43" t="s">
        <v>385</v>
      </c>
      <c r="T261" s="43">
        <v>10</v>
      </c>
      <c r="U261" s="43">
        <v>-18.461200000000002</v>
      </c>
      <c r="V261" s="28">
        <v>-1.378E-7</v>
      </c>
      <c r="W261" s="43" t="s">
        <v>913</v>
      </c>
      <c r="X261" s="43" t="s">
        <v>65</v>
      </c>
    </row>
    <row r="262" spans="2:24" x14ac:dyDescent="0.2">
      <c r="B262" s="43" t="s">
        <v>281</v>
      </c>
      <c r="C262" s="43">
        <v>176</v>
      </c>
      <c r="D262" s="43" t="s">
        <v>742</v>
      </c>
      <c r="E262" s="43" t="s">
        <v>107</v>
      </c>
      <c r="F262" s="43" t="s">
        <v>743</v>
      </c>
      <c r="G262" s="43" t="s">
        <v>383</v>
      </c>
      <c r="H262" s="43">
        <v>60</v>
      </c>
      <c r="I262" s="43">
        <v>-18.796800000000001</v>
      </c>
      <c r="J262" s="28">
        <v>-1.4030000000000001E-7</v>
      </c>
      <c r="K262" s="43" t="s">
        <v>913</v>
      </c>
      <c r="L262" s="43" t="s">
        <v>65</v>
      </c>
      <c r="N262" s="43" t="s">
        <v>281</v>
      </c>
      <c r="O262" s="43">
        <v>176</v>
      </c>
      <c r="P262" s="43" t="s">
        <v>742</v>
      </c>
      <c r="Q262" s="43" t="s">
        <v>380</v>
      </c>
      <c r="R262" s="43" t="s">
        <v>743</v>
      </c>
      <c r="S262" s="43" t="s">
        <v>383</v>
      </c>
      <c r="T262" s="43">
        <v>10</v>
      </c>
      <c r="U262" s="43">
        <v>-18.9209</v>
      </c>
      <c r="V262" s="28">
        <v>-1.413E-7</v>
      </c>
      <c r="W262" s="43" t="s">
        <v>913</v>
      </c>
      <c r="X262" s="43" t="s">
        <v>65</v>
      </c>
    </row>
    <row r="263" spans="2:24" x14ac:dyDescent="0.2">
      <c r="B263" s="43" t="s">
        <v>281</v>
      </c>
      <c r="C263" s="43">
        <v>176</v>
      </c>
      <c r="D263" s="43" t="s">
        <v>742</v>
      </c>
      <c r="E263" s="43" t="s">
        <v>107</v>
      </c>
      <c r="F263" s="43" t="s">
        <v>744</v>
      </c>
      <c r="G263" s="43" t="s">
        <v>385</v>
      </c>
      <c r="H263" s="43">
        <v>60</v>
      </c>
      <c r="I263" s="43">
        <v>-26.613399999999999</v>
      </c>
      <c r="J263" s="28">
        <v>-1.987E-7</v>
      </c>
      <c r="K263" s="43" t="s">
        <v>913</v>
      </c>
      <c r="L263" s="43" t="s">
        <v>65</v>
      </c>
      <c r="N263" s="43" t="s">
        <v>281</v>
      </c>
      <c r="O263" s="43">
        <v>176</v>
      </c>
      <c r="P263" s="43" t="s">
        <v>742</v>
      </c>
      <c r="Q263" s="43" t="s">
        <v>380</v>
      </c>
      <c r="R263" s="43" t="s">
        <v>744</v>
      </c>
      <c r="S263" s="43" t="s">
        <v>385</v>
      </c>
      <c r="T263" s="43">
        <v>10</v>
      </c>
      <c r="U263" s="43">
        <v>-26.478899999999999</v>
      </c>
      <c r="V263" s="28">
        <v>-1.977E-7</v>
      </c>
      <c r="W263" s="43" t="s">
        <v>913</v>
      </c>
      <c r="X263" s="43" t="s">
        <v>65</v>
      </c>
    </row>
    <row r="264" spans="2:24" x14ac:dyDescent="0.2">
      <c r="B264" s="43" t="s">
        <v>281</v>
      </c>
      <c r="C264" s="43">
        <v>150</v>
      </c>
      <c r="D264" s="43" t="s">
        <v>745</v>
      </c>
      <c r="E264" s="43" t="s">
        <v>107</v>
      </c>
      <c r="F264" s="43" t="s">
        <v>746</v>
      </c>
      <c r="G264" s="43" t="s">
        <v>383</v>
      </c>
      <c r="H264" s="43">
        <v>60</v>
      </c>
      <c r="I264" s="43">
        <v>-80.081000000000003</v>
      </c>
      <c r="J264" s="28">
        <v>-9.9999999999999995E-7</v>
      </c>
      <c r="K264" s="43" t="s">
        <v>913</v>
      </c>
      <c r="L264" s="43" t="s">
        <v>65</v>
      </c>
      <c r="N264" s="43" t="s">
        <v>281</v>
      </c>
      <c r="O264" s="43">
        <v>150</v>
      </c>
      <c r="P264" s="43" t="s">
        <v>745</v>
      </c>
      <c r="Q264" s="43" t="s">
        <v>380</v>
      </c>
      <c r="R264" s="43" t="s">
        <v>746</v>
      </c>
      <c r="S264" s="43" t="s">
        <v>383</v>
      </c>
      <c r="T264" s="43">
        <v>10</v>
      </c>
      <c r="U264" s="43">
        <v>-80.172200000000004</v>
      </c>
      <c r="V264" s="28">
        <v>-9.9999999999999995E-7</v>
      </c>
      <c r="W264" s="43" t="s">
        <v>913</v>
      </c>
      <c r="X264" s="43" t="s">
        <v>65</v>
      </c>
    </row>
    <row r="265" spans="2:24" x14ac:dyDescent="0.2">
      <c r="B265" s="43" t="s">
        <v>281</v>
      </c>
      <c r="C265" s="43">
        <v>150</v>
      </c>
      <c r="D265" s="43" t="s">
        <v>745</v>
      </c>
      <c r="E265" s="43" t="s">
        <v>107</v>
      </c>
      <c r="F265" s="43" t="s">
        <v>747</v>
      </c>
      <c r="G265" s="43" t="s">
        <v>385</v>
      </c>
      <c r="H265" s="43">
        <v>60</v>
      </c>
      <c r="I265" s="43">
        <v>-6.1826999999999996</v>
      </c>
      <c r="J265" s="28">
        <v>-5.2959999999999999E-8</v>
      </c>
      <c r="K265" s="43" t="s">
        <v>913</v>
      </c>
      <c r="L265" s="43" t="s">
        <v>65</v>
      </c>
      <c r="N265" s="43" t="s">
        <v>281</v>
      </c>
      <c r="O265" s="43">
        <v>150</v>
      </c>
      <c r="P265" s="43" t="s">
        <v>745</v>
      </c>
      <c r="Q265" s="43" t="s">
        <v>380</v>
      </c>
      <c r="R265" s="43" t="s">
        <v>747</v>
      </c>
      <c r="S265" s="43" t="s">
        <v>385</v>
      </c>
      <c r="T265" s="43">
        <v>10</v>
      </c>
      <c r="U265" s="43">
        <v>-6.1162999999999998</v>
      </c>
      <c r="V265" s="28">
        <v>-5.2390000000000001E-8</v>
      </c>
      <c r="W265" s="43" t="s">
        <v>913</v>
      </c>
      <c r="X265" s="43" t="s">
        <v>65</v>
      </c>
    </row>
    <row r="266" spans="2:24" x14ac:dyDescent="0.2">
      <c r="B266" s="43" t="s">
        <v>281</v>
      </c>
      <c r="C266" s="43">
        <v>153</v>
      </c>
      <c r="D266" s="43" t="s">
        <v>748</v>
      </c>
      <c r="E266" s="43" t="s">
        <v>107</v>
      </c>
      <c r="F266" s="43" t="s">
        <v>749</v>
      </c>
      <c r="G266" s="43" t="s">
        <v>383</v>
      </c>
      <c r="H266" s="43">
        <v>60</v>
      </c>
      <c r="I266" s="43">
        <v>-118.63339999999999</v>
      </c>
      <c r="J266" s="28">
        <v>-9.9999999999999995E-7</v>
      </c>
      <c r="K266" s="43" t="s">
        <v>913</v>
      </c>
      <c r="L266" s="43" t="s">
        <v>65</v>
      </c>
      <c r="N266" s="43" t="s">
        <v>281</v>
      </c>
      <c r="O266" s="43">
        <v>153</v>
      </c>
      <c r="P266" s="43" t="s">
        <v>748</v>
      </c>
      <c r="Q266" s="43" t="s">
        <v>380</v>
      </c>
      <c r="R266" s="43" t="s">
        <v>749</v>
      </c>
      <c r="S266" s="43" t="s">
        <v>383</v>
      </c>
      <c r="T266" s="43">
        <v>10</v>
      </c>
      <c r="U266" s="43">
        <v>-118.6925</v>
      </c>
      <c r="V266" s="28">
        <v>-9.9999999999999995E-7</v>
      </c>
      <c r="W266" s="43" t="s">
        <v>913</v>
      </c>
      <c r="X266" s="43" t="s">
        <v>65</v>
      </c>
    </row>
    <row r="267" spans="2:24" x14ac:dyDescent="0.2">
      <c r="B267" s="43" t="s">
        <v>281</v>
      </c>
      <c r="C267" s="43">
        <v>153</v>
      </c>
      <c r="D267" s="43" t="s">
        <v>748</v>
      </c>
      <c r="E267" s="43" t="s">
        <v>107</v>
      </c>
      <c r="F267" s="43" t="s">
        <v>750</v>
      </c>
      <c r="G267" s="43" t="s">
        <v>385</v>
      </c>
      <c r="H267" s="43">
        <v>60</v>
      </c>
      <c r="I267" s="43">
        <v>-27.06</v>
      </c>
      <c r="J267" s="28">
        <v>-1.808E-7</v>
      </c>
      <c r="K267" s="43" t="s">
        <v>913</v>
      </c>
      <c r="L267" s="43" t="s">
        <v>65</v>
      </c>
      <c r="N267" s="43" t="s">
        <v>281</v>
      </c>
      <c r="O267" s="43">
        <v>153</v>
      </c>
      <c r="P267" s="43" t="s">
        <v>748</v>
      </c>
      <c r="Q267" s="43" t="s">
        <v>380</v>
      </c>
      <c r="R267" s="43" t="s">
        <v>750</v>
      </c>
      <c r="S267" s="43" t="s">
        <v>385</v>
      </c>
      <c r="T267" s="43">
        <v>10</v>
      </c>
      <c r="U267" s="43">
        <v>-27.0016</v>
      </c>
      <c r="V267" s="28">
        <v>-1.804E-7</v>
      </c>
      <c r="W267" s="43" t="s">
        <v>913</v>
      </c>
      <c r="X267" s="43" t="s">
        <v>65</v>
      </c>
    </row>
    <row r="268" spans="2:24" x14ac:dyDescent="0.2">
      <c r="B268" s="43" t="s">
        <v>281</v>
      </c>
      <c r="C268" s="43">
        <v>156</v>
      </c>
      <c r="D268" s="43" t="s">
        <v>751</v>
      </c>
      <c r="E268" s="43" t="s">
        <v>107</v>
      </c>
      <c r="F268" s="43" t="s">
        <v>752</v>
      </c>
      <c r="G268" s="43" t="s">
        <v>383</v>
      </c>
      <c r="H268" s="43">
        <v>60</v>
      </c>
      <c r="I268" s="43">
        <v>-102.79040000000001</v>
      </c>
      <c r="J268" s="28">
        <v>-9.9999999999999995E-7</v>
      </c>
      <c r="K268" s="43" t="s">
        <v>913</v>
      </c>
      <c r="L268" s="43" t="s">
        <v>65</v>
      </c>
      <c r="N268" s="43" t="s">
        <v>281</v>
      </c>
      <c r="O268" s="43">
        <v>156</v>
      </c>
      <c r="P268" s="43" t="s">
        <v>751</v>
      </c>
      <c r="Q268" s="43" t="s">
        <v>380</v>
      </c>
      <c r="R268" s="43" t="s">
        <v>752</v>
      </c>
      <c r="S268" s="43" t="s">
        <v>383</v>
      </c>
      <c r="T268" s="43">
        <v>10</v>
      </c>
      <c r="U268" s="43">
        <v>-102.8078</v>
      </c>
      <c r="V268" s="28">
        <v>-9.9999999999999995E-7</v>
      </c>
      <c r="W268" s="43" t="s">
        <v>913</v>
      </c>
      <c r="X268" s="43" t="s">
        <v>65</v>
      </c>
    </row>
    <row r="269" spans="2:24" x14ac:dyDescent="0.2">
      <c r="B269" s="43" t="s">
        <v>281</v>
      </c>
      <c r="C269" s="43">
        <v>156</v>
      </c>
      <c r="D269" s="43" t="s">
        <v>751</v>
      </c>
      <c r="E269" s="43" t="s">
        <v>107</v>
      </c>
      <c r="F269" s="43" t="s">
        <v>753</v>
      </c>
      <c r="G269" s="43" t="s">
        <v>385</v>
      </c>
      <c r="H269" s="43">
        <v>60</v>
      </c>
      <c r="I269" s="43">
        <v>-11.41</v>
      </c>
      <c r="J269" s="28">
        <v>-7.7719999999999997E-8</v>
      </c>
      <c r="K269" s="43" t="s">
        <v>913</v>
      </c>
      <c r="L269" s="43" t="s">
        <v>65</v>
      </c>
      <c r="N269" s="43" t="s">
        <v>281</v>
      </c>
      <c r="O269" s="43">
        <v>156</v>
      </c>
      <c r="P269" s="43" t="s">
        <v>751</v>
      </c>
      <c r="Q269" s="43" t="s">
        <v>380</v>
      </c>
      <c r="R269" s="43" t="s">
        <v>753</v>
      </c>
      <c r="S269" s="43" t="s">
        <v>385</v>
      </c>
      <c r="T269" s="43">
        <v>10</v>
      </c>
      <c r="U269" s="43">
        <v>-11.3908</v>
      </c>
      <c r="V269" s="28">
        <v>-7.7589999999999995E-8</v>
      </c>
      <c r="W269" s="43" t="s">
        <v>913</v>
      </c>
      <c r="X269" s="43" t="s">
        <v>65</v>
      </c>
    </row>
    <row r="270" spans="2:24" x14ac:dyDescent="0.2">
      <c r="B270" s="43" t="s">
        <v>281</v>
      </c>
      <c r="C270" s="43">
        <v>159</v>
      </c>
      <c r="D270" s="43" t="s">
        <v>754</v>
      </c>
      <c r="E270" s="43" t="s">
        <v>107</v>
      </c>
      <c r="F270" s="43" t="s">
        <v>755</v>
      </c>
      <c r="G270" s="43" t="s">
        <v>383</v>
      </c>
      <c r="H270" s="43">
        <v>60</v>
      </c>
      <c r="I270" s="43">
        <v>-102.7546</v>
      </c>
      <c r="J270" s="28">
        <v>-9.9999999999999995E-7</v>
      </c>
      <c r="K270" s="43" t="s">
        <v>913</v>
      </c>
      <c r="L270" s="43" t="s">
        <v>65</v>
      </c>
      <c r="N270" s="43" t="s">
        <v>281</v>
      </c>
      <c r="O270" s="43">
        <v>159</v>
      </c>
      <c r="P270" s="43" t="s">
        <v>754</v>
      </c>
      <c r="Q270" s="43" t="s">
        <v>380</v>
      </c>
      <c r="R270" s="43" t="s">
        <v>755</v>
      </c>
      <c r="S270" s="43" t="s">
        <v>383</v>
      </c>
      <c r="T270" s="43">
        <v>10</v>
      </c>
      <c r="U270" s="43">
        <v>-102.7315</v>
      </c>
      <c r="V270" s="28">
        <v>-9.9999999999999995E-7</v>
      </c>
      <c r="W270" s="43" t="s">
        <v>913</v>
      </c>
      <c r="X270" s="43" t="s">
        <v>65</v>
      </c>
    </row>
    <row r="271" spans="2:24" x14ac:dyDescent="0.2">
      <c r="B271" s="43" t="s">
        <v>281</v>
      </c>
      <c r="C271" s="43">
        <v>159</v>
      </c>
      <c r="D271" s="43" t="s">
        <v>754</v>
      </c>
      <c r="E271" s="43" t="s">
        <v>107</v>
      </c>
      <c r="F271" s="43" t="s">
        <v>756</v>
      </c>
      <c r="G271" s="43" t="s">
        <v>385</v>
      </c>
      <c r="H271" s="43">
        <v>60</v>
      </c>
      <c r="I271" s="43">
        <v>-11.445499999999999</v>
      </c>
      <c r="J271" s="28">
        <v>-7.7960000000000005E-8</v>
      </c>
      <c r="K271" s="43" t="s">
        <v>913</v>
      </c>
      <c r="L271" s="43" t="s">
        <v>65</v>
      </c>
      <c r="N271" s="43" t="s">
        <v>281</v>
      </c>
      <c r="O271" s="43">
        <v>159</v>
      </c>
      <c r="P271" s="43" t="s">
        <v>754</v>
      </c>
      <c r="Q271" s="43" t="s">
        <v>380</v>
      </c>
      <c r="R271" s="43" t="s">
        <v>756</v>
      </c>
      <c r="S271" s="43" t="s">
        <v>385</v>
      </c>
      <c r="T271" s="43">
        <v>10</v>
      </c>
      <c r="U271" s="43">
        <v>-11.470499999999999</v>
      </c>
      <c r="V271" s="28">
        <v>-7.8129999999999999E-8</v>
      </c>
      <c r="W271" s="43" t="s">
        <v>913</v>
      </c>
      <c r="X271" s="43" t="s">
        <v>65</v>
      </c>
    </row>
    <row r="272" spans="2:24" x14ac:dyDescent="0.2">
      <c r="B272" s="43" t="s">
        <v>281</v>
      </c>
      <c r="C272" s="43">
        <v>162</v>
      </c>
      <c r="D272" s="43" t="s">
        <v>757</v>
      </c>
      <c r="E272" s="43" t="s">
        <v>107</v>
      </c>
      <c r="F272" s="43" t="s">
        <v>758</v>
      </c>
      <c r="G272" s="43" t="s">
        <v>383</v>
      </c>
      <c r="H272" s="43">
        <v>60</v>
      </c>
      <c r="I272" s="43">
        <v>-118.5398</v>
      </c>
      <c r="J272" s="28">
        <v>-9.9999999999999995E-7</v>
      </c>
      <c r="K272" s="43" t="s">
        <v>913</v>
      </c>
      <c r="L272" s="43" t="s">
        <v>65</v>
      </c>
      <c r="N272" s="43" t="s">
        <v>281</v>
      </c>
      <c r="O272" s="43">
        <v>162</v>
      </c>
      <c r="P272" s="43" t="s">
        <v>757</v>
      </c>
      <c r="Q272" s="43" t="s">
        <v>380</v>
      </c>
      <c r="R272" s="43" t="s">
        <v>758</v>
      </c>
      <c r="S272" s="43" t="s">
        <v>383</v>
      </c>
      <c r="T272" s="43">
        <v>10</v>
      </c>
      <c r="U272" s="43">
        <v>-118.4738</v>
      </c>
      <c r="V272" s="28">
        <v>-9.9999999999999995E-7</v>
      </c>
      <c r="W272" s="43" t="s">
        <v>913</v>
      </c>
      <c r="X272" s="43" t="s">
        <v>65</v>
      </c>
    </row>
    <row r="273" spans="2:24" x14ac:dyDescent="0.2">
      <c r="B273" s="43" t="s">
        <v>281</v>
      </c>
      <c r="C273" s="43">
        <v>162</v>
      </c>
      <c r="D273" s="43" t="s">
        <v>757</v>
      </c>
      <c r="E273" s="43" t="s">
        <v>107</v>
      </c>
      <c r="F273" s="43" t="s">
        <v>759</v>
      </c>
      <c r="G273" s="43" t="s">
        <v>385</v>
      </c>
      <c r="H273" s="43">
        <v>60</v>
      </c>
      <c r="I273" s="43">
        <v>-27.163</v>
      </c>
      <c r="J273" s="28">
        <v>-1.815E-7</v>
      </c>
      <c r="K273" s="43" t="s">
        <v>913</v>
      </c>
      <c r="L273" s="43" t="s">
        <v>65</v>
      </c>
      <c r="N273" s="43" t="s">
        <v>281</v>
      </c>
      <c r="O273" s="43">
        <v>162</v>
      </c>
      <c r="P273" s="43" t="s">
        <v>757</v>
      </c>
      <c r="Q273" s="43" t="s">
        <v>380</v>
      </c>
      <c r="R273" s="43" t="s">
        <v>759</v>
      </c>
      <c r="S273" s="43" t="s">
        <v>385</v>
      </c>
      <c r="T273" s="43">
        <v>10</v>
      </c>
      <c r="U273" s="43">
        <v>-27.228400000000001</v>
      </c>
      <c r="V273" s="28">
        <v>-1.8190000000000001E-7</v>
      </c>
      <c r="W273" s="43" t="s">
        <v>913</v>
      </c>
      <c r="X273" s="43" t="s">
        <v>65</v>
      </c>
    </row>
    <row r="274" spans="2:24" x14ac:dyDescent="0.2">
      <c r="B274" s="43" t="s">
        <v>281</v>
      </c>
      <c r="C274" s="43">
        <v>165</v>
      </c>
      <c r="D274" s="43" t="s">
        <v>760</v>
      </c>
      <c r="E274" s="43" t="s">
        <v>107</v>
      </c>
      <c r="F274" s="43" t="s">
        <v>761</v>
      </c>
      <c r="G274" s="43" t="s">
        <v>383</v>
      </c>
      <c r="H274" s="43">
        <v>60</v>
      </c>
      <c r="I274" s="43">
        <v>-79.938900000000004</v>
      </c>
      <c r="J274" s="28">
        <v>-9.9999999999999995E-7</v>
      </c>
      <c r="K274" s="43" t="s">
        <v>913</v>
      </c>
      <c r="L274" s="43" t="s">
        <v>65</v>
      </c>
      <c r="N274" s="43" t="s">
        <v>281</v>
      </c>
      <c r="O274" s="43">
        <v>165</v>
      </c>
      <c r="P274" s="43" t="s">
        <v>760</v>
      </c>
      <c r="Q274" s="43" t="s">
        <v>380</v>
      </c>
      <c r="R274" s="43" t="s">
        <v>761</v>
      </c>
      <c r="S274" s="43" t="s">
        <v>383</v>
      </c>
      <c r="T274" s="43">
        <v>10</v>
      </c>
      <c r="U274" s="43">
        <v>-79.835899999999995</v>
      </c>
      <c r="V274" s="28">
        <v>-9.9999999999999995E-7</v>
      </c>
      <c r="W274" s="43" t="s">
        <v>913</v>
      </c>
      <c r="X274" s="43" t="s">
        <v>65</v>
      </c>
    </row>
    <row r="275" spans="2:24" x14ac:dyDescent="0.2">
      <c r="B275" s="43" t="s">
        <v>281</v>
      </c>
      <c r="C275" s="43">
        <v>165</v>
      </c>
      <c r="D275" s="43" t="s">
        <v>760</v>
      </c>
      <c r="E275" s="43" t="s">
        <v>107</v>
      </c>
      <c r="F275" s="43" t="s">
        <v>762</v>
      </c>
      <c r="G275" s="43" t="s">
        <v>385</v>
      </c>
      <c r="H275" s="43">
        <v>60</v>
      </c>
      <c r="I275" s="43">
        <v>-6.3232999999999997</v>
      </c>
      <c r="J275" s="28">
        <v>-5.4160000000000003E-8</v>
      </c>
      <c r="K275" s="43" t="s">
        <v>913</v>
      </c>
      <c r="L275" s="43" t="s">
        <v>65</v>
      </c>
      <c r="N275" s="43" t="s">
        <v>281</v>
      </c>
      <c r="O275" s="43">
        <v>165</v>
      </c>
      <c r="P275" s="43" t="s">
        <v>760</v>
      </c>
      <c r="Q275" s="43" t="s">
        <v>380</v>
      </c>
      <c r="R275" s="43" t="s">
        <v>762</v>
      </c>
      <c r="S275" s="43" t="s">
        <v>385</v>
      </c>
      <c r="T275" s="43">
        <v>10</v>
      </c>
      <c r="U275" s="43">
        <v>-6.399</v>
      </c>
      <c r="V275" s="28">
        <v>-5.4809999999999999E-8</v>
      </c>
      <c r="W275" s="43" t="s">
        <v>913</v>
      </c>
      <c r="X275" s="43" t="s">
        <v>65</v>
      </c>
    </row>
    <row r="276" spans="2:24" x14ac:dyDescent="0.2">
      <c r="B276" s="43" t="s">
        <v>281</v>
      </c>
      <c r="C276" s="43">
        <v>177</v>
      </c>
      <c r="D276" s="43" t="s">
        <v>763</v>
      </c>
      <c r="E276" s="43" t="s">
        <v>107</v>
      </c>
      <c r="F276" s="43" t="s">
        <v>764</v>
      </c>
      <c r="G276" s="43" t="s">
        <v>383</v>
      </c>
      <c r="H276" s="43">
        <v>60</v>
      </c>
      <c r="I276" s="43">
        <v>-26.554099999999998</v>
      </c>
      <c r="J276" s="28">
        <v>-1.983E-7</v>
      </c>
      <c r="K276" s="43" t="s">
        <v>913</v>
      </c>
      <c r="L276" s="43" t="s">
        <v>65</v>
      </c>
      <c r="N276" s="43" t="s">
        <v>281</v>
      </c>
      <c r="O276" s="43">
        <v>177</v>
      </c>
      <c r="P276" s="43" t="s">
        <v>763</v>
      </c>
      <c r="Q276" s="43" t="s">
        <v>380</v>
      </c>
      <c r="R276" s="43" t="s">
        <v>764</v>
      </c>
      <c r="S276" s="43" t="s">
        <v>383</v>
      </c>
      <c r="T276" s="43">
        <v>10</v>
      </c>
      <c r="U276" s="43">
        <v>-26.7407</v>
      </c>
      <c r="V276" s="28">
        <v>-1.9969999999999999E-7</v>
      </c>
      <c r="W276" s="43" t="s">
        <v>913</v>
      </c>
      <c r="X276" s="43" t="s">
        <v>65</v>
      </c>
    </row>
    <row r="277" spans="2:24" x14ac:dyDescent="0.2">
      <c r="B277" s="43" t="s">
        <v>281</v>
      </c>
      <c r="C277" s="43">
        <v>177</v>
      </c>
      <c r="D277" s="43" t="s">
        <v>763</v>
      </c>
      <c r="E277" s="43" t="s">
        <v>107</v>
      </c>
      <c r="F277" s="43" t="s">
        <v>765</v>
      </c>
      <c r="G277" s="43" t="s">
        <v>385</v>
      </c>
      <c r="H277" s="43">
        <v>60</v>
      </c>
      <c r="I277" s="43">
        <v>-18.747499999999999</v>
      </c>
      <c r="J277" s="28">
        <v>-1.4000000000000001E-7</v>
      </c>
      <c r="K277" s="43" t="s">
        <v>913</v>
      </c>
      <c r="L277" s="43" t="s">
        <v>65</v>
      </c>
      <c r="N277" s="43" t="s">
        <v>281</v>
      </c>
      <c r="O277" s="43">
        <v>177</v>
      </c>
      <c r="P277" s="43" t="s">
        <v>763</v>
      </c>
      <c r="Q277" s="43" t="s">
        <v>380</v>
      </c>
      <c r="R277" s="43" t="s">
        <v>765</v>
      </c>
      <c r="S277" s="43" t="s">
        <v>385</v>
      </c>
      <c r="T277" s="43">
        <v>10</v>
      </c>
      <c r="U277" s="43">
        <v>-18.573799999999999</v>
      </c>
      <c r="V277" s="28">
        <v>-1.3869999999999999E-7</v>
      </c>
      <c r="W277" s="43" t="s">
        <v>913</v>
      </c>
      <c r="X277" s="43" t="s">
        <v>65</v>
      </c>
    </row>
    <row r="278" spans="2:24" x14ac:dyDescent="0.2">
      <c r="B278" s="43" t="s">
        <v>281</v>
      </c>
      <c r="C278" s="43">
        <v>178</v>
      </c>
      <c r="D278" s="43" t="s">
        <v>766</v>
      </c>
      <c r="E278" s="43" t="s">
        <v>107</v>
      </c>
      <c r="F278" s="43" t="s">
        <v>767</v>
      </c>
      <c r="G278" s="43" t="s">
        <v>383</v>
      </c>
      <c r="H278" s="43">
        <v>60</v>
      </c>
      <c r="I278" s="43">
        <v>-18.5929</v>
      </c>
      <c r="J278" s="28">
        <v>-1.388E-7</v>
      </c>
      <c r="K278" s="43" t="s">
        <v>913</v>
      </c>
      <c r="L278" s="43" t="s">
        <v>65</v>
      </c>
      <c r="N278" s="43" t="s">
        <v>281</v>
      </c>
      <c r="O278" s="43">
        <v>178</v>
      </c>
      <c r="P278" s="43" t="s">
        <v>766</v>
      </c>
      <c r="Q278" s="43" t="s">
        <v>380</v>
      </c>
      <c r="R278" s="43" t="s">
        <v>767</v>
      </c>
      <c r="S278" s="43" t="s">
        <v>383</v>
      </c>
      <c r="T278" s="43">
        <v>10</v>
      </c>
      <c r="U278" s="43">
        <v>-18.761399999999998</v>
      </c>
      <c r="V278" s="28">
        <v>-1.4009999999999999E-7</v>
      </c>
      <c r="W278" s="43" t="s">
        <v>913</v>
      </c>
      <c r="X278" s="43" t="s">
        <v>65</v>
      </c>
    </row>
    <row r="279" spans="2:24" x14ac:dyDescent="0.2">
      <c r="B279" s="43" t="s">
        <v>281</v>
      </c>
      <c r="C279" s="43">
        <v>178</v>
      </c>
      <c r="D279" s="43" t="s">
        <v>766</v>
      </c>
      <c r="E279" s="43" t="s">
        <v>107</v>
      </c>
      <c r="F279" s="43" t="s">
        <v>768</v>
      </c>
      <c r="G279" s="43" t="s">
        <v>385</v>
      </c>
      <c r="H279" s="43">
        <v>60</v>
      </c>
      <c r="I279" s="43">
        <v>-27.920500000000001</v>
      </c>
      <c r="J279" s="28">
        <v>-2.0849999999999999E-7</v>
      </c>
      <c r="K279" s="43" t="s">
        <v>913</v>
      </c>
      <c r="L279" s="43" t="s">
        <v>65</v>
      </c>
      <c r="N279" s="43" t="s">
        <v>281</v>
      </c>
      <c r="O279" s="43">
        <v>178</v>
      </c>
      <c r="P279" s="43" t="s">
        <v>766</v>
      </c>
      <c r="Q279" s="43" t="s">
        <v>380</v>
      </c>
      <c r="R279" s="43" t="s">
        <v>768</v>
      </c>
      <c r="S279" s="43" t="s">
        <v>385</v>
      </c>
      <c r="T279" s="43">
        <v>10</v>
      </c>
      <c r="U279" s="43">
        <v>-27.746600000000001</v>
      </c>
      <c r="V279" s="28">
        <v>-2.072E-7</v>
      </c>
      <c r="W279" s="43" t="s">
        <v>913</v>
      </c>
      <c r="X279" s="43" t="s">
        <v>65</v>
      </c>
    </row>
    <row r="280" spans="2:24" x14ac:dyDescent="0.2">
      <c r="B280" s="43" t="s">
        <v>281</v>
      </c>
      <c r="C280" s="43">
        <v>179</v>
      </c>
      <c r="D280" s="43" t="s">
        <v>766</v>
      </c>
      <c r="E280" s="43" t="s">
        <v>107</v>
      </c>
      <c r="F280" s="43" t="s">
        <v>769</v>
      </c>
      <c r="G280" s="43" t="s">
        <v>383</v>
      </c>
      <c r="H280" s="43">
        <v>60</v>
      </c>
      <c r="I280" s="43">
        <v>-28.497900000000001</v>
      </c>
      <c r="J280" s="28">
        <v>-2.2490000000000001E-7</v>
      </c>
      <c r="K280" s="43" t="s">
        <v>913</v>
      </c>
      <c r="L280" s="43" t="s">
        <v>65</v>
      </c>
      <c r="N280" s="43" t="s">
        <v>281</v>
      </c>
      <c r="O280" s="43">
        <v>179</v>
      </c>
      <c r="P280" s="43" t="s">
        <v>766</v>
      </c>
      <c r="Q280" s="43" t="s">
        <v>380</v>
      </c>
      <c r="R280" s="43" t="s">
        <v>769</v>
      </c>
      <c r="S280" s="43" t="s">
        <v>383</v>
      </c>
      <c r="T280" s="43">
        <v>10</v>
      </c>
      <c r="U280" s="43">
        <v>-28.663599999999999</v>
      </c>
      <c r="V280" s="28">
        <v>-2.2630000000000001E-7</v>
      </c>
      <c r="W280" s="43" t="s">
        <v>913</v>
      </c>
      <c r="X280" s="43" t="s">
        <v>65</v>
      </c>
    </row>
    <row r="281" spans="2:24" x14ac:dyDescent="0.2">
      <c r="B281" s="43" t="s">
        <v>281</v>
      </c>
      <c r="C281" s="43">
        <v>179</v>
      </c>
      <c r="D281" s="43" t="s">
        <v>766</v>
      </c>
      <c r="E281" s="43" t="s">
        <v>107</v>
      </c>
      <c r="F281" s="43" t="s">
        <v>770</v>
      </c>
      <c r="G281" s="43" t="s">
        <v>385</v>
      </c>
      <c r="H281" s="43">
        <v>60</v>
      </c>
      <c r="I281" s="43">
        <v>-28.440300000000001</v>
      </c>
      <c r="J281" s="28">
        <v>-2.2450000000000001E-7</v>
      </c>
      <c r="K281" s="43" t="s">
        <v>913</v>
      </c>
      <c r="L281" s="43" t="s">
        <v>65</v>
      </c>
      <c r="N281" s="43" t="s">
        <v>281</v>
      </c>
      <c r="O281" s="43">
        <v>179</v>
      </c>
      <c r="P281" s="43" t="s">
        <v>766</v>
      </c>
      <c r="Q281" s="43" t="s">
        <v>380</v>
      </c>
      <c r="R281" s="43" t="s">
        <v>770</v>
      </c>
      <c r="S281" s="43" t="s">
        <v>385</v>
      </c>
      <c r="T281" s="43">
        <v>10</v>
      </c>
      <c r="U281" s="43">
        <v>-28.2746</v>
      </c>
      <c r="V281" s="28">
        <v>-2.2319999999999999E-7</v>
      </c>
      <c r="W281" s="43" t="s">
        <v>913</v>
      </c>
      <c r="X281" s="43" t="s">
        <v>65</v>
      </c>
    </row>
    <row r="282" spans="2:24" x14ac:dyDescent="0.2">
      <c r="B282" s="43" t="s">
        <v>281</v>
      </c>
      <c r="C282" s="43">
        <v>180</v>
      </c>
      <c r="D282" s="43" t="s">
        <v>766</v>
      </c>
      <c r="E282" s="43" t="s">
        <v>107</v>
      </c>
      <c r="F282" s="43" t="s">
        <v>771</v>
      </c>
      <c r="G282" s="43" t="s">
        <v>383</v>
      </c>
      <c r="H282" s="43">
        <v>60</v>
      </c>
      <c r="I282" s="43">
        <v>-27.979500000000002</v>
      </c>
      <c r="J282" s="28">
        <v>-2.089E-7</v>
      </c>
      <c r="K282" s="43" t="s">
        <v>913</v>
      </c>
      <c r="L282" s="43" t="s">
        <v>65</v>
      </c>
      <c r="N282" s="43" t="s">
        <v>281</v>
      </c>
      <c r="O282" s="43">
        <v>180</v>
      </c>
      <c r="P282" s="43" t="s">
        <v>766</v>
      </c>
      <c r="Q282" s="43" t="s">
        <v>380</v>
      </c>
      <c r="R282" s="43" t="s">
        <v>771</v>
      </c>
      <c r="S282" s="43" t="s">
        <v>383</v>
      </c>
      <c r="T282" s="43">
        <v>10</v>
      </c>
      <c r="U282" s="43">
        <v>-28.1539</v>
      </c>
      <c r="V282" s="28">
        <v>-2.1019999999999999E-7</v>
      </c>
      <c r="W282" s="43" t="s">
        <v>913</v>
      </c>
      <c r="X282" s="43" t="s">
        <v>65</v>
      </c>
    </row>
    <row r="283" spans="2:24" x14ac:dyDescent="0.2">
      <c r="B283" s="43" t="s">
        <v>281</v>
      </c>
      <c r="C283" s="43">
        <v>180</v>
      </c>
      <c r="D283" s="43" t="s">
        <v>766</v>
      </c>
      <c r="E283" s="43" t="s">
        <v>107</v>
      </c>
      <c r="F283" s="43" t="s">
        <v>772</v>
      </c>
      <c r="G283" s="43" t="s">
        <v>385</v>
      </c>
      <c r="H283" s="43">
        <v>60</v>
      </c>
      <c r="I283" s="43">
        <v>-18.535299999999999</v>
      </c>
      <c r="J283" s="28">
        <v>-1.384E-7</v>
      </c>
      <c r="K283" s="43" t="s">
        <v>913</v>
      </c>
      <c r="L283" s="43" t="s">
        <v>65</v>
      </c>
      <c r="N283" s="43" t="s">
        <v>281</v>
      </c>
      <c r="O283" s="43">
        <v>180</v>
      </c>
      <c r="P283" s="43" t="s">
        <v>766</v>
      </c>
      <c r="Q283" s="43" t="s">
        <v>380</v>
      </c>
      <c r="R283" s="43" t="s">
        <v>772</v>
      </c>
      <c r="S283" s="43" t="s">
        <v>385</v>
      </c>
      <c r="T283" s="43">
        <v>10</v>
      </c>
      <c r="U283" s="43">
        <v>-18.366299999999999</v>
      </c>
      <c r="V283" s="28">
        <v>-1.371E-7</v>
      </c>
      <c r="W283" s="43" t="s">
        <v>913</v>
      </c>
      <c r="X283" s="43" t="s">
        <v>65</v>
      </c>
    </row>
    <row r="284" spans="2:24" x14ac:dyDescent="0.2">
      <c r="B284" s="43" t="s">
        <v>281</v>
      </c>
      <c r="C284" s="43">
        <v>181</v>
      </c>
      <c r="D284" s="43" t="s">
        <v>773</v>
      </c>
      <c r="E284" s="43" t="s">
        <v>107</v>
      </c>
      <c r="F284" s="43" t="s">
        <v>774</v>
      </c>
      <c r="G284" s="43" t="s">
        <v>383</v>
      </c>
      <c r="H284" s="43">
        <v>60</v>
      </c>
      <c r="I284" s="43">
        <v>-18.808299999999999</v>
      </c>
      <c r="J284" s="28">
        <v>-1.4040000000000001E-7</v>
      </c>
      <c r="K284" s="43" t="s">
        <v>913</v>
      </c>
      <c r="L284" s="43" t="s">
        <v>65</v>
      </c>
      <c r="N284" s="43" t="s">
        <v>281</v>
      </c>
      <c r="O284" s="43">
        <v>181</v>
      </c>
      <c r="P284" s="43" t="s">
        <v>773</v>
      </c>
      <c r="Q284" s="43" t="s">
        <v>380</v>
      </c>
      <c r="R284" s="43" t="s">
        <v>774</v>
      </c>
      <c r="S284" s="43" t="s">
        <v>383</v>
      </c>
      <c r="T284" s="43">
        <v>10</v>
      </c>
      <c r="U284" s="43">
        <v>-18.9815</v>
      </c>
      <c r="V284" s="28">
        <v>-1.417E-7</v>
      </c>
      <c r="W284" s="43" t="s">
        <v>913</v>
      </c>
      <c r="X284" s="43" t="s">
        <v>65</v>
      </c>
    </row>
    <row r="285" spans="2:24" x14ac:dyDescent="0.2">
      <c r="B285" s="43" t="s">
        <v>281</v>
      </c>
      <c r="C285" s="43">
        <v>181</v>
      </c>
      <c r="D285" s="43" t="s">
        <v>773</v>
      </c>
      <c r="E285" s="43" t="s">
        <v>107</v>
      </c>
      <c r="F285" s="43" t="s">
        <v>775</v>
      </c>
      <c r="G285" s="43" t="s">
        <v>385</v>
      </c>
      <c r="H285" s="43">
        <v>60</v>
      </c>
      <c r="I285" s="43">
        <v>-26.488600000000002</v>
      </c>
      <c r="J285" s="28">
        <v>-1.9780000000000001E-7</v>
      </c>
      <c r="K285" s="43" t="s">
        <v>913</v>
      </c>
      <c r="L285" s="43" t="s">
        <v>65</v>
      </c>
      <c r="N285" s="43" t="s">
        <v>281</v>
      </c>
      <c r="O285" s="43">
        <v>181</v>
      </c>
      <c r="P285" s="43" t="s">
        <v>773</v>
      </c>
      <c r="Q285" s="43" t="s">
        <v>380</v>
      </c>
      <c r="R285" s="43" t="s">
        <v>775</v>
      </c>
      <c r="S285" s="43" t="s">
        <v>385</v>
      </c>
      <c r="T285" s="43">
        <v>10</v>
      </c>
      <c r="U285" s="43">
        <v>-26.302700000000002</v>
      </c>
      <c r="V285" s="28">
        <v>-1.9640000000000001E-7</v>
      </c>
      <c r="W285" s="43" t="s">
        <v>913</v>
      </c>
      <c r="X285" s="43" t="s">
        <v>65</v>
      </c>
    </row>
    <row r="286" spans="2:24" x14ac:dyDescent="0.2">
      <c r="B286" s="43" t="s">
        <v>281</v>
      </c>
      <c r="C286" s="43">
        <v>151</v>
      </c>
      <c r="D286" s="43" t="s">
        <v>776</v>
      </c>
      <c r="E286" s="43" t="s">
        <v>107</v>
      </c>
      <c r="F286" s="43" t="s">
        <v>777</v>
      </c>
      <c r="G286" s="43" t="s">
        <v>383</v>
      </c>
      <c r="H286" s="43">
        <v>60</v>
      </c>
      <c r="I286" s="43">
        <v>-81.719899999999996</v>
      </c>
      <c r="J286" s="28">
        <v>-9.9999999999999995E-7</v>
      </c>
      <c r="K286" s="43" t="s">
        <v>913</v>
      </c>
      <c r="L286" s="43" t="s">
        <v>65</v>
      </c>
      <c r="N286" s="43" t="s">
        <v>281</v>
      </c>
      <c r="O286" s="43">
        <v>151</v>
      </c>
      <c r="P286" s="43" t="s">
        <v>776</v>
      </c>
      <c r="Q286" s="43" t="s">
        <v>380</v>
      </c>
      <c r="R286" s="43" t="s">
        <v>777</v>
      </c>
      <c r="S286" s="43" t="s">
        <v>383</v>
      </c>
      <c r="T286" s="43">
        <v>10</v>
      </c>
      <c r="U286" s="43">
        <v>-81.817400000000006</v>
      </c>
      <c r="V286" s="28">
        <v>-9.9999999999999995E-7</v>
      </c>
      <c r="W286" s="43" t="s">
        <v>913</v>
      </c>
      <c r="X286" s="43" t="s">
        <v>65</v>
      </c>
    </row>
    <row r="287" spans="2:24" x14ac:dyDescent="0.2">
      <c r="B287" s="43" t="s">
        <v>281</v>
      </c>
      <c r="C287" s="43">
        <v>151</v>
      </c>
      <c r="D287" s="43" t="s">
        <v>776</v>
      </c>
      <c r="E287" s="43" t="s">
        <v>107</v>
      </c>
      <c r="F287" s="43" t="s">
        <v>778</v>
      </c>
      <c r="G287" s="43" t="s">
        <v>385</v>
      </c>
      <c r="H287" s="43">
        <v>60</v>
      </c>
      <c r="I287" s="43">
        <v>-12.2354</v>
      </c>
      <c r="J287" s="28">
        <v>-1.0879999999999999E-7</v>
      </c>
      <c r="K287" s="43" t="s">
        <v>913</v>
      </c>
      <c r="L287" s="43" t="s">
        <v>65</v>
      </c>
      <c r="N287" s="43" t="s">
        <v>281</v>
      </c>
      <c r="O287" s="43">
        <v>151</v>
      </c>
      <c r="P287" s="43" t="s">
        <v>776</v>
      </c>
      <c r="Q287" s="43" t="s">
        <v>380</v>
      </c>
      <c r="R287" s="43" t="s">
        <v>778</v>
      </c>
      <c r="S287" s="43" t="s">
        <v>385</v>
      </c>
      <c r="T287" s="43">
        <v>10</v>
      </c>
      <c r="U287" s="43">
        <v>-12.175599999999999</v>
      </c>
      <c r="V287" s="28">
        <v>-1.082E-7</v>
      </c>
      <c r="W287" s="43" t="s">
        <v>913</v>
      </c>
      <c r="X287" s="43" t="s">
        <v>65</v>
      </c>
    </row>
    <row r="288" spans="2:24" x14ac:dyDescent="0.2">
      <c r="B288" s="43" t="s">
        <v>281</v>
      </c>
      <c r="C288" s="43">
        <v>154</v>
      </c>
      <c r="D288" s="43" t="s">
        <v>779</v>
      </c>
      <c r="E288" s="43" t="s">
        <v>107</v>
      </c>
      <c r="F288" s="43" t="s">
        <v>780</v>
      </c>
      <c r="G288" s="43" t="s">
        <v>383</v>
      </c>
      <c r="H288" s="43">
        <v>60</v>
      </c>
      <c r="I288" s="43">
        <v>-117.9777</v>
      </c>
      <c r="J288" s="28">
        <v>-9.9999999999999995E-7</v>
      </c>
      <c r="K288" s="43" t="s">
        <v>913</v>
      </c>
      <c r="L288" s="43" t="s">
        <v>65</v>
      </c>
      <c r="N288" s="43" t="s">
        <v>281</v>
      </c>
      <c r="O288" s="43">
        <v>154</v>
      </c>
      <c r="P288" s="43" t="s">
        <v>779</v>
      </c>
      <c r="Q288" s="43" t="s">
        <v>380</v>
      </c>
      <c r="R288" s="43" t="s">
        <v>780</v>
      </c>
      <c r="S288" s="43" t="s">
        <v>383</v>
      </c>
      <c r="T288" s="43">
        <v>10</v>
      </c>
      <c r="U288" s="43">
        <v>-118.0382</v>
      </c>
      <c r="V288" s="28">
        <v>-9.9999999999999995E-7</v>
      </c>
      <c r="W288" s="43" t="s">
        <v>913</v>
      </c>
      <c r="X288" s="43" t="s">
        <v>65</v>
      </c>
    </row>
    <row r="289" spans="2:24" x14ac:dyDescent="0.2">
      <c r="B289" s="43" t="s">
        <v>281</v>
      </c>
      <c r="C289" s="43">
        <v>154</v>
      </c>
      <c r="D289" s="43" t="s">
        <v>779</v>
      </c>
      <c r="E289" s="43" t="s">
        <v>107</v>
      </c>
      <c r="F289" s="43" t="s">
        <v>781</v>
      </c>
      <c r="G289" s="43" t="s">
        <v>385</v>
      </c>
      <c r="H289" s="43">
        <v>60</v>
      </c>
      <c r="I289" s="43">
        <v>-10.7949</v>
      </c>
      <c r="J289" s="28">
        <v>-7.2790000000000005E-8</v>
      </c>
      <c r="K289" s="43" t="s">
        <v>913</v>
      </c>
      <c r="L289" s="43" t="s">
        <v>65</v>
      </c>
      <c r="N289" s="43" t="s">
        <v>281</v>
      </c>
      <c r="O289" s="43">
        <v>154</v>
      </c>
      <c r="P289" s="43" t="s">
        <v>779</v>
      </c>
      <c r="Q289" s="43" t="s">
        <v>380</v>
      </c>
      <c r="R289" s="43" t="s">
        <v>781</v>
      </c>
      <c r="S289" s="43" t="s">
        <v>385</v>
      </c>
      <c r="T289" s="43">
        <v>10</v>
      </c>
      <c r="U289" s="43">
        <v>-10.735099999999999</v>
      </c>
      <c r="V289" s="28">
        <v>-7.2390000000000002E-8</v>
      </c>
      <c r="W289" s="43" t="s">
        <v>913</v>
      </c>
      <c r="X289" s="43" t="s">
        <v>65</v>
      </c>
    </row>
    <row r="290" spans="2:24" x14ac:dyDescent="0.2">
      <c r="B290" s="43" t="s">
        <v>281</v>
      </c>
      <c r="C290" s="43">
        <v>157</v>
      </c>
      <c r="D290" s="43" t="s">
        <v>782</v>
      </c>
      <c r="E290" s="43" t="s">
        <v>107</v>
      </c>
      <c r="F290" s="43" t="s">
        <v>783</v>
      </c>
      <c r="G290" s="43" t="s">
        <v>383</v>
      </c>
      <c r="H290" s="43">
        <v>60</v>
      </c>
      <c r="I290" s="43">
        <v>-102.3815</v>
      </c>
      <c r="J290" s="28">
        <v>-9.9999999999999995E-7</v>
      </c>
      <c r="K290" s="43" t="s">
        <v>913</v>
      </c>
      <c r="L290" s="43" t="s">
        <v>65</v>
      </c>
      <c r="N290" s="43" t="s">
        <v>281</v>
      </c>
      <c r="O290" s="43">
        <v>157</v>
      </c>
      <c r="P290" s="43" t="s">
        <v>782</v>
      </c>
      <c r="Q290" s="43" t="s">
        <v>380</v>
      </c>
      <c r="R290" s="43" t="s">
        <v>783</v>
      </c>
      <c r="S290" s="43" t="s">
        <v>383</v>
      </c>
      <c r="T290" s="43">
        <v>10</v>
      </c>
      <c r="U290" s="43">
        <v>-102.4</v>
      </c>
      <c r="V290" s="28">
        <v>-9.9999999999999995E-7</v>
      </c>
      <c r="W290" s="43" t="s">
        <v>913</v>
      </c>
      <c r="X290" s="43" t="s">
        <v>65</v>
      </c>
    </row>
    <row r="291" spans="2:24" x14ac:dyDescent="0.2">
      <c r="B291" s="43" t="s">
        <v>281</v>
      </c>
      <c r="C291" s="43">
        <v>157</v>
      </c>
      <c r="D291" s="43" t="s">
        <v>782</v>
      </c>
      <c r="E291" s="43" t="s">
        <v>107</v>
      </c>
      <c r="F291" s="43" t="s">
        <v>784</v>
      </c>
      <c r="G291" s="43" t="s">
        <v>385</v>
      </c>
      <c r="H291" s="43">
        <v>60</v>
      </c>
      <c r="I291" s="43">
        <v>-19.537199999999999</v>
      </c>
      <c r="J291" s="28">
        <v>-1.381E-7</v>
      </c>
      <c r="K291" s="43" t="s">
        <v>913</v>
      </c>
      <c r="L291" s="43" t="s">
        <v>65</v>
      </c>
      <c r="N291" s="43" t="s">
        <v>281</v>
      </c>
      <c r="O291" s="43">
        <v>157</v>
      </c>
      <c r="P291" s="43" t="s">
        <v>782</v>
      </c>
      <c r="Q291" s="43" t="s">
        <v>380</v>
      </c>
      <c r="R291" s="43" t="s">
        <v>784</v>
      </c>
      <c r="S291" s="43" t="s">
        <v>385</v>
      </c>
      <c r="T291" s="43">
        <v>10</v>
      </c>
      <c r="U291" s="43">
        <v>-19.519300000000001</v>
      </c>
      <c r="V291" s="28">
        <v>-1.3799999999999999E-7</v>
      </c>
      <c r="W291" s="43" t="s">
        <v>913</v>
      </c>
      <c r="X291" s="43" t="s">
        <v>65</v>
      </c>
    </row>
    <row r="292" spans="2:24" x14ac:dyDescent="0.2">
      <c r="B292" s="43" t="s">
        <v>281</v>
      </c>
      <c r="C292" s="43">
        <v>160</v>
      </c>
      <c r="D292" s="43" t="s">
        <v>785</v>
      </c>
      <c r="E292" s="43" t="s">
        <v>107</v>
      </c>
      <c r="F292" s="43" t="s">
        <v>786</v>
      </c>
      <c r="G292" s="43" t="s">
        <v>383</v>
      </c>
      <c r="H292" s="43">
        <v>60</v>
      </c>
      <c r="I292" s="43">
        <v>-102.345</v>
      </c>
      <c r="J292" s="28">
        <v>-9.9999999999999995E-7</v>
      </c>
      <c r="K292" s="43" t="s">
        <v>913</v>
      </c>
      <c r="L292" s="43" t="s">
        <v>65</v>
      </c>
      <c r="N292" s="43" t="s">
        <v>281</v>
      </c>
      <c r="O292" s="43">
        <v>160</v>
      </c>
      <c r="P292" s="43" t="s">
        <v>785</v>
      </c>
      <c r="Q292" s="43" t="s">
        <v>380</v>
      </c>
      <c r="R292" s="43" t="s">
        <v>786</v>
      </c>
      <c r="S292" s="43" t="s">
        <v>383</v>
      </c>
      <c r="T292" s="43">
        <v>10</v>
      </c>
      <c r="U292" s="43">
        <v>-102.32129999999999</v>
      </c>
      <c r="V292" s="28">
        <v>-9.9999999999999995E-7</v>
      </c>
      <c r="W292" s="43" t="s">
        <v>913</v>
      </c>
      <c r="X292" s="43" t="s">
        <v>65</v>
      </c>
    </row>
    <row r="293" spans="2:24" x14ac:dyDescent="0.2">
      <c r="B293" s="43" t="s">
        <v>281</v>
      </c>
      <c r="C293" s="43">
        <v>160</v>
      </c>
      <c r="D293" s="43" t="s">
        <v>785</v>
      </c>
      <c r="E293" s="43" t="s">
        <v>107</v>
      </c>
      <c r="F293" s="43" t="s">
        <v>787</v>
      </c>
      <c r="G293" s="43" t="s">
        <v>385</v>
      </c>
      <c r="H293" s="43">
        <v>60</v>
      </c>
      <c r="I293" s="43">
        <v>-19.5733</v>
      </c>
      <c r="J293" s="28">
        <v>-1.3829999999999999E-7</v>
      </c>
      <c r="K293" s="43" t="s">
        <v>913</v>
      </c>
      <c r="L293" s="43" t="s">
        <v>65</v>
      </c>
      <c r="N293" s="43" t="s">
        <v>281</v>
      </c>
      <c r="O293" s="43">
        <v>160</v>
      </c>
      <c r="P293" s="43" t="s">
        <v>785</v>
      </c>
      <c r="Q293" s="43" t="s">
        <v>380</v>
      </c>
      <c r="R293" s="43" t="s">
        <v>787</v>
      </c>
      <c r="S293" s="43" t="s">
        <v>385</v>
      </c>
      <c r="T293" s="43">
        <v>10</v>
      </c>
      <c r="U293" s="43">
        <v>-19.596900000000002</v>
      </c>
      <c r="V293" s="28">
        <v>-1.385E-7</v>
      </c>
      <c r="W293" s="43" t="s">
        <v>913</v>
      </c>
      <c r="X293" s="43" t="s">
        <v>65</v>
      </c>
    </row>
    <row r="294" spans="2:24" x14ac:dyDescent="0.2">
      <c r="B294" s="43" t="s">
        <v>281</v>
      </c>
      <c r="C294" s="43">
        <v>163</v>
      </c>
      <c r="D294" s="43" t="s">
        <v>788</v>
      </c>
      <c r="E294" s="43" t="s">
        <v>107</v>
      </c>
      <c r="F294" s="43" t="s">
        <v>789</v>
      </c>
      <c r="G294" s="43" t="s">
        <v>383</v>
      </c>
      <c r="H294" s="43">
        <v>60</v>
      </c>
      <c r="I294" s="43">
        <v>-117.8695</v>
      </c>
      <c r="J294" s="28">
        <v>-9.9999999999999995E-7</v>
      </c>
      <c r="K294" s="43" t="s">
        <v>913</v>
      </c>
      <c r="L294" s="43" t="s">
        <v>65</v>
      </c>
      <c r="N294" s="43" t="s">
        <v>281</v>
      </c>
      <c r="O294" s="43">
        <v>163</v>
      </c>
      <c r="P294" s="43" t="s">
        <v>788</v>
      </c>
      <c r="Q294" s="43" t="s">
        <v>380</v>
      </c>
      <c r="R294" s="43" t="s">
        <v>789</v>
      </c>
      <c r="S294" s="43" t="s">
        <v>383</v>
      </c>
      <c r="T294" s="43">
        <v>10</v>
      </c>
      <c r="U294" s="43">
        <v>-117.80289999999999</v>
      </c>
      <c r="V294" s="28">
        <v>-9.9999999999999995E-7</v>
      </c>
      <c r="W294" s="43" t="s">
        <v>913</v>
      </c>
      <c r="X294" s="43" t="s">
        <v>65</v>
      </c>
    </row>
    <row r="295" spans="2:24" x14ac:dyDescent="0.2">
      <c r="B295" s="43" t="s">
        <v>281</v>
      </c>
      <c r="C295" s="43">
        <v>163</v>
      </c>
      <c r="D295" s="43" t="s">
        <v>788</v>
      </c>
      <c r="E295" s="43" t="s">
        <v>107</v>
      </c>
      <c r="F295" s="43" t="s">
        <v>790</v>
      </c>
      <c r="G295" s="43" t="s">
        <v>385</v>
      </c>
      <c r="H295" s="43">
        <v>60</v>
      </c>
      <c r="I295" s="43">
        <v>-10.9041</v>
      </c>
      <c r="J295" s="28">
        <v>-7.3529999999999997E-8</v>
      </c>
      <c r="K295" s="43" t="s">
        <v>913</v>
      </c>
      <c r="L295" s="43" t="s">
        <v>65</v>
      </c>
      <c r="N295" s="43" t="s">
        <v>281</v>
      </c>
      <c r="O295" s="43">
        <v>163</v>
      </c>
      <c r="P295" s="43" t="s">
        <v>788</v>
      </c>
      <c r="Q295" s="43" t="s">
        <v>380</v>
      </c>
      <c r="R295" s="43" t="s">
        <v>790</v>
      </c>
      <c r="S295" s="43" t="s">
        <v>385</v>
      </c>
      <c r="T295" s="43">
        <v>10</v>
      </c>
      <c r="U295" s="43">
        <v>-10.9702</v>
      </c>
      <c r="V295" s="28">
        <v>-7.3980000000000005E-8</v>
      </c>
      <c r="W295" s="43" t="s">
        <v>913</v>
      </c>
      <c r="X295" s="43" t="s">
        <v>65</v>
      </c>
    </row>
    <row r="296" spans="2:24" x14ac:dyDescent="0.2">
      <c r="B296" s="43" t="s">
        <v>281</v>
      </c>
      <c r="C296" s="43">
        <v>166</v>
      </c>
      <c r="D296" s="43" t="s">
        <v>791</v>
      </c>
      <c r="E296" s="43" t="s">
        <v>107</v>
      </c>
      <c r="F296" s="43" t="s">
        <v>792</v>
      </c>
      <c r="G296" s="43" t="s">
        <v>383</v>
      </c>
      <c r="H296" s="43">
        <v>60</v>
      </c>
      <c r="I296" s="43">
        <v>-81.571700000000007</v>
      </c>
      <c r="J296" s="28">
        <v>-9.9999999999999995E-7</v>
      </c>
      <c r="K296" s="43" t="s">
        <v>913</v>
      </c>
      <c r="L296" s="43" t="s">
        <v>65</v>
      </c>
      <c r="N296" s="43" t="s">
        <v>281</v>
      </c>
      <c r="O296" s="43">
        <v>166</v>
      </c>
      <c r="P296" s="43" t="s">
        <v>791</v>
      </c>
      <c r="Q296" s="43" t="s">
        <v>380</v>
      </c>
      <c r="R296" s="43" t="s">
        <v>792</v>
      </c>
      <c r="S296" s="43" t="s">
        <v>383</v>
      </c>
      <c r="T296" s="43">
        <v>10</v>
      </c>
      <c r="U296" s="43">
        <v>-81.470100000000002</v>
      </c>
      <c r="V296" s="28">
        <v>-9.9999999999999995E-7</v>
      </c>
      <c r="W296" s="43" t="s">
        <v>913</v>
      </c>
      <c r="X296" s="43" t="s">
        <v>65</v>
      </c>
    </row>
    <row r="297" spans="2:24" x14ac:dyDescent="0.2">
      <c r="B297" s="43" t="s">
        <v>281</v>
      </c>
      <c r="C297" s="43">
        <v>166</v>
      </c>
      <c r="D297" s="43" t="s">
        <v>791</v>
      </c>
      <c r="E297" s="43" t="s">
        <v>107</v>
      </c>
      <c r="F297" s="43" t="s">
        <v>793</v>
      </c>
      <c r="G297" s="43" t="s">
        <v>385</v>
      </c>
      <c r="H297" s="43">
        <v>60</v>
      </c>
      <c r="I297" s="43">
        <v>-12.3619</v>
      </c>
      <c r="J297" s="28">
        <v>-1.099E-7</v>
      </c>
      <c r="K297" s="43" t="s">
        <v>913</v>
      </c>
      <c r="L297" s="43" t="s">
        <v>65</v>
      </c>
      <c r="N297" s="43" t="s">
        <v>281</v>
      </c>
      <c r="O297" s="43">
        <v>166</v>
      </c>
      <c r="P297" s="43" t="s">
        <v>791</v>
      </c>
      <c r="Q297" s="43" t="s">
        <v>380</v>
      </c>
      <c r="R297" s="43" t="s">
        <v>793</v>
      </c>
      <c r="S297" s="43" t="s">
        <v>385</v>
      </c>
      <c r="T297" s="43">
        <v>10</v>
      </c>
      <c r="U297" s="43">
        <v>-12.4262</v>
      </c>
      <c r="V297" s="28">
        <v>-1.105E-7</v>
      </c>
      <c r="W297" s="43" t="s">
        <v>913</v>
      </c>
      <c r="X297" s="43" t="s">
        <v>65</v>
      </c>
    </row>
    <row r="298" spans="2:24" x14ac:dyDescent="0.2">
      <c r="B298" s="43" t="s">
        <v>281</v>
      </c>
      <c r="C298" s="43">
        <v>182</v>
      </c>
      <c r="D298" s="43" t="s">
        <v>794</v>
      </c>
      <c r="E298" s="43" t="s">
        <v>107</v>
      </c>
      <c r="F298" s="43" t="s">
        <v>795</v>
      </c>
      <c r="G298" s="43" t="s">
        <v>383</v>
      </c>
      <c r="H298" s="43">
        <v>60</v>
      </c>
      <c r="I298" s="43">
        <v>-17.9024</v>
      </c>
      <c r="J298" s="28">
        <v>-1.835E-7</v>
      </c>
      <c r="K298" s="43" t="s">
        <v>913</v>
      </c>
      <c r="L298" s="43" t="s">
        <v>65</v>
      </c>
      <c r="N298" s="43" t="s">
        <v>281</v>
      </c>
      <c r="O298" s="43">
        <v>182</v>
      </c>
      <c r="P298" s="43" t="s">
        <v>794</v>
      </c>
      <c r="Q298" s="43" t="s">
        <v>380</v>
      </c>
      <c r="R298" s="43" t="s">
        <v>795</v>
      </c>
      <c r="S298" s="43" t="s">
        <v>383</v>
      </c>
      <c r="T298" s="43">
        <v>10</v>
      </c>
      <c r="U298" s="43">
        <v>-18.072399999999998</v>
      </c>
      <c r="V298" s="28">
        <v>-1.853E-7</v>
      </c>
      <c r="W298" s="43" t="s">
        <v>913</v>
      </c>
      <c r="X298" s="43" t="s">
        <v>65</v>
      </c>
    </row>
    <row r="299" spans="2:24" x14ac:dyDescent="0.2">
      <c r="B299" s="43" t="s">
        <v>281</v>
      </c>
      <c r="C299" s="43">
        <v>182</v>
      </c>
      <c r="D299" s="43" t="s">
        <v>794</v>
      </c>
      <c r="E299" s="43" t="s">
        <v>107</v>
      </c>
      <c r="F299" s="43" t="s">
        <v>796</v>
      </c>
      <c r="G299" s="43" t="s">
        <v>385</v>
      </c>
      <c r="H299" s="43">
        <v>60</v>
      </c>
      <c r="I299" s="43">
        <v>-22.9009</v>
      </c>
      <c r="J299" s="28">
        <v>-2.3480000000000001E-7</v>
      </c>
      <c r="K299" s="43" t="s">
        <v>913</v>
      </c>
      <c r="L299" s="43" t="s">
        <v>65</v>
      </c>
      <c r="N299" s="43" t="s">
        <v>281</v>
      </c>
      <c r="O299" s="43">
        <v>182</v>
      </c>
      <c r="P299" s="43" t="s">
        <v>794</v>
      </c>
      <c r="Q299" s="43" t="s">
        <v>380</v>
      </c>
      <c r="R299" s="43" t="s">
        <v>796</v>
      </c>
      <c r="S299" s="43" t="s">
        <v>385</v>
      </c>
      <c r="T299" s="43">
        <v>10</v>
      </c>
      <c r="U299" s="43">
        <v>-22.727</v>
      </c>
      <c r="V299" s="28">
        <v>-2.3300000000000001E-7</v>
      </c>
      <c r="W299" s="43" t="s">
        <v>913</v>
      </c>
      <c r="X299" s="43" t="s">
        <v>65</v>
      </c>
    </row>
    <row r="300" spans="2:24" x14ac:dyDescent="0.2">
      <c r="B300" s="43" t="s">
        <v>281</v>
      </c>
      <c r="C300" s="43">
        <v>183</v>
      </c>
      <c r="D300" s="43" t="s">
        <v>797</v>
      </c>
      <c r="E300" s="43" t="s">
        <v>107</v>
      </c>
      <c r="F300" s="43" t="s">
        <v>798</v>
      </c>
      <c r="G300" s="43" t="s">
        <v>383</v>
      </c>
      <c r="H300" s="43">
        <v>60</v>
      </c>
      <c r="I300" s="43">
        <v>-21.720099999999999</v>
      </c>
      <c r="J300" s="28">
        <v>-1.931E-7</v>
      </c>
      <c r="K300" s="43" t="s">
        <v>913</v>
      </c>
      <c r="L300" s="43" t="s">
        <v>65</v>
      </c>
      <c r="N300" s="43" t="s">
        <v>281</v>
      </c>
      <c r="O300" s="43">
        <v>183</v>
      </c>
      <c r="P300" s="43" t="s">
        <v>797</v>
      </c>
      <c r="Q300" s="43" t="s">
        <v>380</v>
      </c>
      <c r="R300" s="43" t="s">
        <v>798</v>
      </c>
      <c r="S300" s="43" t="s">
        <v>383</v>
      </c>
      <c r="T300" s="43">
        <v>10</v>
      </c>
      <c r="U300" s="43">
        <v>-21.918099999999999</v>
      </c>
      <c r="V300" s="28">
        <v>-1.948E-7</v>
      </c>
      <c r="W300" s="43" t="s">
        <v>913</v>
      </c>
      <c r="X300" s="43" t="s">
        <v>65</v>
      </c>
    </row>
    <row r="301" spans="2:24" x14ac:dyDescent="0.2">
      <c r="B301" s="43" t="s">
        <v>281</v>
      </c>
      <c r="C301" s="43">
        <v>183</v>
      </c>
      <c r="D301" s="43" t="s">
        <v>797</v>
      </c>
      <c r="E301" s="43" t="s">
        <v>107</v>
      </c>
      <c r="F301" s="43" t="s">
        <v>799</v>
      </c>
      <c r="G301" s="43" t="s">
        <v>385</v>
      </c>
      <c r="H301" s="43">
        <v>60</v>
      </c>
      <c r="I301" s="43">
        <v>-14.176399999999999</v>
      </c>
      <c r="J301" s="28">
        <v>-1.2599999999999999E-7</v>
      </c>
      <c r="K301" s="43" t="s">
        <v>913</v>
      </c>
      <c r="L301" s="43" t="s">
        <v>65</v>
      </c>
      <c r="N301" s="43" t="s">
        <v>281</v>
      </c>
      <c r="O301" s="43">
        <v>183</v>
      </c>
      <c r="P301" s="43" t="s">
        <v>797</v>
      </c>
      <c r="Q301" s="43" t="s">
        <v>380</v>
      </c>
      <c r="R301" s="43" t="s">
        <v>799</v>
      </c>
      <c r="S301" s="43" t="s">
        <v>385</v>
      </c>
      <c r="T301" s="43">
        <v>10</v>
      </c>
      <c r="U301" s="43">
        <v>-13.9862</v>
      </c>
      <c r="V301" s="28">
        <v>-1.2429999999999999E-7</v>
      </c>
      <c r="W301" s="43" t="s">
        <v>913</v>
      </c>
      <c r="X301" s="43" t="s">
        <v>65</v>
      </c>
    </row>
    <row r="302" spans="2:24" x14ac:dyDescent="0.2">
      <c r="B302" s="43" t="s">
        <v>281</v>
      </c>
      <c r="C302" s="43">
        <v>184</v>
      </c>
      <c r="D302" s="43" t="s">
        <v>797</v>
      </c>
      <c r="E302" s="43" t="s">
        <v>107</v>
      </c>
      <c r="F302" s="43" t="s">
        <v>800</v>
      </c>
      <c r="G302" s="43" t="s">
        <v>383</v>
      </c>
      <c r="H302" s="43">
        <v>60</v>
      </c>
      <c r="I302" s="43">
        <v>-14.38</v>
      </c>
      <c r="J302" s="28">
        <v>-1.205E-7</v>
      </c>
      <c r="K302" s="43" t="s">
        <v>913</v>
      </c>
      <c r="L302" s="43" t="s">
        <v>65</v>
      </c>
      <c r="N302" s="43" t="s">
        <v>281</v>
      </c>
      <c r="O302" s="43">
        <v>184</v>
      </c>
      <c r="P302" s="43" t="s">
        <v>797</v>
      </c>
      <c r="Q302" s="43" t="s">
        <v>380</v>
      </c>
      <c r="R302" s="43" t="s">
        <v>800</v>
      </c>
      <c r="S302" s="43" t="s">
        <v>383</v>
      </c>
      <c r="T302" s="43">
        <v>10</v>
      </c>
      <c r="U302" s="43">
        <v>-14.5761</v>
      </c>
      <c r="V302" s="28">
        <v>-1.222E-7</v>
      </c>
      <c r="W302" s="43" t="s">
        <v>913</v>
      </c>
      <c r="X302" s="43" t="s">
        <v>65</v>
      </c>
    </row>
    <row r="303" spans="2:24" x14ac:dyDescent="0.2">
      <c r="B303" s="43" t="s">
        <v>281</v>
      </c>
      <c r="C303" s="43">
        <v>184</v>
      </c>
      <c r="D303" s="43" t="s">
        <v>797</v>
      </c>
      <c r="E303" s="43" t="s">
        <v>107</v>
      </c>
      <c r="F303" s="43" t="s">
        <v>801</v>
      </c>
      <c r="G303" s="43" t="s">
        <v>385</v>
      </c>
      <c r="H303" s="43">
        <v>60</v>
      </c>
      <c r="I303" s="43">
        <v>-14.2516</v>
      </c>
      <c r="J303" s="28">
        <v>-1.194E-7</v>
      </c>
      <c r="K303" s="43" t="s">
        <v>913</v>
      </c>
      <c r="L303" s="43" t="s">
        <v>65</v>
      </c>
      <c r="N303" s="43" t="s">
        <v>281</v>
      </c>
      <c r="O303" s="43">
        <v>184</v>
      </c>
      <c r="P303" s="43" t="s">
        <v>797</v>
      </c>
      <c r="Q303" s="43" t="s">
        <v>380</v>
      </c>
      <c r="R303" s="43" t="s">
        <v>801</v>
      </c>
      <c r="S303" s="43" t="s">
        <v>385</v>
      </c>
      <c r="T303" s="43">
        <v>10</v>
      </c>
      <c r="U303" s="43">
        <v>-14.0555</v>
      </c>
      <c r="V303" s="28">
        <v>-1.178E-7</v>
      </c>
      <c r="W303" s="43" t="s">
        <v>913</v>
      </c>
      <c r="X303" s="43" t="s">
        <v>65</v>
      </c>
    </row>
    <row r="304" spans="2:24" x14ac:dyDescent="0.2">
      <c r="B304" s="43" t="s">
        <v>281</v>
      </c>
      <c r="C304" s="43">
        <v>185</v>
      </c>
      <c r="D304" s="43" t="s">
        <v>797</v>
      </c>
      <c r="E304" s="43" t="s">
        <v>107</v>
      </c>
      <c r="F304" s="43" t="s">
        <v>802</v>
      </c>
      <c r="G304" s="43" t="s">
        <v>383</v>
      </c>
      <c r="H304" s="43">
        <v>60</v>
      </c>
      <c r="I304" s="43">
        <v>-14.3018</v>
      </c>
      <c r="J304" s="28">
        <v>-1.2709999999999999E-7</v>
      </c>
      <c r="K304" s="43" t="s">
        <v>913</v>
      </c>
      <c r="L304" s="43" t="s">
        <v>65</v>
      </c>
      <c r="N304" s="43" t="s">
        <v>281</v>
      </c>
      <c r="O304" s="43">
        <v>185</v>
      </c>
      <c r="P304" s="43" t="s">
        <v>797</v>
      </c>
      <c r="Q304" s="43" t="s">
        <v>380</v>
      </c>
      <c r="R304" s="43" t="s">
        <v>802</v>
      </c>
      <c r="S304" s="43" t="s">
        <v>383</v>
      </c>
      <c r="T304" s="43">
        <v>10</v>
      </c>
      <c r="U304" s="43">
        <v>-14.4923</v>
      </c>
      <c r="V304" s="28">
        <v>-1.2879999999999999E-7</v>
      </c>
      <c r="W304" s="43" t="s">
        <v>913</v>
      </c>
      <c r="X304" s="43" t="s">
        <v>65</v>
      </c>
    </row>
    <row r="305" spans="2:24" x14ac:dyDescent="0.2">
      <c r="B305" s="43" t="s">
        <v>281</v>
      </c>
      <c r="C305" s="43">
        <v>185</v>
      </c>
      <c r="D305" s="43" t="s">
        <v>797</v>
      </c>
      <c r="E305" s="43" t="s">
        <v>107</v>
      </c>
      <c r="F305" s="43" t="s">
        <v>803</v>
      </c>
      <c r="G305" s="43" t="s">
        <v>385</v>
      </c>
      <c r="H305" s="43">
        <v>60</v>
      </c>
      <c r="I305" s="43">
        <v>-21.593</v>
      </c>
      <c r="J305" s="28">
        <v>-1.9189999999999999E-7</v>
      </c>
      <c r="K305" s="43" t="s">
        <v>913</v>
      </c>
      <c r="L305" s="43" t="s">
        <v>65</v>
      </c>
      <c r="N305" s="43" t="s">
        <v>281</v>
      </c>
      <c r="O305" s="43">
        <v>185</v>
      </c>
      <c r="P305" s="43" t="s">
        <v>797</v>
      </c>
      <c r="Q305" s="43" t="s">
        <v>380</v>
      </c>
      <c r="R305" s="43" t="s">
        <v>803</v>
      </c>
      <c r="S305" s="43" t="s">
        <v>385</v>
      </c>
      <c r="T305" s="43">
        <v>10</v>
      </c>
      <c r="U305" s="43">
        <v>-21.395</v>
      </c>
      <c r="V305" s="28">
        <v>-1.902E-7</v>
      </c>
      <c r="W305" s="43" t="s">
        <v>913</v>
      </c>
      <c r="X305" s="43" t="s">
        <v>65</v>
      </c>
    </row>
    <row r="306" spans="2:24" x14ac:dyDescent="0.2">
      <c r="B306" s="43" t="s">
        <v>281</v>
      </c>
      <c r="C306" s="43">
        <v>186</v>
      </c>
      <c r="D306" s="43" t="s">
        <v>804</v>
      </c>
      <c r="E306" s="43" t="s">
        <v>107</v>
      </c>
      <c r="F306" s="43" t="s">
        <v>805</v>
      </c>
      <c r="G306" s="43" t="s">
        <v>383</v>
      </c>
      <c r="H306" s="43">
        <v>60</v>
      </c>
      <c r="I306" s="43">
        <v>-23.012899999999998</v>
      </c>
      <c r="J306" s="28">
        <v>-2.3589999999999999E-7</v>
      </c>
      <c r="K306" s="43" t="s">
        <v>913</v>
      </c>
      <c r="L306" s="43" t="s">
        <v>65</v>
      </c>
      <c r="N306" s="43" t="s">
        <v>281</v>
      </c>
      <c r="O306" s="43">
        <v>186</v>
      </c>
      <c r="P306" s="43" t="s">
        <v>804</v>
      </c>
      <c r="Q306" s="43" t="s">
        <v>380</v>
      </c>
      <c r="R306" s="43" t="s">
        <v>805</v>
      </c>
      <c r="S306" s="43" t="s">
        <v>383</v>
      </c>
      <c r="T306" s="43">
        <v>10</v>
      </c>
      <c r="U306" s="43">
        <v>-23.186299999999999</v>
      </c>
      <c r="V306" s="28">
        <v>-2.3769999999999999E-7</v>
      </c>
      <c r="W306" s="43" t="s">
        <v>913</v>
      </c>
      <c r="X306" s="43" t="s">
        <v>65</v>
      </c>
    </row>
    <row r="307" spans="2:24" x14ac:dyDescent="0.2">
      <c r="B307" s="43" t="s">
        <v>281</v>
      </c>
      <c r="C307" s="43">
        <v>186</v>
      </c>
      <c r="D307" s="43" t="s">
        <v>804</v>
      </c>
      <c r="E307" s="43" t="s">
        <v>107</v>
      </c>
      <c r="F307" s="43" t="s">
        <v>806</v>
      </c>
      <c r="G307" s="43" t="s">
        <v>385</v>
      </c>
      <c r="H307" s="43">
        <v>60</v>
      </c>
      <c r="I307" s="43">
        <v>-17.7957</v>
      </c>
      <c r="J307" s="28">
        <v>-1.8239999999999999E-7</v>
      </c>
      <c r="K307" s="43" t="s">
        <v>913</v>
      </c>
      <c r="L307" s="43" t="s">
        <v>65</v>
      </c>
      <c r="N307" s="43" t="s">
        <v>281</v>
      </c>
      <c r="O307" s="43">
        <v>186</v>
      </c>
      <c r="P307" s="43" t="s">
        <v>804</v>
      </c>
      <c r="Q307" s="43" t="s">
        <v>380</v>
      </c>
      <c r="R307" s="43" t="s">
        <v>806</v>
      </c>
      <c r="S307" s="43" t="s">
        <v>385</v>
      </c>
      <c r="T307" s="43">
        <v>10</v>
      </c>
      <c r="U307" s="43">
        <v>-17.626100000000001</v>
      </c>
      <c r="V307" s="28">
        <v>-1.807E-7</v>
      </c>
      <c r="W307" s="43" t="s">
        <v>913</v>
      </c>
      <c r="X307" s="43" t="s">
        <v>65</v>
      </c>
    </row>
    <row r="308" spans="2:24" x14ac:dyDescent="0.2">
      <c r="B308" s="43" t="s">
        <v>330</v>
      </c>
      <c r="C308" s="43">
        <v>43</v>
      </c>
      <c r="D308" s="43" t="s">
        <v>807</v>
      </c>
      <c r="E308" s="43" t="s">
        <v>107</v>
      </c>
      <c r="F308" s="43" t="s">
        <v>808</v>
      </c>
      <c r="G308" s="43" t="s">
        <v>383</v>
      </c>
      <c r="H308" s="43">
        <v>60</v>
      </c>
      <c r="I308" s="43">
        <v>-18.1388</v>
      </c>
      <c r="J308" s="28">
        <v>-1.8589999999999999E-7</v>
      </c>
      <c r="K308" s="43" t="s">
        <v>913</v>
      </c>
      <c r="L308" s="43" t="s">
        <v>65</v>
      </c>
      <c r="N308" s="43" t="s">
        <v>330</v>
      </c>
      <c r="O308" s="43">
        <v>43</v>
      </c>
      <c r="P308" s="43" t="s">
        <v>807</v>
      </c>
      <c r="Q308" s="43" t="s">
        <v>380</v>
      </c>
      <c r="R308" s="43" t="s">
        <v>808</v>
      </c>
      <c r="S308" s="43" t="s">
        <v>383</v>
      </c>
      <c r="T308" s="43">
        <v>10</v>
      </c>
      <c r="U308" s="43">
        <v>-18.1814</v>
      </c>
      <c r="V308" s="28">
        <v>-1.864E-7</v>
      </c>
      <c r="W308" s="43" t="s">
        <v>913</v>
      </c>
      <c r="X308" s="43" t="s">
        <v>65</v>
      </c>
    </row>
    <row r="309" spans="2:24" x14ac:dyDescent="0.2">
      <c r="B309" s="43" t="s">
        <v>330</v>
      </c>
      <c r="C309" s="43">
        <v>43</v>
      </c>
      <c r="D309" s="43" t="s">
        <v>807</v>
      </c>
      <c r="E309" s="43" t="s">
        <v>107</v>
      </c>
      <c r="F309" s="43" t="s">
        <v>809</v>
      </c>
      <c r="G309" s="43" t="s">
        <v>385</v>
      </c>
      <c r="H309" s="43">
        <v>60</v>
      </c>
      <c r="I309" s="43">
        <v>-24.594799999999999</v>
      </c>
      <c r="J309" s="28">
        <v>-2.5209999999999999E-7</v>
      </c>
      <c r="K309" s="43" t="s">
        <v>913</v>
      </c>
      <c r="L309" s="43" t="s">
        <v>65</v>
      </c>
      <c r="N309" s="43" t="s">
        <v>330</v>
      </c>
      <c r="O309" s="43">
        <v>43</v>
      </c>
      <c r="P309" s="43" t="s">
        <v>807</v>
      </c>
      <c r="Q309" s="43" t="s">
        <v>380</v>
      </c>
      <c r="R309" s="43" t="s">
        <v>809</v>
      </c>
      <c r="S309" s="43" t="s">
        <v>385</v>
      </c>
      <c r="T309" s="43">
        <v>10</v>
      </c>
      <c r="U309" s="43">
        <v>-24.5562</v>
      </c>
      <c r="V309" s="28">
        <v>-2.5170000000000001E-7</v>
      </c>
      <c r="W309" s="43" t="s">
        <v>913</v>
      </c>
      <c r="X309" s="43" t="s">
        <v>65</v>
      </c>
    </row>
    <row r="310" spans="2:24" x14ac:dyDescent="0.2">
      <c r="B310" s="43" t="s">
        <v>330</v>
      </c>
      <c r="C310" s="43">
        <v>44</v>
      </c>
      <c r="D310" s="43" t="s">
        <v>810</v>
      </c>
      <c r="E310" s="43" t="s">
        <v>107</v>
      </c>
      <c r="F310" s="43" t="s">
        <v>811</v>
      </c>
      <c r="G310" s="43" t="s">
        <v>383</v>
      </c>
      <c r="H310" s="43">
        <v>60</v>
      </c>
      <c r="I310" s="43">
        <v>-23.0063</v>
      </c>
      <c r="J310" s="28">
        <v>-2.0450000000000001E-7</v>
      </c>
      <c r="K310" s="43" t="s">
        <v>913</v>
      </c>
      <c r="L310" s="43" t="s">
        <v>65</v>
      </c>
      <c r="N310" s="43" t="s">
        <v>330</v>
      </c>
      <c r="O310" s="43">
        <v>44</v>
      </c>
      <c r="P310" s="43" t="s">
        <v>810</v>
      </c>
      <c r="Q310" s="43" t="s">
        <v>380</v>
      </c>
      <c r="R310" s="43" t="s">
        <v>811</v>
      </c>
      <c r="S310" s="43" t="s">
        <v>383</v>
      </c>
      <c r="T310" s="43">
        <v>10</v>
      </c>
      <c r="U310" s="43">
        <v>-23.053899999999999</v>
      </c>
      <c r="V310" s="28">
        <v>-2.0489999999999999E-7</v>
      </c>
      <c r="W310" s="43" t="s">
        <v>913</v>
      </c>
      <c r="X310" s="43" t="s">
        <v>65</v>
      </c>
    </row>
    <row r="311" spans="2:24" x14ac:dyDescent="0.2">
      <c r="B311" s="43" t="s">
        <v>330</v>
      </c>
      <c r="C311" s="43">
        <v>44</v>
      </c>
      <c r="D311" s="43" t="s">
        <v>810</v>
      </c>
      <c r="E311" s="43" t="s">
        <v>107</v>
      </c>
      <c r="F311" s="43" t="s">
        <v>812</v>
      </c>
      <c r="G311" s="43" t="s">
        <v>385</v>
      </c>
      <c r="H311" s="43">
        <v>60</v>
      </c>
      <c r="I311" s="43">
        <v>-15.1424</v>
      </c>
      <c r="J311" s="28">
        <v>-1.346E-7</v>
      </c>
      <c r="K311" s="43" t="s">
        <v>913</v>
      </c>
      <c r="L311" s="43" t="s">
        <v>65</v>
      </c>
      <c r="N311" s="43" t="s">
        <v>330</v>
      </c>
      <c r="O311" s="43">
        <v>44</v>
      </c>
      <c r="P311" s="43" t="s">
        <v>810</v>
      </c>
      <c r="Q311" s="43" t="s">
        <v>380</v>
      </c>
      <c r="R311" s="43" t="s">
        <v>812</v>
      </c>
      <c r="S311" s="43" t="s">
        <v>385</v>
      </c>
      <c r="T311" s="43">
        <v>10</v>
      </c>
      <c r="U311" s="43">
        <v>-15.0992</v>
      </c>
      <c r="V311" s="28">
        <v>-1.342E-7</v>
      </c>
      <c r="W311" s="43" t="s">
        <v>913</v>
      </c>
      <c r="X311" s="43" t="s">
        <v>65</v>
      </c>
    </row>
    <row r="312" spans="2:24" x14ac:dyDescent="0.2">
      <c r="B312" s="43" t="s">
        <v>330</v>
      </c>
      <c r="C312" s="43">
        <v>45</v>
      </c>
      <c r="D312" s="43" t="s">
        <v>810</v>
      </c>
      <c r="E312" s="43" t="s">
        <v>107</v>
      </c>
      <c r="F312" s="43" t="s">
        <v>813</v>
      </c>
      <c r="G312" s="43" t="s">
        <v>383</v>
      </c>
      <c r="H312" s="43">
        <v>60</v>
      </c>
      <c r="I312" s="43">
        <v>-15.2096</v>
      </c>
      <c r="J312" s="28">
        <v>-1.275E-7</v>
      </c>
      <c r="K312" s="43" t="s">
        <v>913</v>
      </c>
      <c r="L312" s="43" t="s">
        <v>65</v>
      </c>
      <c r="N312" s="43" t="s">
        <v>330</v>
      </c>
      <c r="O312" s="43">
        <v>45</v>
      </c>
      <c r="P312" s="43" t="s">
        <v>810</v>
      </c>
      <c r="Q312" s="43" t="s">
        <v>380</v>
      </c>
      <c r="R312" s="43" t="s">
        <v>813</v>
      </c>
      <c r="S312" s="43" t="s">
        <v>383</v>
      </c>
      <c r="T312" s="43">
        <v>10</v>
      </c>
      <c r="U312" s="43">
        <v>-15.254899999999999</v>
      </c>
      <c r="V312" s="28">
        <v>-1.279E-7</v>
      </c>
      <c r="W312" s="43" t="s">
        <v>913</v>
      </c>
      <c r="X312" s="43" t="s">
        <v>65</v>
      </c>
    </row>
    <row r="313" spans="2:24" x14ac:dyDescent="0.2">
      <c r="B313" s="43" t="s">
        <v>330</v>
      </c>
      <c r="C313" s="43">
        <v>45</v>
      </c>
      <c r="D313" s="43" t="s">
        <v>810</v>
      </c>
      <c r="E313" s="43" t="s">
        <v>107</v>
      </c>
      <c r="F313" s="43" t="s">
        <v>814</v>
      </c>
      <c r="G313" s="43" t="s">
        <v>385</v>
      </c>
      <c r="H313" s="43">
        <v>60</v>
      </c>
      <c r="I313" s="43">
        <v>-15.292899999999999</v>
      </c>
      <c r="J313" s="28">
        <v>-1.282E-7</v>
      </c>
      <c r="K313" s="43" t="s">
        <v>913</v>
      </c>
      <c r="L313" s="43" t="s">
        <v>65</v>
      </c>
      <c r="N313" s="43" t="s">
        <v>330</v>
      </c>
      <c r="O313" s="43">
        <v>45</v>
      </c>
      <c r="P313" s="43" t="s">
        <v>810</v>
      </c>
      <c r="Q313" s="43" t="s">
        <v>380</v>
      </c>
      <c r="R313" s="43" t="s">
        <v>814</v>
      </c>
      <c r="S313" s="43" t="s">
        <v>385</v>
      </c>
      <c r="T313" s="43">
        <v>10</v>
      </c>
      <c r="U313" s="43">
        <v>-15.2485</v>
      </c>
      <c r="V313" s="28">
        <v>-1.2779999999999999E-7</v>
      </c>
      <c r="W313" s="43" t="s">
        <v>913</v>
      </c>
      <c r="X313" s="43" t="s">
        <v>65</v>
      </c>
    </row>
    <row r="314" spans="2:24" x14ac:dyDescent="0.2">
      <c r="B314" s="43" t="s">
        <v>330</v>
      </c>
      <c r="C314" s="43">
        <v>46</v>
      </c>
      <c r="D314" s="43" t="s">
        <v>810</v>
      </c>
      <c r="E314" s="43" t="s">
        <v>107</v>
      </c>
      <c r="F314" s="43" t="s">
        <v>815</v>
      </c>
      <c r="G314" s="43" t="s">
        <v>383</v>
      </c>
      <c r="H314" s="43">
        <v>60</v>
      </c>
      <c r="I314" s="43">
        <v>-15.063700000000001</v>
      </c>
      <c r="J314" s="28">
        <v>-1.339E-7</v>
      </c>
      <c r="K314" s="43" t="s">
        <v>913</v>
      </c>
      <c r="L314" s="43" t="s">
        <v>65</v>
      </c>
      <c r="N314" s="43" t="s">
        <v>330</v>
      </c>
      <c r="O314" s="43">
        <v>46</v>
      </c>
      <c r="P314" s="43" t="s">
        <v>810</v>
      </c>
      <c r="Q314" s="43" t="s">
        <v>380</v>
      </c>
      <c r="R314" s="43" t="s">
        <v>815</v>
      </c>
      <c r="S314" s="43" t="s">
        <v>383</v>
      </c>
      <c r="T314" s="43">
        <v>10</v>
      </c>
      <c r="U314" s="43">
        <v>-15.1073</v>
      </c>
      <c r="V314" s="28">
        <v>-1.343E-7</v>
      </c>
      <c r="W314" s="43" t="s">
        <v>913</v>
      </c>
      <c r="X314" s="43" t="s">
        <v>65</v>
      </c>
    </row>
    <row r="315" spans="2:24" x14ac:dyDescent="0.2">
      <c r="B315" s="43" t="s">
        <v>330</v>
      </c>
      <c r="C315" s="43">
        <v>46</v>
      </c>
      <c r="D315" s="43" t="s">
        <v>810</v>
      </c>
      <c r="E315" s="43" t="s">
        <v>107</v>
      </c>
      <c r="F315" s="43" t="s">
        <v>816</v>
      </c>
      <c r="G315" s="43" t="s">
        <v>385</v>
      </c>
      <c r="H315" s="43">
        <v>60</v>
      </c>
      <c r="I315" s="43">
        <v>-23.0823</v>
      </c>
      <c r="J315" s="28">
        <v>-2.0520000000000001E-7</v>
      </c>
      <c r="K315" s="43" t="s">
        <v>913</v>
      </c>
      <c r="L315" s="43" t="s">
        <v>65</v>
      </c>
      <c r="N315" s="43" t="s">
        <v>330</v>
      </c>
      <c r="O315" s="43">
        <v>46</v>
      </c>
      <c r="P315" s="43" t="s">
        <v>810</v>
      </c>
      <c r="Q315" s="43" t="s">
        <v>380</v>
      </c>
      <c r="R315" s="43" t="s">
        <v>816</v>
      </c>
      <c r="S315" s="43" t="s">
        <v>385</v>
      </c>
      <c r="T315" s="43">
        <v>10</v>
      </c>
      <c r="U315" s="43">
        <v>-23.033899999999999</v>
      </c>
      <c r="V315" s="28">
        <v>-2.047E-7</v>
      </c>
      <c r="W315" s="43" t="s">
        <v>913</v>
      </c>
      <c r="X315" s="43" t="s">
        <v>65</v>
      </c>
    </row>
    <row r="316" spans="2:24" x14ac:dyDescent="0.2">
      <c r="B316" s="43" t="s">
        <v>330</v>
      </c>
      <c r="C316" s="43">
        <v>47</v>
      </c>
      <c r="D316" s="43" t="s">
        <v>817</v>
      </c>
      <c r="E316" s="43" t="s">
        <v>107</v>
      </c>
      <c r="F316" s="43" t="s">
        <v>818</v>
      </c>
      <c r="G316" s="43" t="s">
        <v>383</v>
      </c>
      <c r="H316" s="43">
        <v>60</v>
      </c>
      <c r="I316" s="43">
        <v>-24.5244</v>
      </c>
      <c r="J316" s="28">
        <v>-2.5139999999999999E-7</v>
      </c>
      <c r="K316" s="43" t="s">
        <v>913</v>
      </c>
      <c r="L316" s="43" t="s">
        <v>65</v>
      </c>
      <c r="N316" s="43" t="s">
        <v>330</v>
      </c>
      <c r="O316" s="43">
        <v>47</v>
      </c>
      <c r="P316" s="43" t="s">
        <v>817</v>
      </c>
      <c r="Q316" s="43" t="s">
        <v>380</v>
      </c>
      <c r="R316" s="43" t="s">
        <v>818</v>
      </c>
      <c r="S316" s="43" t="s">
        <v>383</v>
      </c>
      <c r="T316" s="43">
        <v>10</v>
      </c>
      <c r="U316" s="43">
        <v>-24.5655</v>
      </c>
      <c r="V316" s="28">
        <v>-2.5180000000000002E-7</v>
      </c>
      <c r="W316" s="43" t="s">
        <v>913</v>
      </c>
      <c r="X316" s="43" t="s">
        <v>65</v>
      </c>
    </row>
    <row r="317" spans="2:24" x14ac:dyDescent="0.2">
      <c r="B317" s="43" t="s">
        <v>330</v>
      </c>
      <c r="C317" s="43">
        <v>47</v>
      </c>
      <c r="D317" s="43" t="s">
        <v>817</v>
      </c>
      <c r="E317" s="43" t="s">
        <v>107</v>
      </c>
      <c r="F317" s="43" t="s">
        <v>819</v>
      </c>
      <c r="G317" s="43" t="s">
        <v>385</v>
      </c>
      <c r="H317" s="43">
        <v>60</v>
      </c>
      <c r="I317" s="43">
        <v>-18.2089</v>
      </c>
      <c r="J317" s="28">
        <v>-1.867E-7</v>
      </c>
      <c r="K317" s="43" t="s">
        <v>913</v>
      </c>
      <c r="L317" s="43" t="s">
        <v>65</v>
      </c>
      <c r="N317" s="43" t="s">
        <v>330</v>
      </c>
      <c r="O317" s="43">
        <v>47</v>
      </c>
      <c r="P317" s="43" t="s">
        <v>817</v>
      </c>
      <c r="Q317" s="43" t="s">
        <v>380</v>
      </c>
      <c r="R317" s="43" t="s">
        <v>819</v>
      </c>
      <c r="S317" s="43" t="s">
        <v>385</v>
      </c>
      <c r="T317" s="43">
        <v>10</v>
      </c>
      <c r="U317" s="43">
        <v>-18.166799999999999</v>
      </c>
      <c r="V317" s="28">
        <v>-1.8620000000000001E-7</v>
      </c>
      <c r="W317" s="43" t="s">
        <v>913</v>
      </c>
      <c r="X317" s="43" t="s">
        <v>65</v>
      </c>
    </row>
    <row r="318" spans="2:24" x14ac:dyDescent="0.2">
      <c r="B318" s="43" t="s">
        <v>330</v>
      </c>
      <c r="C318" s="43">
        <v>25</v>
      </c>
      <c r="D318" s="43" t="s">
        <v>820</v>
      </c>
      <c r="E318" s="43" t="s">
        <v>107</v>
      </c>
      <c r="F318" s="43" t="s">
        <v>821</v>
      </c>
      <c r="G318" s="43" t="s">
        <v>383</v>
      </c>
      <c r="H318" s="43">
        <v>60</v>
      </c>
      <c r="I318" s="43">
        <v>-72.410899999999998</v>
      </c>
      <c r="J318" s="28">
        <v>-9.9999999999999995E-7</v>
      </c>
      <c r="K318" s="43" t="s">
        <v>913</v>
      </c>
      <c r="L318" s="43" t="s">
        <v>65</v>
      </c>
      <c r="N318" s="43" t="s">
        <v>330</v>
      </c>
      <c r="O318" s="43">
        <v>25</v>
      </c>
      <c r="P318" s="43" t="s">
        <v>820</v>
      </c>
      <c r="Q318" s="43" t="s">
        <v>380</v>
      </c>
      <c r="R318" s="43" t="s">
        <v>821</v>
      </c>
      <c r="S318" s="43" t="s">
        <v>383</v>
      </c>
      <c r="T318" s="43">
        <v>10</v>
      </c>
      <c r="U318" s="43">
        <v>-72.496499999999997</v>
      </c>
      <c r="V318" s="28">
        <v>-9.9999999999999995E-7</v>
      </c>
      <c r="W318" s="43" t="s">
        <v>913</v>
      </c>
      <c r="X318" s="43" t="s">
        <v>65</v>
      </c>
    </row>
    <row r="319" spans="2:24" x14ac:dyDescent="0.2">
      <c r="B319" s="43" t="s">
        <v>330</v>
      </c>
      <c r="C319" s="43">
        <v>25</v>
      </c>
      <c r="D319" s="43" t="s">
        <v>820</v>
      </c>
      <c r="E319" s="43" t="s">
        <v>107</v>
      </c>
      <c r="F319" s="43" t="s">
        <v>822</v>
      </c>
      <c r="G319" s="43" t="s">
        <v>385</v>
      </c>
      <c r="H319" s="43">
        <v>60</v>
      </c>
      <c r="I319" s="43">
        <v>-19.8306</v>
      </c>
      <c r="J319" s="28">
        <v>-1.8760000000000001E-7</v>
      </c>
      <c r="K319" s="43" t="s">
        <v>913</v>
      </c>
      <c r="L319" s="43" t="s">
        <v>65</v>
      </c>
      <c r="N319" s="43" t="s">
        <v>330</v>
      </c>
      <c r="O319" s="43">
        <v>25</v>
      </c>
      <c r="P319" s="43" t="s">
        <v>820</v>
      </c>
      <c r="Q319" s="43" t="s">
        <v>380</v>
      </c>
      <c r="R319" s="43" t="s">
        <v>822</v>
      </c>
      <c r="S319" s="43" t="s">
        <v>385</v>
      </c>
      <c r="T319" s="43">
        <v>10</v>
      </c>
      <c r="U319" s="43">
        <v>-19.7531</v>
      </c>
      <c r="V319" s="28">
        <v>-1.8690000000000001E-7</v>
      </c>
      <c r="W319" s="43" t="s">
        <v>913</v>
      </c>
      <c r="X319" s="43" t="s">
        <v>65</v>
      </c>
    </row>
    <row r="320" spans="2:24" x14ac:dyDescent="0.2">
      <c r="B320" s="43" t="s">
        <v>330</v>
      </c>
      <c r="C320" s="43">
        <v>28</v>
      </c>
      <c r="D320" s="43" t="s">
        <v>823</v>
      </c>
      <c r="E320" s="43" t="s">
        <v>107</v>
      </c>
      <c r="F320" s="43" t="s">
        <v>824</v>
      </c>
      <c r="G320" s="43" t="s">
        <v>383</v>
      </c>
      <c r="H320" s="43">
        <v>60</v>
      </c>
      <c r="I320" s="43">
        <v>-92.665599999999998</v>
      </c>
      <c r="J320" s="28">
        <v>-9.9999999999999995E-7</v>
      </c>
      <c r="K320" s="43" t="s">
        <v>913</v>
      </c>
      <c r="L320" s="43" t="s">
        <v>65</v>
      </c>
      <c r="N320" s="43" t="s">
        <v>330</v>
      </c>
      <c r="O320" s="43">
        <v>28</v>
      </c>
      <c r="P320" s="43" t="s">
        <v>823</v>
      </c>
      <c r="Q320" s="43" t="s">
        <v>380</v>
      </c>
      <c r="R320" s="43" t="s">
        <v>824</v>
      </c>
      <c r="S320" s="43" t="s">
        <v>383</v>
      </c>
      <c r="T320" s="43">
        <v>10</v>
      </c>
      <c r="U320" s="43">
        <v>-92.738900000000001</v>
      </c>
      <c r="V320" s="28">
        <v>-9.9999999999999995E-7</v>
      </c>
      <c r="W320" s="43" t="s">
        <v>913</v>
      </c>
      <c r="X320" s="43" t="s">
        <v>65</v>
      </c>
    </row>
    <row r="321" spans="2:24" x14ac:dyDescent="0.2">
      <c r="B321" s="43" t="s">
        <v>330</v>
      </c>
      <c r="C321" s="43">
        <v>28</v>
      </c>
      <c r="D321" s="43" t="s">
        <v>823</v>
      </c>
      <c r="E321" s="43" t="s">
        <v>107</v>
      </c>
      <c r="F321" s="43" t="s">
        <v>825</v>
      </c>
      <c r="G321" s="43" t="s">
        <v>385</v>
      </c>
      <c r="H321" s="43">
        <v>60</v>
      </c>
      <c r="I321" s="43">
        <v>-37.843000000000004</v>
      </c>
      <c r="J321" s="28">
        <v>-2.5520000000000001E-7</v>
      </c>
      <c r="K321" s="43" t="s">
        <v>913</v>
      </c>
      <c r="L321" s="43" t="s">
        <v>65</v>
      </c>
      <c r="N321" s="43" t="s">
        <v>330</v>
      </c>
      <c r="O321" s="43">
        <v>28</v>
      </c>
      <c r="P321" s="43" t="s">
        <v>823</v>
      </c>
      <c r="Q321" s="43" t="s">
        <v>380</v>
      </c>
      <c r="R321" s="43" t="s">
        <v>825</v>
      </c>
      <c r="S321" s="43" t="s">
        <v>385</v>
      </c>
      <c r="T321" s="43">
        <v>10</v>
      </c>
      <c r="U321" s="43">
        <v>-37.771000000000001</v>
      </c>
      <c r="V321" s="28">
        <v>-2.5470000000000002E-7</v>
      </c>
      <c r="W321" s="43" t="s">
        <v>913</v>
      </c>
      <c r="X321" s="43" t="s">
        <v>65</v>
      </c>
    </row>
    <row r="322" spans="2:24" x14ac:dyDescent="0.2">
      <c r="B322" s="43" t="s">
        <v>330</v>
      </c>
      <c r="C322" s="43">
        <v>31</v>
      </c>
      <c r="D322" s="43" t="s">
        <v>826</v>
      </c>
      <c r="E322" s="43" t="s">
        <v>107</v>
      </c>
      <c r="F322" s="43" t="s">
        <v>827</v>
      </c>
      <c r="G322" s="43" t="s">
        <v>383</v>
      </c>
      <c r="H322" s="43">
        <v>60</v>
      </c>
      <c r="I322" s="43">
        <v>-100.34</v>
      </c>
      <c r="J322" s="28">
        <v>-9.9999999999999995E-7</v>
      </c>
      <c r="K322" s="43" t="s">
        <v>913</v>
      </c>
      <c r="L322" s="43" t="s">
        <v>65</v>
      </c>
      <c r="N322" s="43" t="s">
        <v>330</v>
      </c>
      <c r="O322" s="43">
        <v>31</v>
      </c>
      <c r="P322" s="43" t="s">
        <v>826</v>
      </c>
      <c r="Q322" s="43" t="s">
        <v>380</v>
      </c>
      <c r="R322" s="43" t="s">
        <v>827</v>
      </c>
      <c r="S322" s="43" t="s">
        <v>383</v>
      </c>
      <c r="T322" s="43">
        <v>10</v>
      </c>
      <c r="U322" s="43">
        <v>-100.3837</v>
      </c>
      <c r="V322" s="28">
        <v>-9.9999999999999995E-7</v>
      </c>
      <c r="W322" s="43" t="s">
        <v>913</v>
      </c>
      <c r="X322" s="43" t="s">
        <v>65</v>
      </c>
    </row>
    <row r="323" spans="2:24" x14ac:dyDescent="0.2">
      <c r="B323" s="43" t="s">
        <v>330</v>
      </c>
      <c r="C323" s="43">
        <v>31</v>
      </c>
      <c r="D323" s="43" t="s">
        <v>826</v>
      </c>
      <c r="E323" s="43" t="s">
        <v>107</v>
      </c>
      <c r="F323" s="43" t="s">
        <v>828</v>
      </c>
      <c r="G323" s="43" t="s">
        <v>385</v>
      </c>
      <c r="H323" s="43">
        <v>60</v>
      </c>
      <c r="I323" s="43">
        <v>-23.668299999999999</v>
      </c>
      <c r="J323" s="28">
        <v>-1.673E-7</v>
      </c>
      <c r="K323" s="43" t="s">
        <v>913</v>
      </c>
      <c r="L323" s="43" t="s">
        <v>65</v>
      </c>
      <c r="N323" s="43" t="s">
        <v>330</v>
      </c>
      <c r="O323" s="43">
        <v>31</v>
      </c>
      <c r="P323" s="43" t="s">
        <v>826</v>
      </c>
      <c r="Q323" s="43" t="s">
        <v>380</v>
      </c>
      <c r="R323" s="43" t="s">
        <v>828</v>
      </c>
      <c r="S323" s="43" t="s">
        <v>385</v>
      </c>
      <c r="T323" s="43">
        <v>10</v>
      </c>
      <c r="U323" s="43">
        <v>-23.631499999999999</v>
      </c>
      <c r="V323" s="28">
        <v>-1.67E-7</v>
      </c>
      <c r="W323" s="43" t="s">
        <v>913</v>
      </c>
      <c r="X323" s="43" t="s">
        <v>65</v>
      </c>
    </row>
    <row r="324" spans="2:24" x14ac:dyDescent="0.2">
      <c r="B324" s="43" t="s">
        <v>330</v>
      </c>
      <c r="C324" s="43">
        <v>34</v>
      </c>
      <c r="D324" s="43" t="s">
        <v>829</v>
      </c>
      <c r="E324" s="43" t="s">
        <v>107</v>
      </c>
      <c r="F324" s="43" t="s">
        <v>830</v>
      </c>
      <c r="G324" s="43" t="s">
        <v>383</v>
      </c>
      <c r="H324" s="43">
        <v>60</v>
      </c>
      <c r="I324" s="43">
        <v>-100.3124</v>
      </c>
      <c r="J324" s="28">
        <v>-9.9999999999999995E-7</v>
      </c>
      <c r="K324" s="43" t="s">
        <v>913</v>
      </c>
      <c r="L324" s="43" t="s">
        <v>65</v>
      </c>
      <c r="N324" s="43" t="s">
        <v>330</v>
      </c>
      <c r="O324" s="43">
        <v>34</v>
      </c>
      <c r="P324" s="43" t="s">
        <v>829</v>
      </c>
      <c r="Q324" s="43" t="s">
        <v>380</v>
      </c>
      <c r="R324" s="43" t="s">
        <v>830</v>
      </c>
      <c r="S324" s="43" t="s">
        <v>383</v>
      </c>
      <c r="T324" s="43">
        <v>10</v>
      </c>
      <c r="U324" s="43">
        <v>-100.32040000000001</v>
      </c>
      <c r="V324" s="28">
        <v>-9.9999999999999995E-7</v>
      </c>
      <c r="W324" s="43" t="s">
        <v>913</v>
      </c>
      <c r="X324" s="43" t="s">
        <v>65</v>
      </c>
    </row>
    <row r="325" spans="2:24" x14ac:dyDescent="0.2">
      <c r="B325" s="43" t="s">
        <v>330</v>
      </c>
      <c r="C325" s="43">
        <v>34</v>
      </c>
      <c r="D325" s="43" t="s">
        <v>829</v>
      </c>
      <c r="E325" s="43" t="s">
        <v>107</v>
      </c>
      <c r="F325" s="43" t="s">
        <v>831</v>
      </c>
      <c r="G325" s="43" t="s">
        <v>385</v>
      </c>
      <c r="H325" s="43">
        <v>60</v>
      </c>
      <c r="I325" s="43">
        <v>-23.695699999999999</v>
      </c>
      <c r="J325" s="28">
        <v>-1.6750000000000001E-7</v>
      </c>
      <c r="K325" s="43" t="s">
        <v>913</v>
      </c>
      <c r="L325" s="43" t="s">
        <v>65</v>
      </c>
      <c r="N325" s="43" t="s">
        <v>330</v>
      </c>
      <c r="O325" s="43">
        <v>34</v>
      </c>
      <c r="P325" s="43" t="s">
        <v>829</v>
      </c>
      <c r="Q325" s="43" t="s">
        <v>380</v>
      </c>
      <c r="R325" s="43" t="s">
        <v>831</v>
      </c>
      <c r="S325" s="43" t="s">
        <v>385</v>
      </c>
      <c r="T325" s="43">
        <v>10</v>
      </c>
      <c r="U325" s="43">
        <v>-23.693100000000001</v>
      </c>
      <c r="V325" s="28">
        <v>-1.6750000000000001E-7</v>
      </c>
      <c r="W325" s="43" t="s">
        <v>913</v>
      </c>
      <c r="X325" s="43" t="s">
        <v>65</v>
      </c>
    </row>
    <row r="326" spans="2:24" x14ac:dyDescent="0.2">
      <c r="B326" s="43" t="s">
        <v>330</v>
      </c>
      <c r="C326" s="43">
        <v>37</v>
      </c>
      <c r="D326" s="43" t="s">
        <v>832</v>
      </c>
      <c r="E326" s="43" t="s">
        <v>107</v>
      </c>
      <c r="F326" s="43" t="s">
        <v>833</v>
      </c>
      <c r="G326" s="43" t="s">
        <v>383</v>
      </c>
      <c r="H326" s="43">
        <v>60</v>
      </c>
      <c r="I326" s="43">
        <v>-92.581299999999999</v>
      </c>
      <c r="J326" s="28">
        <v>-9.9999999999999995E-7</v>
      </c>
      <c r="K326" s="43" t="s">
        <v>913</v>
      </c>
      <c r="L326" s="43" t="s">
        <v>65</v>
      </c>
      <c r="N326" s="43" t="s">
        <v>330</v>
      </c>
      <c r="O326" s="43">
        <v>37</v>
      </c>
      <c r="P326" s="43" t="s">
        <v>832</v>
      </c>
      <c r="Q326" s="43" t="s">
        <v>380</v>
      </c>
      <c r="R326" s="43" t="s">
        <v>833</v>
      </c>
      <c r="S326" s="43" t="s">
        <v>383</v>
      </c>
      <c r="T326" s="43">
        <v>10</v>
      </c>
      <c r="U326" s="43">
        <v>-92.548100000000005</v>
      </c>
      <c r="V326" s="28">
        <v>-9.9999999999999995E-7</v>
      </c>
      <c r="W326" s="43" t="s">
        <v>913</v>
      </c>
      <c r="X326" s="43" t="s">
        <v>65</v>
      </c>
    </row>
    <row r="327" spans="2:24" x14ac:dyDescent="0.2">
      <c r="B327" s="43" t="s">
        <v>330</v>
      </c>
      <c r="C327" s="43">
        <v>37</v>
      </c>
      <c r="D327" s="43" t="s">
        <v>832</v>
      </c>
      <c r="E327" s="43" t="s">
        <v>107</v>
      </c>
      <c r="F327" s="43" t="s">
        <v>834</v>
      </c>
      <c r="G327" s="43" t="s">
        <v>385</v>
      </c>
      <c r="H327" s="43">
        <v>60</v>
      </c>
      <c r="I327" s="43">
        <v>-37.929900000000004</v>
      </c>
      <c r="J327" s="28">
        <v>-2.558E-7</v>
      </c>
      <c r="K327" s="43" t="s">
        <v>913</v>
      </c>
      <c r="L327" s="43" t="s">
        <v>65</v>
      </c>
      <c r="N327" s="43" t="s">
        <v>330</v>
      </c>
      <c r="O327" s="43">
        <v>37</v>
      </c>
      <c r="P327" s="43" t="s">
        <v>832</v>
      </c>
      <c r="Q327" s="43" t="s">
        <v>380</v>
      </c>
      <c r="R327" s="43" t="s">
        <v>834</v>
      </c>
      <c r="S327" s="43" t="s">
        <v>385</v>
      </c>
      <c r="T327" s="43">
        <v>10</v>
      </c>
      <c r="U327" s="43">
        <v>-37.962600000000002</v>
      </c>
      <c r="V327" s="28">
        <v>-2.5600000000000002E-7</v>
      </c>
      <c r="W327" s="43" t="s">
        <v>913</v>
      </c>
      <c r="X327" s="43" t="s">
        <v>65</v>
      </c>
    </row>
    <row r="328" spans="2:24" x14ac:dyDescent="0.2">
      <c r="B328" s="43" t="s">
        <v>330</v>
      </c>
      <c r="C328" s="43">
        <v>40</v>
      </c>
      <c r="D328" s="43" t="s">
        <v>835</v>
      </c>
      <c r="E328" s="43" t="s">
        <v>107</v>
      </c>
      <c r="F328" s="43" t="s">
        <v>836</v>
      </c>
      <c r="G328" s="43" t="s">
        <v>383</v>
      </c>
      <c r="H328" s="43">
        <v>60</v>
      </c>
      <c r="I328" s="43">
        <v>-72.319699999999997</v>
      </c>
      <c r="J328" s="28">
        <v>-9.9999999999999995E-7</v>
      </c>
      <c r="K328" s="43" t="s">
        <v>913</v>
      </c>
      <c r="L328" s="43" t="s">
        <v>65</v>
      </c>
      <c r="N328" s="43" t="s">
        <v>330</v>
      </c>
      <c r="O328" s="43">
        <v>40</v>
      </c>
      <c r="P328" s="43" t="s">
        <v>835</v>
      </c>
      <c r="Q328" s="43" t="s">
        <v>380</v>
      </c>
      <c r="R328" s="43" t="s">
        <v>836</v>
      </c>
      <c r="S328" s="43" t="s">
        <v>383</v>
      </c>
      <c r="T328" s="43">
        <v>10</v>
      </c>
      <c r="U328" s="43">
        <v>-72.270899999999997</v>
      </c>
      <c r="V328" s="28">
        <v>-9.9999999999999995E-7</v>
      </c>
      <c r="W328" s="43" t="s">
        <v>913</v>
      </c>
      <c r="X328" s="43" t="s">
        <v>65</v>
      </c>
    </row>
    <row r="329" spans="2:24" x14ac:dyDescent="0.2">
      <c r="B329" s="43" t="s">
        <v>330</v>
      </c>
      <c r="C329" s="43">
        <v>40</v>
      </c>
      <c r="D329" s="43" t="s">
        <v>835</v>
      </c>
      <c r="E329" s="43" t="s">
        <v>107</v>
      </c>
      <c r="F329" s="43" t="s">
        <v>837</v>
      </c>
      <c r="G329" s="43" t="s">
        <v>385</v>
      </c>
      <c r="H329" s="43">
        <v>60</v>
      </c>
      <c r="I329" s="43">
        <v>-19.933800000000002</v>
      </c>
      <c r="J329" s="28">
        <v>-1.8860000000000001E-7</v>
      </c>
      <c r="K329" s="43" t="s">
        <v>913</v>
      </c>
      <c r="L329" s="43" t="s">
        <v>65</v>
      </c>
      <c r="N329" s="43" t="s">
        <v>330</v>
      </c>
      <c r="O329" s="43">
        <v>40</v>
      </c>
      <c r="P329" s="43" t="s">
        <v>835</v>
      </c>
      <c r="Q329" s="43" t="s">
        <v>380</v>
      </c>
      <c r="R329" s="43" t="s">
        <v>837</v>
      </c>
      <c r="S329" s="43" t="s">
        <v>385</v>
      </c>
      <c r="T329" s="43">
        <v>10</v>
      </c>
      <c r="U329" s="43">
        <v>-19.965900000000001</v>
      </c>
      <c r="V329" s="28">
        <v>-1.889E-7</v>
      </c>
      <c r="W329" s="43" t="s">
        <v>913</v>
      </c>
      <c r="X329" s="43" t="s">
        <v>65</v>
      </c>
    </row>
    <row r="330" spans="2:24" x14ac:dyDescent="0.2">
      <c r="B330" s="43" t="s">
        <v>330</v>
      </c>
      <c r="C330" s="43">
        <v>48</v>
      </c>
      <c r="D330" s="43" t="s">
        <v>838</v>
      </c>
      <c r="E330" s="43" t="s">
        <v>107</v>
      </c>
      <c r="F330" s="43" t="s">
        <v>839</v>
      </c>
      <c r="G330" s="43" t="s">
        <v>383</v>
      </c>
      <c r="H330" s="43">
        <v>60</v>
      </c>
      <c r="I330" s="43">
        <v>-25.2623</v>
      </c>
      <c r="J330" s="28">
        <v>-1.8860000000000001E-7</v>
      </c>
      <c r="K330" s="43" t="s">
        <v>913</v>
      </c>
      <c r="L330" s="43" t="s">
        <v>65</v>
      </c>
      <c r="N330" s="43" t="s">
        <v>330</v>
      </c>
      <c r="O330" s="43">
        <v>48</v>
      </c>
      <c r="P330" s="43" t="s">
        <v>838</v>
      </c>
      <c r="Q330" s="43" t="s">
        <v>380</v>
      </c>
      <c r="R330" s="43" t="s">
        <v>839</v>
      </c>
      <c r="S330" s="43" t="s">
        <v>383</v>
      </c>
      <c r="T330" s="43">
        <v>10</v>
      </c>
      <c r="U330" s="43">
        <v>-25.3659</v>
      </c>
      <c r="V330" s="28">
        <v>-1.8939999999999999E-7</v>
      </c>
      <c r="W330" s="43" t="s">
        <v>913</v>
      </c>
      <c r="X330" s="43" t="s">
        <v>65</v>
      </c>
    </row>
    <row r="331" spans="2:24" x14ac:dyDescent="0.2">
      <c r="B331" s="43" t="s">
        <v>330</v>
      </c>
      <c r="C331" s="43">
        <v>48</v>
      </c>
      <c r="D331" s="43" t="s">
        <v>838</v>
      </c>
      <c r="E331" s="43" t="s">
        <v>107</v>
      </c>
      <c r="F331" s="43" t="s">
        <v>840</v>
      </c>
      <c r="G331" s="43" t="s">
        <v>385</v>
      </c>
      <c r="H331" s="43">
        <v>60</v>
      </c>
      <c r="I331" s="43">
        <v>-19.627600000000001</v>
      </c>
      <c r="J331" s="28">
        <v>-1.466E-7</v>
      </c>
      <c r="K331" s="43" t="s">
        <v>913</v>
      </c>
      <c r="L331" s="43" t="s">
        <v>65</v>
      </c>
      <c r="N331" s="43" t="s">
        <v>330</v>
      </c>
      <c r="O331" s="43">
        <v>48</v>
      </c>
      <c r="P331" s="43" t="s">
        <v>838</v>
      </c>
      <c r="Q331" s="43" t="s">
        <v>380</v>
      </c>
      <c r="R331" s="43" t="s">
        <v>840</v>
      </c>
      <c r="S331" s="43" t="s">
        <v>385</v>
      </c>
      <c r="T331" s="43">
        <v>10</v>
      </c>
      <c r="U331" s="43">
        <v>-19.532499999999999</v>
      </c>
      <c r="V331" s="28">
        <v>-1.458E-7</v>
      </c>
      <c r="W331" s="43" t="s">
        <v>913</v>
      </c>
      <c r="X331" s="43" t="s">
        <v>65</v>
      </c>
    </row>
    <row r="332" spans="2:24" x14ac:dyDescent="0.2">
      <c r="B332" s="43" t="s">
        <v>330</v>
      </c>
      <c r="C332" s="43">
        <v>49</v>
      </c>
      <c r="D332" s="43" t="s">
        <v>841</v>
      </c>
      <c r="E332" s="43" t="s">
        <v>107</v>
      </c>
      <c r="F332" s="43" t="s">
        <v>842</v>
      </c>
      <c r="G332" s="43" t="s">
        <v>383</v>
      </c>
      <c r="H332" s="43">
        <v>60</v>
      </c>
      <c r="I332" s="43">
        <v>-18.571200000000001</v>
      </c>
      <c r="J332" s="28">
        <v>-1.3869999999999999E-7</v>
      </c>
      <c r="K332" s="43" t="s">
        <v>913</v>
      </c>
      <c r="L332" s="43" t="s">
        <v>65</v>
      </c>
      <c r="N332" s="43" t="s">
        <v>330</v>
      </c>
      <c r="O332" s="43">
        <v>49</v>
      </c>
      <c r="P332" s="43" t="s">
        <v>841</v>
      </c>
      <c r="Q332" s="43" t="s">
        <v>380</v>
      </c>
      <c r="R332" s="43" t="s">
        <v>842</v>
      </c>
      <c r="S332" s="43" t="s">
        <v>383</v>
      </c>
      <c r="T332" s="43">
        <v>10</v>
      </c>
      <c r="U332" s="43">
        <v>-18.663499999999999</v>
      </c>
      <c r="V332" s="28">
        <v>-1.3939999999999999E-7</v>
      </c>
      <c r="W332" s="43" t="s">
        <v>913</v>
      </c>
      <c r="X332" s="43" t="s">
        <v>65</v>
      </c>
    </row>
    <row r="333" spans="2:24" x14ac:dyDescent="0.2">
      <c r="B333" s="43" t="s">
        <v>330</v>
      </c>
      <c r="C333" s="43">
        <v>49</v>
      </c>
      <c r="D333" s="43" t="s">
        <v>841</v>
      </c>
      <c r="E333" s="43" t="s">
        <v>107</v>
      </c>
      <c r="F333" s="43" t="s">
        <v>843</v>
      </c>
      <c r="G333" s="43" t="s">
        <v>385</v>
      </c>
      <c r="H333" s="43">
        <v>60</v>
      </c>
      <c r="I333" s="43">
        <v>-28.0517</v>
      </c>
      <c r="J333" s="28">
        <v>-2.0949999999999999E-7</v>
      </c>
      <c r="K333" s="43" t="s">
        <v>913</v>
      </c>
      <c r="L333" s="43" t="s">
        <v>65</v>
      </c>
      <c r="N333" s="43" t="s">
        <v>330</v>
      </c>
      <c r="O333" s="43">
        <v>49</v>
      </c>
      <c r="P333" s="43" t="s">
        <v>841</v>
      </c>
      <c r="Q333" s="43" t="s">
        <v>380</v>
      </c>
      <c r="R333" s="43" t="s">
        <v>843</v>
      </c>
      <c r="S333" s="43" t="s">
        <v>385</v>
      </c>
      <c r="T333" s="43">
        <v>10</v>
      </c>
      <c r="U333" s="43">
        <v>-27.9575</v>
      </c>
      <c r="V333" s="28">
        <v>-2.0870000000000001E-7</v>
      </c>
      <c r="W333" s="43" t="s">
        <v>913</v>
      </c>
      <c r="X333" s="43" t="s">
        <v>65</v>
      </c>
    </row>
    <row r="334" spans="2:24" x14ac:dyDescent="0.2">
      <c r="B334" s="43" t="s">
        <v>330</v>
      </c>
      <c r="C334" s="43">
        <v>50</v>
      </c>
      <c r="D334" s="43" t="s">
        <v>841</v>
      </c>
      <c r="E334" s="43" t="s">
        <v>107</v>
      </c>
      <c r="F334" s="43" t="s">
        <v>844</v>
      </c>
      <c r="G334" s="43" t="s">
        <v>383</v>
      </c>
      <c r="H334" s="43">
        <v>60</v>
      </c>
      <c r="I334" s="43">
        <v>-28.54</v>
      </c>
      <c r="J334" s="28">
        <v>-2.2530000000000001E-7</v>
      </c>
      <c r="K334" s="43" t="s">
        <v>913</v>
      </c>
      <c r="L334" s="43" t="s">
        <v>65</v>
      </c>
      <c r="N334" s="43" t="s">
        <v>330</v>
      </c>
      <c r="O334" s="43">
        <v>50</v>
      </c>
      <c r="P334" s="43" t="s">
        <v>841</v>
      </c>
      <c r="Q334" s="43" t="s">
        <v>380</v>
      </c>
      <c r="R334" s="43" t="s">
        <v>844</v>
      </c>
      <c r="S334" s="43" t="s">
        <v>383</v>
      </c>
      <c r="T334" s="43">
        <v>10</v>
      </c>
      <c r="U334" s="43">
        <v>-28.628499999999999</v>
      </c>
      <c r="V334" s="28">
        <v>-2.2600000000000001E-7</v>
      </c>
      <c r="W334" s="43" t="s">
        <v>913</v>
      </c>
      <c r="X334" s="43" t="s">
        <v>65</v>
      </c>
    </row>
    <row r="335" spans="2:24" x14ac:dyDescent="0.2">
      <c r="B335" s="43" t="s">
        <v>330</v>
      </c>
      <c r="C335" s="43">
        <v>50</v>
      </c>
      <c r="D335" s="43" t="s">
        <v>841</v>
      </c>
      <c r="E335" s="43" t="s">
        <v>107</v>
      </c>
      <c r="F335" s="43" t="s">
        <v>845</v>
      </c>
      <c r="G335" s="43" t="s">
        <v>385</v>
      </c>
      <c r="H335" s="43">
        <v>60</v>
      </c>
      <c r="I335" s="43">
        <v>-28.561499999999999</v>
      </c>
      <c r="J335" s="28">
        <v>-2.2539999999999999E-7</v>
      </c>
      <c r="K335" s="43" t="s">
        <v>913</v>
      </c>
      <c r="L335" s="43" t="s">
        <v>65</v>
      </c>
      <c r="N335" s="43" t="s">
        <v>330</v>
      </c>
      <c r="O335" s="43">
        <v>50</v>
      </c>
      <c r="P335" s="43" t="s">
        <v>841</v>
      </c>
      <c r="Q335" s="43" t="s">
        <v>380</v>
      </c>
      <c r="R335" s="43" t="s">
        <v>845</v>
      </c>
      <c r="S335" s="43" t="s">
        <v>385</v>
      </c>
      <c r="T335" s="43">
        <v>10</v>
      </c>
      <c r="U335" s="43">
        <v>-28.472899999999999</v>
      </c>
      <c r="V335" s="28">
        <v>-2.2469999999999999E-7</v>
      </c>
      <c r="W335" s="43" t="s">
        <v>913</v>
      </c>
      <c r="X335" s="43" t="s">
        <v>65</v>
      </c>
    </row>
    <row r="336" spans="2:24" x14ac:dyDescent="0.2">
      <c r="B336" s="43" t="s">
        <v>330</v>
      </c>
      <c r="C336" s="43">
        <v>51</v>
      </c>
      <c r="D336" s="43" t="s">
        <v>841</v>
      </c>
      <c r="E336" s="43" t="s">
        <v>107</v>
      </c>
      <c r="F336" s="43" t="s">
        <v>846</v>
      </c>
      <c r="G336" s="43" t="s">
        <v>383</v>
      </c>
      <c r="H336" s="43">
        <v>60</v>
      </c>
      <c r="I336" s="43">
        <v>-28.028199999999998</v>
      </c>
      <c r="J336" s="28">
        <v>-2.093E-7</v>
      </c>
      <c r="K336" s="43" t="s">
        <v>913</v>
      </c>
      <c r="L336" s="43" t="s">
        <v>65</v>
      </c>
      <c r="N336" s="43" t="s">
        <v>330</v>
      </c>
      <c r="O336" s="43">
        <v>51</v>
      </c>
      <c r="P336" s="43" t="s">
        <v>841</v>
      </c>
      <c r="Q336" s="43" t="s">
        <v>380</v>
      </c>
      <c r="R336" s="43" t="s">
        <v>846</v>
      </c>
      <c r="S336" s="43" t="s">
        <v>383</v>
      </c>
      <c r="T336" s="43">
        <v>10</v>
      </c>
      <c r="U336" s="43">
        <v>-28.122900000000001</v>
      </c>
      <c r="V336" s="28">
        <v>-2.1E-7</v>
      </c>
      <c r="W336" s="43" t="s">
        <v>913</v>
      </c>
      <c r="X336" s="43" t="s">
        <v>65</v>
      </c>
    </row>
    <row r="337" spans="2:24" x14ac:dyDescent="0.2">
      <c r="B337" s="43" t="s">
        <v>330</v>
      </c>
      <c r="C337" s="43">
        <v>51</v>
      </c>
      <c r="D337" s="43" t="s">
        <v>841</v>
      </c>
      <c r="E337" s="43" t="s">
        <v>107</v>
      </c>
      <c r="F337" s="43" t="s">
        <v>847</v>
      </c>
      <c r="G337" s="43" t="s">
        <v>385</v>
      </c>
      <c r="H337" s="43">
        <v>60</v>
      </c>
      <c r="I337" s="43">
        <v>-18.5945</v>
      </c>
      <c r="J337" s="28">
        <v>-1.388E-7</v>
      </c>
      <c r="K337" s="43" t="s">
        <v>913</v>
      </c>
      <c r="L337" s="43" t="s">
        <v>65</v>
      </c>
      <c r="N337" s="43" t="s">
        <v>330</v>
      </c>
      <c r="O337" s="43">
        <v>51</v>
      </c>
      <c r="P337" s="43" t="s">
        <v>841</v>
      </c>
      <c r="Q337" s="43" t="s">
        <v>380</v>
      </c>
      <c r="R337" s="43" t="s">
        <v>847</v>
      </c>
      <c r="S337" s="43" t="s">
        <v>385</v>
      </c>
      <c r="T337" s="43">
        <v>10</v>
      </c>
      <c r="U337" s="43">
        <v>-18.5016</v>
      </c>
      <c r="V337" s="28">
        <v>-1.381E-7</v>
      </c>
      <c r="W337" s="43" t="s">
        <v>913</v>
      </c>
      <c r="X337" s="43" t="s">
        <v>65</v>
      </c>
    </row>
    <row r="338" spans="2:24" x14ac:dyDescent="0.2">
      <c r="B338" s="43" t="s">
        <v>330</v>
      </c>
      <c r="C338" s="43">
        <v>52</v>
      </c>
      <c r="D338" s="43" t="s">
        <v>848</v>
      </c>
      <c r="E338" s="43" t="s">
        <v>107</v>
      </c>
      <c r="F338" s="43" t="s">
        <v>849</v>
      </c>
      <c r="G338" s="43" t="s">
        <v>383</v>
      </c>
      <c r="H338" s="43">
        <v>60</v>
      </c>
      <c r="I338" s="43">
        <v>-19.6051</v>
      </c>
      <c r="J338" s="28">
        <v>-1.4639999999999999E-7</v>
      </c>
      <c r="K338" s="43" t="s">
        <v>913</v>
      </c>
      <c r="L338" s="43" t="s">
        <v>65</v>
      </c>
      <c r="N338" s="43" t="s">
        <v>330</v>
      </c>
      <c r="O338" s="43">
        <v>52</v>
      </c>
      <c r="P338" s="43" t="s">
        <v>848</v>
      </c>
      <c r="Q338" s="43" t="s">
        <v>380</v>
      </c>
      <c r="R338" s="43" t="s">
        <v>849</v>
      </c>
      <c r="S338" s="43" t="s">
        <v>383</v>
      </c>
      <c r="T338" s="43">
        <v>10</v>
      </c>
      <c r="U338" s="43">
        <v>-19.702100000000002</v>
      </c>
      <c r="V338" s="28">
        <v>-1.4709999999999999E-7</v>
      </c>
      <c r="W338" s="43" t="s">
        <v>913</v>
      </c>
      <c r="X338" s="43" t="s">
        <v>65</v>
      </c>
    </row>
    <row r="339" spans="2:24" x14ac:dyDescent="0.2">
      <c r="B339" s="43" t="s">
        <v>330</v>
      </c>
      <c r="C339" s="43">
        <v>52</v>
      </c>
      <c r="D339" s="43" t="s">
        <v>848</v>
      </c>
      <c r="E339" s="43" t="s">
        <v>107</v>
      </c>
      <c r="F339" s="43" t="s">
        <v>850</v>
      </c>
      <c r="G339" s="43" t="s">
        <v>385</v>
      </c>
      <c r="H339" s="43">
        <v>60</v>
      </c>
      <c r="I339" s="43">
        <v>-25.287500000000001</v>
      </c>
      <c r="J339" s="28">
        <v>-1.888E-7</v>
      </c>
      <c r="K339" s="43" t="s">
        <v>913</v>
      </c>
      <c r="L339" s="43" t="s">
        <v>65</v>
      </c>
      <c r="N339" s="43" t="s">
        <v>330</v>
      </c>
      <c r="O339" s="43">
        <v>52</v>
      </c>
      <c r="P339" s="43" t="s">
        <v>848</v>
      </c>
      <c r="Q339" s="43" t="s">
        <v>380</v>
      </c>
      <c r="R339" s="43" t="s">
        <v>850</v>
      </c>
      <c r="S339" s="43" t="s">
        <v>385</v>
      </c>
      <c r="T339" s="43">
        <v>10</v>
      </c>
      <c r="U339" s="43">
        <v>-25.186</v>
      </c>
      <c r="V339" s="28">
        <v>-1.881E-7</v>
      </c>
      <c r="W339" s="43" t="s">
        <v>913</v>
      </c>
      <c r="X339" s="43" t="s">
        <v>65</v>
      </c>
    </row>
    <row r="340" spans="2:24" x14ac:dyDescent="0.2">
      <c r="B340" s="43" t="s">
        <v>330</v>
      </c>
      <c r="C340" s="43">
        <v>26</v>
      </c>
      <c r="D340" s="43" t="s">
        <v>851</v>
      </c>
      <c r="E340" s="43" t="s">
        <v>107</v>
      </c>
      <c r="F340" s="43" t="s">
        <v>852</v>
      </c>
      <c r="G340" s="43" t="s">
        <v>383</v>
      </c>
      <c r="H340" s="43">
        <v>60</v>
      </c>
      <c r="I340" s="43">
        <v>-71.245199999999997</v>
      </c>
      <c r="J340" s="28">
        <v>-9.9999999999999995E-7</v>
      </c>
      <c r="K340" s="43" t="s">
        <v>913</v>
      </c>
      <c r="L340" s="43" t="s">
        <v>65</v>
      </c>
      <c r="N340" s="43" t="s">
        <v>330</v>
      </c>
      <c r="O340" s="43">
        <v>26</v>
      </c>
      <c r="P340" s="43" t="s">
        <v>851</v>
      </c>
      <c r="Q340" s="43" t="s">
        <v>380</v>
      </c>
      <c r="R340" s="43" t="s">
        <v>852</v>
      </c>
      <c r="S340" s="43" t="s">
        <v>383</v>
      </c>
      <c r="T340" s="43">
        <v>10</v>
      </c>
      <c r="U340" s="43">
        <v>-71.344399999999993</v>
      </c>
      <c r="V340" s="28">
        <v>-9.9999999999999995E-7</v>
      </c>
      <c r="W340" s="43" t="s">
        <v>913</v>
      </c>
      <c r="X340" s="43" t="s">
        <v>65</v>
      </c>
    </row>
    <row r="341" spans="2:24" x14ac:dyDescent="0.2">
      <c r="B341" s="43" t="s">
        <v>330</v>
      </c>
      <c r="C341" s="43">
        <v>26</v>
      </c>
      <c r="D341" s="43" t="s">
        <v>851</v>
      </c>
      <c r="E341" s="43" t="s">
        <v>107</v>
      </c>
      <c r="F341" s="43" t="s">
        <v>853</v>
      </c>
      <c r="G341" s="43" t="s">
        <v>385</v>
      </c>
      <c r="H341" s="43">
        <v>60</v>
      </c>
      <c r="I341" s="43">
        <v>-14.8461</v>
      </c>
      <c r="J341" s="28">
        <v>-1.272E-7</v>
      </c>
      <c r="K341" s="43" t="s">
        <v>913</v>
      </c>
      <c r="L341" s="43" t="s">
        <v>65</v>
      </c>
      <c r="N341" s="43" t="s">
        <v>330</v>
      </c>
      <c r="O341" s="43">
        <v>26</v>
      </c>
      <c r="P341" s="43" t="s">
        <v>851</v>
      </c>
      <c r="Q341" s="43" t="s">
        <v>380</v>
      </c>
      <c r="R341" s="43" t="s">
        <v>853</v>
      </c>
      <c r="S341" s="43" t="s">
        <v>385</v>
      </c>
      <c r="T341" s="43">
        <v>10</v>
      </c>
      <c r="U341" s="43">
        <v>-14.7737</v>
      </c>
      <c r="V341" s="28">
        <v>-1.265E-7</v>
      </c>
      <c r="W341" s="43" t="s">
        <v>913</v>
      </c>
      <c r="X341" s="43" t="s">
        <v>65</v>
      </c>
    </row>
    <row r="342" spans="2:24" x14ac:dyDescent="0.2">
      <c r="B342" s="43" t="s">
        <v>330</v>
      </c>
      <c r="C342" s="43">
        <v>29</v>
      </c>
      <c r="D342" s="43" t="s">
        <v>854</v>
      </c>
      <c r="E342" s="43" t="s">
        <v>107</v>
      </c>
      <c r="F342" s="43" t="s">
        <v>855</v>
      </c>
      <c r="G342" s="43" t="s">
        <v>383</v>
      </c>
      <c r="H342" s="43">
        <v>60</v>
      </c>
      <c r="I342" s="43">
        <v>-108.1716</v>
      </c>
      <c r="J342" s="28">
        <v>-9.9999999999999995E-7</v>
      </c>
      <c r="K342" s="43" t="s">
        <v>913</v>
      </c>
      <c r="L342" s="43" t="s">
        <v>65</v>
      </c>
      <c r="N342" s="43" t="s">
        <v>330</v>
      </c>
      <c r="O342" s="43">
        <v>29</v>
      </c>
      <c r="P342" s="43" t="s">
        <v>854</v>
      </c>
      <c r="Q342" s="43" t="s">
        <v>380</v>
      </c>
      <c r="R342" s="43" t="s">
        <v>855</v>
      </c>
      <c r="S342" s="43" t="s">
        <v>383</v>
      </c>
      <c r="T342" s="43">
        <v>10</v>
      </c>
      <c r="U342" s="43">
        <v>-108.2427</v>
      </c>
      <c r="V342" s="28">
        <v>-9.9999999999999995E-7</v>
      </c>
      <c r="W342" s="43" t="s">
        <v>913</v>
      </c>
      <c r="X342" s="43" t="s">
        <v>65</v>
      </c>
    </row>
    <row r="343" spans="2:24" x14ac:dyDescent="0.2">
      <c r="B343" s="43" t="s">
        <v>330</v>
      </c>
      <c r="C343" s="43">
        <v>29</v>
      </c>
      <c r="D343" s="43" t="s">
        <v>854</v>
      </c>
      <c r="E343" s="43" t="s">
        <v>107</v>
      </c>
      <c r="F343" s="43" t="s">
        <v>856</v>
      </c>
      <c r="G343" s="43" t="s">
        <v>385</v>
      </c>
      <c r="H343" s="43">
        <v>60</v>
      </c>
      <c r="I343" s="43">
        <v>-37.860599999999998</v>
      </c>
      <c r="J343" s="28">
        <v>-2.53E-7</v>
      </c>
      <c r="K343" s="43" t="s">
        <v>913</v>
      </c>
      <c r="L343" s="43" t="s">
        <v>65</v>
      </c>
      <c r="N343" s="43" t="s">
        <v>330</v>
      </c>
      <c r="O343" s="43">
        <v>29</v>
      </c>
      <c r="P343" s="43" t="s">
        <v>854</v>
      </c>
      <c r="Q343" s="43" t="s">
        <v>380</v>
      </c>
      <c r="R343" s="43" t="s">
        <v>856</v>
      </c>
      <c r="S343" s="43" t="s">
        <v>385</v>
      </c>
      <c r="T343" s="43">
        <v>10</v>
      </c>
      <c r="U343" s="43">
        <v>-37.789700000000003</v>
      </c>
      <c r="V343" s="28">
        <v>-2.5250000000000002E-7</v>
      </c>
      <c r="W343" s="43" t="s">
        <v>913</v>
      </c>
      <c r="X343" s="43" t="s">
        <v>65</v>
      </c>
    </row>
    <row r="344" spans="2:24" x14ac:dyDescent="0.2">
      <c r="B344" s="43" t="s">
        <v>330</v>
      </c>
      <c r="C344" s="43">
        <v>32</v>
      </c>
      <c r="D344" s="43" t="s">
        <v>857</v>
      </c>
      <c r="E344" s="43" t="s">
        <v>107</v>
      </c>
      <c r="F344" s="43" t="s">
        <v>858</v>
      </c>
      <c r="G344" s="43" t="s">
        <v>383</v>
      </c>
      <c r="H344" s="43">
        <v>60</v>
      </c>
      <c r="I344" s="43">
        <v>-92.336600000000004</v>
      </c>
      <c r="J344" s="28">
        <v>-9.9999999999999995E-7</v>
      </c>
      <c r="K344" s="43" t="s">
        <v>913</v>
      </c>
      <c r="L344" s="43" t="s">
        <v>65</v>
      </c>
      <c r="N344" s="43" t="s">
        <v>330</v>
      </c>
      <c r="O344" s="43">
        <v>32</v>
      </c>
      <c r="P344" s="43" t="s">
        <v>857</v>
      </c>
      <c r="Q344" s="43" t="s">
        <v>380</v>
      </c>
      <c r="R344" s="43" t="s">
        <v>858</v>
      </c>
      <c r="S344" s="43" t="s">
        <v>383</v>
      </c>
      <c r="T344" s="43">
        <v>10</v>
      </c>
      <c r="U344" s="43">
        <v>-92.369200000000006</v>
      </c>
      <c r="V344" s="28">
        <v>-9.9999999999999995E-7</v>
      </c>
      <c r="W344" s="43" t="s">
        <v>913</v>
      </c>
      <c r="X344" s="43" t="s">
        <v>65</v>
      </c>
    </row>
    <row r="345" spans="2:24" x14ac:dyDescent="0.2">
      <c r="B345" s="43" t="s">
        <v>330</v>
      </c>
      <c r="C345" s="43">
        <v>32</v>
      </c>
      <c r="D345" s="43" t="s">
        <v>857</v>
      </c>
      <c r="E345" s="43" t="s">
        <v>107</v>
      </c>
      <c r="F345" s="43" t="s">
        <v>859</v>
      </c>
      <c r="G345" s="43" t="s">
        <v>385</v>
      </c>
      <c r="H345" s="43">
        <v>60</v>
      </c>
      <c r="I345" s="43">
        <v>-21.891100000000002</v>
      </c>
      <c r="J345" s="28">
        <v>-1.4910000000000001E-7</v>
      </c>
      <c r="K345" s="43" t="s">
        <v>913</v>
      </c>
      <c r="L345" s="43" t="s">
        <v>65</v>
      </c>
      <c r="N345" s="43" t="s">
        <v>330</v>
      </c>
      <c r="O345" s="43">
        <v>32</v>
      </c>
      <c r="P345" s="43" t="s">
        <v>857</v>
      </c>
      <c r="Q345" s="43" t="s">
        <v>380</v>
      </c>
      <c r="R345" s="43" t="s">
        <v>859</v>
      </c>
      <c r="S345" s="43" t="s">
        <v>385</v>
      </c>
      <c r="T345" s="43">
        <v>10</v>
      </c>
      <c r="U345" s="43">
        <v>-21.8566</v>
      </c>
      <c r="V345" s="28">
        <v>-1.4889999999999999E-7</v>
      </c>
      <c r="W345" s="43" t="s">
        <v>913</v>
      </c>
      <c r="X345" s="43" t="s">
        <v>65</v>
      </c>
    </row>
    <row r="346" spans="2:24" x14ac:dyDescent="0.2">
      <c r="B346" s="43" t="s">
        <v>330</v>
      </c>
      <c r="C346" s="43">
        <v>35</v>
      </c>
      <c r="D346" s="43" t="s">
        <v>860</v>
      </c>
      <c r="E346" s="43" t="s">
        <v>107</v>
      </c>
      <c r="F346" s="43" t="s">
        <v>861</v>
      </c>
      <c r="G346" s="43" t="s">
        <v>383</v>
      </c>
      <c r="H346" s="43">
        <v>60</v>
      </c>
      <c r="I346" s="43">
        <v>-92.309399999999997</v>
      </c>
      <c r="J346" s="28">
        <v>-9.9999999999999995E-7</v>
      </c>
      <c r="K346" s="43" t="s">
        <v>913</v>
      </c>
      <c r="L346" s="43" t="s">
        <v>65</v>
      </c>
      <c r="N346" s="43" t="s">
        <v>330</v>
      </c>
      <c r="O346" s="43">
        <v>35</v>
      </c>
      <c r="P346" s="43" t="s">
        <v>860</v>
      </c>
      <c r="Q346" s="43" t="s">
        <v>380</v>
      </c>
      <c r="R346" s="43" t="s">
        <v>861</v>
      </c>
      <c r="S346" s="43" t="s">
        <v>383</v>
      </c>
      <c r="T346" s="43">
        <v>10</v>
      </c>
      <c r="U346" s="43">
        <v>-92.310400000000001</v>
      </c>
      <c r="V346" s="28">
        <v>-9.9999999999999995E-7</v>
      </c>
      <c r="W346" s="43" t="s">
        <v>913</v>
      </c>
      <c r="X346" s="43" t="s">
        <v>65</v>
      </c>
    </row>
    <row r="347" spans="2:24" x14ac:dyDescent="0.2">
      <c r="B347" s="43" t="s">
        <v>330</v>
      </c>
      <c r="C347" s="43">
        <v>35</v>
      </c>
      <c r="D347" s="43" t="s">
        <v>860</v>
      </c>
      <c r="E347" s="43" t="s">
        <v>107</v>
      </c>
      <c r="F347" s="43" t="s">
        <v>862</v>
      </c>
      <c r="G347" s="43" t="s">
        <v>385</v>
      </c>
      <c r="H347" s="43">
        <v>60</v>
      </c>
      <c r="I347" s="43">
        <v>-21.918399999999998</v>
      </c>
      <c r="J347" s="28">
        <v>-1.4929999999999999E-7</v>
      </c>
      <c r="K347" s="43" t="s">
        <v>913</v>
      </c>
      <c r="L347" s="43" t="s">
        <v>65</v>
      </c>
      <c r="N347" s="43" t="s">
        <v>330</v>
      </c>
      <c r="O347" s="43">
        <v>35</v>
      </c>
      <c r="P347" s="43" t="s">
        <v>860</v>
      </c>
      <c r="Q347" s="43" t="s">
        <v>380</v>
      </c>
      <c r="R347" s="43" t="s">
        <v>862</v>
      </c>
      <c r="S347" s="43" t="s">
        <v>385</v>
      </c>
      <c r="T347" s="43">
        <v>10</v>
      </c>
      <c r="U347" s="43">
        <v>-21.9192</v>
      </c>
      <c r="V347" s="28">
        <v>-1.4929999999999999E-7</v>
      </c>
      <c r="W347" s="43" t="s">
        <v>913</v>
      </c>
      <c r="X347" s="43" t="s">
        <v>65</v>
      </c>
    </row>
    <row r="348" spans="2:24" x14ac:dyDescent="0.2">
      <c r="B348" s="43" t="s">
        <v>330</v>
      </c>
      <c r="C348" s="43">
        <v>38</v>
      </c>
      <c r="D348" s="43" t="s">
        <v>863</v>
      </c>
      <c r="E348" s="43" t="s">
        <v>107</v>
      </c>
      <c r="F348" s="43" t="s">
        <v>864</v>
      </c>
      <c r="G348" s="43" t="s">
        <v>383</v>
      </c>
      <c r="H348" s="43">
        <v>60</v>
      </c>
      <c r="I348" s="43">
        <v>-108.0848</v>
      </c>
      <c r="J348" s="28">
        <v>-9.9999999999999995E-7</v>
      </c>
      <c r="K348" s="43" t="s">
        <v>913</v>
      </c>
      <c r="L348" s="43" t="s">
        <v>65</v>
      </c>
      <c r="N348" s="43" t="s">
        <v>330</v>
      </c>
      <c r="O348" s="43">
        <v>38</v>
      </c>
      <c r="P348" s="43" t="s">
        <v>863</v>
      </c>
      <c r="Q348" s="43" t="s">
        <v>380</v>
      </c>
      <c r="R348" s="43" t="s">
        <v>864</v>
      </c>
      <c r="S348" s="43" t="s">
        <v>383</v>
      </c>
      <c r="T348" s="43">
        <v>10</v>
      </c>
      <c r="U348" s="43">
        <v>-108.05029999999999</v>
      </c>
      <c r="V348" s="28">
        <v>-9.9999999999999995E-7</v>
      </c>
      <c r="W348" s="43" t="s">
        <v>913</v>
      </c>
      <c r="X348" s="43" t="s">
        <v>65</v>
      </c>
    </row>
    <row r="349" spans="2:24" x14ac:dyDescent="0.2">
      <c r="B349" s="43" t="s">
        <v>330</v>
      </c>
      <c r="C349" s="43">
        <v>38</v>
      </c>
      <c r="D349" s="43" t="s">
        <v>863</v>
      </c>
      <c r="E349" s="43" t="s">
        <v>107</v>
      </c>
      <c r="F349" s="43" t="s">
        <v>865</v>
      </c>
      <c r="G349" s="43" t="s">
        <v>385</v>
      </c>
      <c r="H349" s="43">
        <v>60</v>
      </c>
      <c r="I349" s="43">
        <v>-37.946100000000001</v>
      </c>
      <c r="J349" s="28">
        <v>-2.5349999999999999E-7</v>
      </c>
      <c r="K349" s="43" t="s">
        <v>913</v>
      </c>
      <c r="L349" s="43" t="s">
        <v>65</v>
      </c>
      <c r="N349" s="43" t="s">
        <v>330</v>
      </c>
      <c r="O349" s="43">
        <v>38</v>
      </c>
      <c r="P349" s="43" t="s">
        <v>863</v>
      </c>
      <c r="Q349" s="43" t="s">
        <v>380</v>
      </c>
      <c r="R349" s="43" t="s">
        <v>865</v>
      </c>
      <c r="S349" s="43" t="s">
        <v>385</v>
      </c>
      <c r="T349" s="43">
        <v>10</v>
      </c>
      <c r="U349" s="43">
        <v>-37.9801</v>
      </c>
      <c r="V349" s="28">
        <v>-2.5380000000000001E-7</v>
      </c>
      <c r="W349" s="43" t="s">
        <v>913</v>
      </c>
      <c r="X349" s="43" t="s">
        <v>65</v>
      </c>
    </row>
    <row r="350" spans="2:24" x14ac:dyDescent="0.2">
      <c r="B350" s="43" t="s">
        <v>330</v>
      </c>
      <c r="C350" s="43">
        <v>41</v>
      </c>
      <c r="D350" s="43" t="s">
        <v>866</v>
      </c>
      <c r="E350" s="43" t="s">
        <v>107</v>
      </c>
      <c r="F350" s="43" t="s">
        <v>867</v>
      </c>
      <c r="G350" s="43" t="s">
        <v>383</v>
      </c>
      <c r="H350" s="43">
        <v>60</v>
      </c>
      <c r="I350" s="43">
        <v>-71.134600000000006</v>
      </c>
      <c r="J350" s="28">
        <v>-9.9999999999999995E-7</v>
      </c>
      <c r="K350" s="43" t="s">
        <v>913</v>
      </c>
      <c r="L350" s="43" t="s">
        <v>65</v>
      </c>
      <c r="N350" s="43" t="s">
        <v>330</v>
      </c>
      <c r="O350" s="43">
        <v>41</v>
      </c>
      <c r="P350" s="43" t="s">
        <v>866</v>
      </c>
      <c r="Q350" s="43" t="s">
        <v>380</v>
      </c>
      <c r="R350" s="43" t="s">
        <v>867</v>
      </c>
      <c r="S350" s="43" t="s">
        <v>383</v>
      </c>
      <c r="T350" s="43">
        <v>10</v>
      </c>
      <c r="U350" s="43">
        <v>-71.077200000000005</v>
      </c>
      <c r="V350" s="28">
        <v>-9.9999999999999995E-7</v>
      </c>
      <c r="W350" s="43" t="s">
        <v>913</v>
      </c>
      <c r="X350" s="43" t="s">
        <v>65</v>
      </c>
    </row>
    <row r="351" spans="2:24" x14ac:dyDescent="0.2">
      <c r="B351" s="43" t="s">
        <v>330</v>
      </c>
      <c r="C351" s="43">
        <v>41</v>
      </c>
      <c r="D351" s="43" t="s">
        <v>866</v>
      </c>
      <c r="E351" s="43" t="s">
        <v>107</v>
      </c>
      <c r="F351" s="43" t="s">
        <v>868</v>
      </c>
      <c r="G351" s="43" t="s">
        <v>385</v>
      </c>
      <c r="H351" s="43">
        <v>60</v>
      </c>
      <c r="I351" s="43">
        <v>-14.954000000000001</v>
      </c>
      <c r="J351" s="28">
        <v>-1.2809999999999999E-7</v>
      </c>
      <c r="K351" s="43" t="s">
        <v>913</v>
      </c>
      <c r="L351" s="43" t="s">
        <v>65</v>
      </c>
      <c r="N351" s="43" t="s">
        <v>330</v>
      </c>
      <c r="O351" s="43">
        <v>41</v>
      </c>
      <c r="P351" s="43" t="s">
        <v>866</v>
      </c>
      <c r="Q351" s="43" t="s">
        <v>380</v>
      </c>
      <c r="R351" s="43" t="s">
        <v>868</v>
      </c>
      <c r="S351" s="43" t="s">
        <v>385</v>
      </c>
      <c r="T351" s="43">
        <v>10</v>
      </c>
      <c r="U351" s="43">
        <v>-14.9956</v>
      </c>
      <c r="V351" s="28">
        <v>-1.2840000000000001E-7</v>
      </c>
      <c r="W351" s="43" t="s">
        <v>913</v>
      </c>
      <c r="X351" s="43" t="s">
        <v>65</v>
      </c>
    </row>
    <row r="352" spans="2:24" x14ac:dyDescent="0.2">
      <c r="B352" s="43" t="s">
        <v>330</v>
      </c>
      <c r="C352" s="43">
        <v>53</v>
      </c>
      <c r="D352" s="43" t="s">
        <v>869</v>
      </c>
      <c r="E352" s="43" t="s">
        <v>107</v>
      </c>
      <c r="F352" s="43" t="s">
        <v>870</v>
      </c>
      <c r="G352" s="43" t="s">
        <v>383</v>
      </c>
      <c r="H352" s="43">
        <v>60</v>
      </c>
      <c r="I352" s="43">
        <v>-25.2316</v>
      </c>
      <c r="J352" s="28">
        <v>-1.8839999999999999E-7</v>
      </c>
      <c r="K352" s="43" t="s">
        <v>913</v>
      </c>
      <c r="L352" s="43" t="s">
        <v>65</v>
      </c>
      <c r="N352" s="43" t="s">
        <v>330</v>
      </c>
      <c r="O352" s="43">
        <v>53</v>
      </c>
      <c r="P352" s="43" t="s">
        <v>869</v>
      </c>
      <c r="Q352" s="43" t="s">
        <v>380</v>
      </c>
      <c r="R352" s="43" t="s">
        <v>870</v>
      </c>
      <c r="S352" s="43" t="s">
        <v>383</v>
      </c>
      <c r="T352" s="43">
        <v>10</v>
      </c>
      <c r="U352" s="43">
        <v>-25.380400000000002</v>
      </c>
      <c r="V352" s="28">
        <v>-1.895E-7</v>
      </c>
      <c r="W352" s="43" t="s">
        <v>913</v>
      </c>
      <c r="X352" s="43" t="s">
        <v>65</v>
      </c>
    </row>
    <row r="353" spans="2:24" x14ac:dyDescent="0.2">
      <c r="B353" s="43" t="s">
        <v>330</v>
      </c>
      <c r="C353" s="43">
        <v>53</v>
      </c>
      <c r="D353" s="43" t="s">
        <v>869</v>
      </c>
      <c r="E353" s="43" t="s">
        <v>107</v>
      </c>
      <c r="F353" s="43" t="s">
        <v>871</v>
      </c>
      <c r="G353" s="43" t="s">
        <v>385</v>
      </c>
      <c r="H353" s="43">
        <v>60</v>
      </c>
      <c r="I353" s="43">
        <v>-19.581700000000001</v>
      </c>
      <c r="J353" s="28">
        <v>-1.462E-7</v>
      </c>
      <c r="K353" s="43" t="s">
        <v>913</v>
      </c>
      <c r="L353" s="43" t="s">
        <v>65</v>
      </c>
      <c r="N353" s="43" t="s">
        <v>330</v>
      </c>
      <c r="O353" s="43">
        <v>53</v>
      </c>
      <c r="P353" s="43" t="s">
        <v>869</v>
      </c>
      <c r="Q353" s="43" t="s">
        <v>380</v>
      </c>
      <c r="R353" s="43" t="s">
        <v>871</v>
      </c>
      <c r="S353" s="43" t="s">
        <v>385</v>
      </c>
      <c r="T353" s="43">
        <v>10</v>
      </c>
      <c r="U353" s="43">
        <v>-19.441099999999999</v>
      </c>
      <c r="V353" s="28">
        <v>-1.452E-7</v>
      </c>
      <c r="W353" s="43" t="s">
        <v>913</v>
      </c>
      <c r="X353" s="43" t="s">
        <v>65</v>
      </c>
    </row>
    <row r="354" spans="2:24" x14ac:dyDescent="0.2">
      <c r="B354" s="43" t="s">
        <v>330</v>
      </c>
      <c r="C354" s="43">
        <v>54</v>
      </c>
      <c r="D354" s="43" t="s">
        <v>872</v>
      </c>
      <c r="E354" s="43" t="s">
        <v>107</v>
      </c>
      <c r="F354" s="43" t="s">
        <v>873</v>
      </c>
      <c r="G354" s="43" t="s">
        <v>383</v>
      </c>
      <c r="H354" s="43">
        <v>60</v>
      </c>
      <c r="I354" s="43">
        <v>-18.615200000000002</v>
      </c>
      <c r="J354" s="28">
        <v>-1.3899999999999999E-7</v>
      </c>
      <c r="K354" s="43" t="s">
        <v>913</v>
      </c>
      <c r="L354" s="43" t="s">
        <v>65</v>
      </c>
      <c r="N354" s="43" t="s">
        <v>330</v>
      </c>
      <c r="O354" s="43">
        <v>54</v>
      </c>
      <c r="P354" s="43" t="s">
        <v>872</v>
      </c>
      <c r="Q354" s="43" t="s">
        <v>380</v>
      </c>
      <c r="R354" s="43" t="s">
        <v>873</v>
      </c>
      <c r="S354" s="43" t="s">
        <v>383</v>
      </c>
      <c r="T354" s="43">
        <v>10</v>
      </c>
      <c r="U354" s="43">
        <v>-18.750699999999998</v>
      </c>
      <c r="V354" s="28">
        <v>-1.4000000000000001E-7</v>
      </c>
      <c r="W354" s="43" t="s">
        <v>913</v>
      </c>
      <c r="X354" s="43" t="s">
        <v>65</v>
      </c>
    </row>
    <row r="355" spans="2:24" x14ac:dyDescent="0.2">
      <c r="B355" s="43" t="s">
        <v>330</v>
      </c>
      <c r="C355" s="43">
        <v>54</v>
      </c>
      <c r="D355" s="43" t="s">
        <v>872</v>
      </c>
      <c r="E355" s="43" t="s">
        <v>107</v>
      </c>
      <c r="F355" s="43" t="s">
        <v>874</v>
      </c>
      <c r="G355" s="43" t="s">
        <v>385</v>
      </c>
      <c r="H355" s="43">
        <v>60</v>
      </c>
      <c r="I355" s="43">
        <v>-27.963000000000001</v>
      </c>
      <c r="J355" s="28">
        <v>-2.0879999999999999E-7</v>
      </c>
      <c r="K355" s="43" t="s">
        <v>913</v>
      </c>
      <c r="L355" s="43" t="s">
        <v>65</v>
      </c>
      <c r="N355" s="43" t="s">
        <v>330</v>
      </c>
      <c r="O355" s="43">
        <v>54</v>
      </c>
      <c r="P355" s="43" t="s">
        <v>872</v>
      </c>
      <c r="Q355" s="43" t="s">
        <v>380</v>
      </c>
      <c r="R355" s="43" t="s">
        <v>874</v>
      </c>
      <c r="S355" s="43" t="s">
        <v>385</v>
      </c>
      <c r="T355" s="43">
        <v>10</v>
      </c>
      <c r="U355" s="43">
        <v>-27.825399999999998</v>
      </c>
      <c r="V355" s="28">
        <v>-2.0779999999999999E-7</v>
      </c>
      <c r="W355" s="43" t="s">
        <v>913</v>
      </c>
      <c r="X355" s="43" t="s">
        <v>65</v>
      </c>
    </row>
    <row r="356" spans="2:24" x14ac:dyDescent="0.2">
      <c r="B356" s="43" t="s">
        <v>330</v>
      </c>
      <c r="C356" s="43">
        <v>55</v>
      </c>
      <c r="D356" s="43" t="s">
        <v>872</v>
      </c>
      <c r="E356" s="43" t="s">
        <v>107</v>
      </c>
      <c r="F356" s="43" t="s">
        <v>875</v>
      </c>
      <c r="G356" s="43" t="s">
        <v>383</v>
      </c>
      <c r="H356" s="43">
        <v>60</v>
      </c>
      <c r="I356" s="43">
        <v>-28.51</v>
      </c>
      <c r="J356" s="28">
        <v>-2.2499999999999999E-7</v>
      </c>
      <c r="K356" s="43" t="s">
        <v>913</v>
      </c>
      <c r="L356" s="43" t="s">
        <v>65</v>
      </c>
      <c r="N356" s="43" t="s">
        <v>330</v>
      </c>
      <c r="O356" s="43">
        <v>55</v>
      </c>
      <c r="P356" s="43" t="s">
        <v>872</v>
      </c>
      <c r="Q356" s="43" t="s">
        <v>380</v>
      </c>
      <c r="R356" s="43" t="s">
        <v>875</v>
      </c>
      <c r="S356" s="43" t="s">
        <v>383</v>
      </c>
      <c r="T356" s="43">
        <v>10</v>
      </c>
      <c r="U356" s="43">
        <v>-28.639600000000002</v>
      </c>
      <c r="V356" s="28">
        <v>-2.2609999999999999E-7</v>
      </c>
      <c r="W356" s="43" t="s">
        <v>913</v>
      </c>
      <c r="X356" s="43" t="s">
        <v>65</v>
      </c>
    </row>
    <row r="357" spans="2:24" x14ac:dyDescent="0.2">
      <c r="B357" s="43" t="s">
        <v>330</v>
      </c>
      <c r="C357" s="43">
        <v>55</v>
      </c>
      <c r="D357" s="43" t="s">
        <v>872</v>
      </c>
      <c r="E357" s="43" t="s">
        <v>107</v>
      </c>
      <c r="F357" s="43" t="s">
        <v>876</v>
      </c>
      <c r="G357" s="43" t="s">
        <v>385</v>
      </c>
      <c r="H357" s="43">
        <v>60</v>
      </c>
      <c r="I357" s="43">
        <v>-28.465299999999999</v>
      </c>
      <c r="J357" s="28">
        <v>-2.2469999999999999E-7</v>
      </c>
      <c r="K357" s="43" t="s">
        <v>913</v>
      </c>
      <c r="L357" s="43" t="s">
        <v>65</v>
      </c>
      <c r="N357" s="43" t="s">
        <v>330</v>
      </c>
      <c r="O357" s="43">
        <v>55</v>
      </c>
      <c r="P357" s="43" t="s">
        <v>872</v>
      </c>
      <c r="Q357" s="43" t="s">
        <v>380</v>
      </c>
      <c r="R357" s="43" t="s">
        <v>876</v>
      </c>
      <c r="S357" s="43" t="s">
        <v>385</v>
      </c>
      <c r="T357" s="43">
        <v>10</v>
      </c>
      <c r="U357" s="43">
        <v>-28.335899999999999</v>
      </c>
      <c r="V357" s="28">
        <v>-2.237E-7</v>
      </c>
      <c r="W357" s="43" t="s">
        <v>913</v>
      </c>
      <c r="X357" s="43" t="s">
        <v>65</v>
      </c>
    </row>
    <row r="358" spans="2:24" x14ac:dyDescent="0.2">
      <c r="B358" s="43" t="s">
        <v>330</v>
      </c>
      <c r="C358" s="43">
        <v>56</v>
      </c>
      <c r="D358" s="43" t="s">
        <v>872</v>
      </c>
      <c r="E358" s="43" t="s">
        <v>107</v>
      </c>
      <c r="F358" s="43" t="s">
        <v>877</v>
      </c>
      <c r="G358" s="43" t="s">
        <v>383</v>
      </c>
      <c r="H358" s="43">
        <v>60</v>
      </c>
      <c r="I358" s="43">
        <v>-28.009399999999999</v>
      </c>
      <c r="J358" s="28">
        <v>-2.0910000000000001E-7</v>
      </c>
      <c r="K358" s="43" t="s">
        <v>913</v>
      </c>
      <c r="L358" s="43" t="s">
        <v>65</v>
      </c>
      <c r="N358" s="43" t="s">
        <v>330</v>
      </c>
      <c r="O358" s="43">
        <v>56</v>
      </c>
      <c r="P358" s="43" t="s">
        <v>872</v>
      </c>
      <c r="Q358" s="43" t="s">
        <v>380</v>
      </c>
      <c r="R358" s="43" t="s">
        <v>877</v>
      </c>
      <c r="S358" s="43" t="s">
        <v>383</v>
      </c>
      <c r="T358" s="43">
        <v>10</v>
      </c>
      <c r="U358" s="43">
        <v>-28.147400000000001</v>
      </c>
      <c r="V358" s="28">
        <v>-2.1019999999999999E-7</v>
      </c>
      <c r="W358" s="43" t="s">
        <v>913</v>
      </c>
      <c r="X358" s="43" t="s">
        <v>65</v>
      </c>
    </row>
    <row r="359" spans="2:24" x14ac:dyDescent="0.2">
      <c r="B359" s="43" t="s">
        <v>330</v>
      </c>
      <c r="C359" s="43">
        <v>56</v>
      </c>
      <c r="D359" s="43" t="s">
        <v>872</v>
      </c>
      <c r="E359" s="43" t="s">
        <v>107</v>
      </c>
      <c r="F359" s="43" t="s">
        <v>878</v>
      </c>
      <c r="G359" s="43" t="s">
        <v>385</v>
      </c>
      <c r="H359" s="43">
        <v>60</v>
      </c>
      <c r="I359" s="43">
        <v>-18.568999999999999</v>
      </c>
      <c r="J359" s="28">
        <v>-1.3860000000000001E-7</v>
      </c>
      <c r="K359" s="43" t="s">
        <v>913</v>
      </c>
      <c r="L359" s="43" t="s">
        <v>65</v>
      </c>
      <c r="N359" s="43" t="s">
        <v>330</v>
      </c>
      <c r="O359" s="43">
        <v>56</v>
      </c>
      <c r="P359" s="43" t="s">
        <v>872</v>
      </c>
      <c r="Q359" s="43" t="s">
        <v>380</v>
      </c>
      <c r="R359" s="43" t="s">
        <v>878</v>
      </c>
      <c r="S359" s="43" t="s">
        <v>385</v>
      </c>
      <c r="T359" s="43">
        <v>10</v>
      </c>
      <c r="U359" s="43">
        <v>-18.433</v>
      </c>
      <c r="V359" s="28">
        <v>-1.3759999999999999E-7</v>
      </c>
      <c r="W359" s="43" t="s">
        <v>913</v>
      </c>
      <c r="X359" s="43" t="s">
        <v>65</v>
      </c>
    </row>
    <row r="360" spans="2:24" x14ac:dyDescent="0.2">
      <c r="B360" s="43" t="s">
        <v>330</v>
      </c>
      <c r="C360" s="43">
        <v>57</v>
      </c>
      <c r="D360" s="43" t="s">
        <v>879</v>
      </c>
      <c r="E360" s="43" t="s">
        <v>107</v>
      </c>
      <c r="F360" s="43" t="s">
        <v>880</v>
      </c>
      <c r="G360" s="43" t="s">
        <v>383</v>
      </c>
      <c r="H360" s="43">
        <v>60</v>
      </c>
      <c r="I360" s="43">
        <v>-19.630500000000001</v>
      </c>
      <c r="J360" s="28">
        <v>-1.466E-7</v>
      </c>
      <c r="K360" s="43" t="s">
        <v>913</v>
      </c>
      <c r="L360" s="43" t="s">
        <v>65</v>
      </c>
      <c r="N360" s="43" t="s">
        <v>330</v>
      </c>
      <c r="O360" s="43">
        <v>57</v>
      </c>
      <c r="P360" s="43" t="s">
        <v>879</v>
      </c>
      <c r="Q360" s="43" t="s">
        <v>380</v>
      </c>
      <c r="R360" s="43" t="s">
        <v>880</v>
      </c>
      <c r="S360" s="43" t="s">
        <v>383</v>
      </c>
      <c r="T360" s="43">
        <v>10</v>
      </c>
      <c r="U360" s="43">
        <v>-19.770399999999999</v>
      </c>
      <c r="V360" s="28">
        <v>-1.476E-7</v>
      </c>
      <c r="W360" s="43" t="s">
        <v>913</v>
      </c>
      <c r="X360" s="43" t="s">
        <v>65</v>
      </c>
    </row>
    <row r="361" spans="2:24" x14ac:dyDescent="0.2">
      <c r="B361" s="43" t="s">
        <v>330</v>
      </c>
      <c r="C361" s="43">
        <v>57</v>
      </c>
      <c r="D361" s="43" t="s">
        <v>879</v>
      </c>
      <c r="E361" s="43" t="s">
        <v>107</v>
      </c>
      <c r="F361" s="43" t="s">
        <v>881</v>
      </c>
      <c r="G361" s="43" t="s">
        <v>385</v>
      </c>
      <c r="H361" s="43">
        <v>60</v>
      </c>
      <c r="I361" s="43">
        <v>-25.180900000000001</v>
      </c>
      <c r="J361" s="28">
        <v>-1.8799999999999999E-7</v>
      </c>
      <c r="K361" s="43" t="s">
        <v>913</v>
      </c>
      <c r="L361" s="43" t="s">
        <v>65</v>
      </c>
      <c r="N361" s="43" t="s">
        <v>330</v>
      </c>
      <c r="O361" s="43">
        <v>57</v>
      </c>
      <c r="P361" s="43" t="s">
        <v>879</v>
      </c>
      <c r="Q361" s="43" t="s">
        <v>380</v>
      </c>
      <c r="R361" s="43" t="s">
        <v>881</v>
      </c>
      <c r="S361" s="43" t="s">
        <v>385</v>
      </c>
      <c r="T361" s="43">
        <v>10</v>
      </c>
      <c r="U361" s="43">
        <v>-25.032599999999999</v>
      </c>
      <c r="V361" s="28">
        <v>-1.8690000000000001E-7</v>
      </c>
      <c r="W361" s="43" t="s">
        <v>913</v>
      </c>
      <c r="X361" s="43" t="s">
        <v>65</v>
      </c>
    </row>
    <row r="362" spans="2:24" x14ac:dyDescent="0.2">
      <c r="B362" s="43" t="s">
        <v>330</v>
      </c>
      <c r="C362" s="43">
        <v>27</v>
      </c>
      <c r="D362" s="43" t="s">
        <v>882</v>
      </c>
      <c r="E362" s="43" t="s">
        <v>107</v>
      </c>
      <c r="F362" s="43" t="s">
        <v>883</v>
      </c>
      <c r="G362" s="43" t="s">
        <v>383</v>
      </c>
      <c r="H362" s="43">
        <v>60</v>
      </c>
      <c r="I362" s="43">
        <v>-71.475800000000007</v>
      </c>
      <c r="J362" s="28">
        <v>-9.9999999999999995E-7</v>
      </c>
      <c r="K362" s="43" t="s">
        <v>913</v>
      </c>
      <c r="L362" s="43" t="s">
        <v>65</v>
      </c>
      <c r="N362" s="43" t="s">
        <v>330</v>
      </c>
      <c r="O362" s="43">
        <v>27</v>
      </c>
      <c r="P362" s="43" t="s">
        <v>882</v>
      </c>
      <c r="Q362" s="43" t="s">
        <v>380</v>
      </c>
      <c r="R362" s="43" t="s">
        <v>883</v>
      </c>
      <c r="S362" s="43" t="s">
        <v>383</v>
      </c>
      <c r="T362" s="43">
        <v>10</v>
      </c>
      <c r="U362" s="43">
        <v>-71.566100000000006</v>
      </c>
      <c r="V362" s="28">
        <v>-9.9999999999999995E-7</v>
      </c>
      <c r="W362" s="43" t="s">
        <v>913</v>
      </c>
      <c r="X362" s="43" t="s">
        <v>65</v>
      </c>
    </row>
    <row r="363" spans="2:24" x14ac:dyDescent="0.2">
      <c r="B363" s="43" t="s">
        <v>330</v>
      </c>
      <c r="C363" s="43">
        <v>27</v>
      </c>
      <c r="D363" s="43" t="s">
        <v>882</v>
      </c>
      <c r="E363" s="43" t="s">
        <v>107</v>
      </c>
      <c r="F363" s="43" t="s">
        <v>884</v>
      </c>
      <c r="G363" s="43" t="s">
        <v>385</v>
      </c>
      <c r="H363" s="43">
        <v>60</v>
      </c>
      <c r="I363" s="43">
        <v>-20.099599999999999</v>
      </c>
      <c r="J363" s="28">
        <v>-1.902E-7</v>
      </c>
      <c r="K363" s="43" t="s">
        <v>913</v>
      </c>
      <c r="L363" s="43" t="s">
        <v>65</v>
      </c>
      <c r="N363" s="43" t="s">
        <v>330</v>
      </c>
      <c r="O363" s="43">
        <v>27</v>
      </c>
      <c r="P363" s="43" t="s">
        <v>882</v>
      </c>
      <c r="Q363" s="43" t="s">
        <v>380</v>
      </c>
      <c r="R363" s="43" t="s">
        <v>884</v>
      </c>
      <c r="S363" s="43" t="s">
        <v>385</v>
      </c>
      <c r="T363" s="43">
        <v>10</v>
      </c>
      <c r="U363" s="43">
        <v>-20.035699999999999</v>
      </c>
      <c r="V363" s="28">
        <v>-1.896E-7</v>
      </c>
      <c r="W363" s="43" t="s">
        <v>913</v>
      </c>
      <c r="X363" s="43" t="s">
        <v>65</v>
      </c>
    </row>
    <row r="364" spans="2:24" x14ac:dyDescent="0.2">
      <c r="B364" s="43" t="s">
        <v>330</v>
      </c>
      <c r="C364" s="43">
        <v>30</v>
      </c>
      <c r="D364" s="43" t="s">
        <v>885</v>
      </c>
      <c r="E364" s="43" t="s">
        <v>107</v>
      </c>
      <c r="F364" s="43" t="s">
        <v>886</v>
      </c>
      <c r="G364" s="43" t="s">
        <v>383</v>
      </c>
      <c r="H364" s="43">
        <v>60</v>
      </c>
      <c r="I364" s="43">
        <v>-108.35890000000001</v>
      </c>
      <c r="J364" s="28">
        <v>-9.9999999999999995E-7</v>
      </c>
      <c r="K364" s="43" t="s">
        <v>913</v>
      </c>
      <c r="L364" s="43" t="s">
        <v>65</v>
      </c>
      <c r="N364" s="43" t="s">
        <v>330</v>
      </c>
      <c r="O364" s="43">
        <v>30</v>
      </c>
      <c r="P364" s="43" t="s">
        <v>885</v>
      </c>
      <c r="Q364" s="43" t="s">
        <v>380</v>
      </c>
      <c r="R364" s="43" t="s">
        <v>886</v>
      </c>
      <c r="S364" s="43" t="s">
        <v>383</v>
      </c>
      <c r="T364" s="43">
        <v>10</v>
      </c>
      <c r="U364" s="43">
        <v>-108.4311</v>
      </c>
      <c r="V364" s="28">
        <v>-9.9999999999999995E-7</v>
      </c>
      <c r="W364" s="43" t="s">
        <v>913</v>
      </c>
      <c r="X364" s="43" t="s">
        <v>65</v>
      </c>
    </row>
    <row r="365" spans="2:24" x14ac:dyDescent="0.2">
      <c r="B365" s="43" t="s">
        <v>330</v>
      </c>
      <c r="C365" s="43">
        <v>30</v>
      </c>
      <c r="D365" s="43" t="s">
        <v>885</v>
      </c>
      <c r="E365" s="43" t="s">
        <v>107</v>
      </c>
      <c r="F365" s="43" t="s">
        <v>887</v>
      </c>
      <c r="G365" s="43" t="s">
        <v>385</v>
      </c>
      <c r="H365" s="43">
        <v>60</v>
      </c>
      <c r="I365" s="43">
        <v>-21.2224</v>
      </c>
      <c r="J365" s="28">
        <v>-1.431E-7</v>
      </c>
      <c r="K365" s="43" t="s">
        <v>913</v>
      </c>
      <c r="L365" s="43" t="s">
        <v>65</v>
      </c>
      <c r="N365" s="43" t="s">
        <v>330</v>
      </c>
      <c r="O365" s="43">
        <v>30</v>
      </c>
      <c r="P365" s="43" t="s">
        <v>885</v>
      </c>
      <c r="Q365" s="43" t="s">
        <v>380</v>
      </c>
      <c r="R365" s="43" t="s">
        <v>887</v>
      </c>
      <c r="S365" s="43" t="s">
        <v>385</v>
      </c>
      <c r="T365" s="43">
        <v>10</v>
      </c>
      <c r="U365" s="43">
        <v>-21.150700000000001</v>
      </c>
      <c r="V365" s="28">
        <v>-1.4259999999999999E-7</v>
      </c>
      <c r="W365" s="43" t="s">
        <v>913</v>
      </c>
      <c r="X365" s="43" t="s">
        <v>65</v>
      </c>
    </row>
    <row r="366" spans="2:24" x14ac:dyDescent="0.2">
      <c r="B366" s="43" t="s">
        <v>330</v>
      </c>
      <c r="C366" s="43">
        <v>33</v>
      </c>
      <c r="D366" s="43" t="s">
        <v>888</v>
      </c>
      <c r="E366" s="43" t="s">
        <v>107</v>
      </c>
      <c r="F366" s="43" t="s">
        <v>889</v>
      </c>
      <c r="G366" s="43" t="s">
        <v>383</v>
      </c>
      <c r="H366" s="43">
        <v>60</v>
      </c>
      <c r="I366" s="43">
        <v>-93.169600000000003</v>
      </c>
      <c r="J366" s="28">
        <v>-9.9999999999999995E-7</v>
      </c>
      <c r="K366" s="43" t="s">
        <v>913</v>
      </c>
      <c r="L366" s="43" t="s">
        <v>65</v>
      </c>
      <c r="N366" s="43" t="s">
        <v>330</v>
      </c>
      <c r="O366" s="43">
        <v>33</v>
      </c>
      <c r="P366" s="43" t="s">
        <v>888</v>
      </c>
      <c r="Q366" s="43" t="s">
        <v>380</v>
      </c>
      <c r="R366" s="43" t="s">
        <v>889</v>
      </c>
      <c r="S366" s="43" t="s">
        <v>383</v>
      </c>
      <c r="T366" s="43">
        <v>10</v>
      </c>
      <c r="U366" s="43">
        <v>-93.204300000000003</v>
      </c>
      <c r="V366" s="28">
        <v>-9.9999999999999995E-7</v>
      </c>
      <c r="W366" s="43" t="s">
        <v>913</v>
      </c>
      <c r="X366" s="43" t="s">
        <v>65</v>
      </c>
    </row>
    <row r="367" spans="2:24" x14ac:dyDescent="0.2">
      <c r="B367" s="43" t="s">
        <v>330</v>
      </c>
      <c r="C367" s="43">
        <v>33</v>
      </c>
      <c r="D367" s="43" t="s">
        <v>888</v>
      </c>
      <c r="E367" s="43" t="s">
        <v>107</v>
      </c>
      <c r="F367" s="43" t="s">
        <v>890</v>
      </c>
      <c r="G367" s="43" t="s">
        <v>385</v>
      </c>
      <c r="H367" s="43">
        <v>60</v>
      </c>
      <c r="I367" s="43">
        <v>-28.160399999999999</v>
      </c>
      <c r="J367" s="28">
        <v>-1.99E-7</v>
      </c>
      <c r="K367" s="43" t="s">
        <v>913</v>
      </c>
      <c r="L367" s="43" t="s">
        <v>65</v>
      </c>
      <c r="N367" s="43" t="s">
        <v>330</v>
      </c>
      <c r="O367" s="43">
        <v>33</v>
      </c>
      <c r="P367" s="43" t="s">
        <v>888</v>
      </c>
      <c r="Q367" s="43" t="s">
        <v>380</v>
      </c>
      <c r="R367" s="43" t="s">
        <v>890</v>
      </c>
      <c r="S367" s="43" t="s">
        <v>385</v>
      </c>
      <c r="T367" s="43">
        <v>10</v>
      </c>
      <c r="U367" s="43">
        <v>-28.123899999999999</v>
      </c>
      <c r="V367" s="28">
        <v>-1.9880000000000001E-7</v>
      </c>
      <c r="W367" s="43" t="s">
        <v>913</v>
      </c>
      <c r="X367" s="43" t="s">
        <v>65</v>
      </c>
    </row>
    <row r="368" spans="2:24" x14ac:dyDescent="0.2">
      <c r="B368" s="43" t="s">
        <v>330</v>
      </c>
      <c r="C368" s="43">
        <v>36</v>
      </c>
      <c r="D368" s="43" t="s">
        <v>891</v>
      </c>
      <c r="E368" s="43" t="s">
        <v>107</v>
      </c>
      <c r="F368" s="43" t="s">
        <v>892</v>
      </c>
      <c r="G368" s="43" t="s">
        <v>383</v>
      </c>
      <c r="H368" s="43">
        <v>60</v>
      </c>
      <c r="I368" s="43">
        <v>-93.141900000000007</v>
      </c>
      <c r="J368" s="28">
        <v>-9.9999999999999995E-7</v>
      </c>
      <c r="K368" s="43" t="s">
        <v>913</v>
      </c>
      <c r="L368" s="43" t="s">
        <v>65</v>
      </c>
      <c r="N368" s="43" t="s">
        <v>330</v>
      </c>
      <c r="O368" s="43">
        <v>36</v>
      </c>
      <c r="P368" s="43" t="s">
        <v>891</v>
      </c>
      <c r="Q368" s="43" t="s">
        <v>380</v>
      </c>
      <c r="R368" s="43" t="s">
        <v>892</v>
      </c>
      <c r="S368" s="43" t="s">
        <v>383</v>
      </c>
      <c r="T368" s="43">
        <v>10</v>
      </c>
      <c r="U368" s="43">
        <v>-93.142700000000005</v>
      </c>
      <c r="V368" s="28">
        <v>-9.9999999999999995E-7</v>
      </c>
      <c r="W368" s="43" t="s">
        <v>913</v>
      </c>
      <c r="X368" s="43" t="s">
        <v>65</v>
      </c>
    </row>
    <row r="369" spans="2:24" x14ac:dyDescent="0.2">
      <c r="B369" s="43" t="s">
        <v>330</v>
      </c>
      <c r="C369" s="43">
        <v>36</v>
      </c>
      <c r="D369" s="43" t="s">
        <v>891</v>
      </c>
      <c r="E369" s="43" t="s">
        <v>107</v>
      </c>
      <c r="F369" s="43" t="s">
        <v>893</v>
      </c>
      <c r="G369" s="43" t="s">
        <v>385</v>
      </c>
      <c r="H369" s="43">
        <v>60</v>
      </c>
      <c r="I369" s="43">
        <v>-28.189</v>
      </c>
      <c r="J369" s="28">
        <v>-1.9920000000000001E-7</v>
      </c>
      <c r="K369" s="43" t="s">
        <v>913</v>
      </c>
      <c r="L369" s="43" t="s">
        <v>65</v>
      </c>
      <c r="N369" s="43" t="s">
        <v>330</v>
      </c>
      <c r="O369" s="43">
        <v>36</v>
      </c>
      <c r="P369" s="43" t="s">
        <v>891</v>
      </c>
      <c r="Q369" s="43" t="s">
        <v>380</v>
      </c>
      <c r="R369" s="43" t="s">
        <v>893</v>
      </c>
      <c r="S369" s="43" t="s">
        <v>385</v>
      </c>
      <c r="T369" s="43">
        <v>10</v>
      </c>
      <c r="U369" s="43">
        <v>-28.187100000000001</v>
      </c>
      <c r="V369" s="28">
        <v>-1.9920000000000001E-7</v>
      </c>
      <c r="W369" s="43" t="s">
        <v>913</v>
      </c>
      <c r="X369" s="43" t="s">
        <v>65</v>
      </c>
    </row>
    <row r="370" spans="2:24" x14ac:dyDescent="0.2">
      <c r="B370" s="43" t="s">
        <v>330</v>
      </c>
      <c r="C370" s="43">
        <v>39</v>
      </c>
      <c r="D370" s="43" t="s">
        <v>894</v>
      </c>
      <c r="E370" s="43" t="s">
        <v>107</v>
      </c>
      <c r="F370" s="43" t="s">
        <v>895</v>
      </c>
      <c r="G370" s="43" t="s">
        <v>383</v>
      </c>
      <c r="H370" s="43">
        <v>60</v>
      </c>
      <c r="I370" s="43">
        <v>-108.2749</v>
      </c>
      <c r="J370" s="28">
        <v>-9.9999999999999995E-7</v>
      </c>
      <c r="K370" s="43" t="s">
        <v>913</v>
      </c>
      <c r="L370" s="43" t="s">
        <v>65</v>
      </c>
      <c r="N370" s="43" t="s">
        <v>330</v>
      </c>
      <c r="O370" s="43">
        <v>39</v>
      </c>
      <c r="P370" s="43" t="s">
        <v>894</v>
      </c>
      <c r="Q370" s="43" t="s">
        <v>380</v>
      </c>
      <c r="R370" s="43" t="s">
        <v>895</v>
      </c>
      <c r="S370" s="43" t="s">
        <v>383</v>
      </c>
      <c r="T370" s="43">
        <v>10</v>
      </c>
      <c r="U370" s="43">
        <v>-108.2409</v>
      </c>
      <c r="V370" s="28">
        <v>-9.9999999999999995E-7</v>
      </c>
      <c r="W370" s="43" t="s">
        <v>913</v>
      </c>
      <c r="X370" s="43" t="s">
        <v>65</v>
      </c>
    </row>
    <row r="371" spans="2:24" x14ac:dyDescent="0.2">
      <c r="B371" s="43" t="s">
        <v>330</v>
      </c>
      <c r="C371" s="43">
        <v>39</v>
      </c>
      <c r="D371" s="43" t="s">
        <v>894</v>
      </c>
      <c r="E371" s="43" t="s">
        <v>107</v>
      </c>
      <c r="F371" s="43" t="s">
        <v>896</v>
      </c>
      <c r="G371" s="43" t="s">
        <v>385</v>
      </c>
      <c r="H371" s="43">
        <v>60</v>
      </c>
      <c r="I371" s="43">
        <v>-21.305199999999999</v>
      </c>
      <c r="J371" s="28">
        <v>-1.437E-7</v>
      </c>
      <c r="K371" s="43" t="s">
        <v>913</v>
      </c>
      <c r="L371" s="43" t="s">
        <v>65</v>
      </c>
      <c r="N371" s="43" t="s">
        <v>330</v>
      </c>
      <c r="O371" s="43">
        <v>39</v>
      </c>
      <c r="P371" s="43" t="s">
        <v>894</v>
      </c>
      <c r="Q371" s="43" t="s">
        <v>380</v>
      </c>
      <c r="R371" s="43" t="s">
        <v>896</v>
      </c>
      <c r="S371" s="43" t="s">
        <v>385</v>
      </c>
      <c r="T371" s="43">
        <v>10</v>
      </c>
      <c r="U371" s="43">
        <v>-21.335999999999999</v>
      </c>
      <c r="V371" s="28">
        <v>-1.4390000000000001E-7</v>
      </c>
      <c r="W371" s="43" t="s">
        <v>913</v>
      </c>
      <c r="X371" s="43" t="s">
        <v>65</v>
      </c>
    </row>
    <row r="372" spans="2:24" x14ac:dyDescent="0.2">
      <c r="B372" s="43" t="s">
        <v>330</v>
      </c>
      <c r="C372" s="43">
        <v>42</v>
      </c>
      <c r="D372" s="43" t="s">
        <v>897</v>
      </c>
      <c r="E372" s="43" t="s">
        <v>107</v>
      </c>
      <c r="F372" s="43" t="s">
        <v>898</v>
      </c>
      <c r="G372" s="43" t="s">
        <v>383</v>
      </c>
      <c r="H372" s="43">
        <v>60</v>
      </c>
      <c r="I372" s="43">
        <v>-71.367800000000003</v>
      </c>
      <c r="J372" s="28">
        <v>-9.9999999999999995E-7</v>
      </c>
      <c r="K372" s="43" t="s">
        <v>913</v>
      </c>
      <c r="L372" s="43" t="s">
        <v>65</v>
      </c>
      <c r="N372" s="43" t="s">
        <v>330</v>
      </c>
      <c r="O372" s="43">
        <v>42</v>
      </c>
      <c r="P372" s="43" t="s">
        <v>897</v>
      </c>
      <c r="Q372" s="43" t="s">
        <v>380</v>
      </c>
      <c r="R372" s="43" t="s">
        <v>898</v>
      </c>
      <c r="S372" s="43" t="s">
        <v>383</v>
      </c>
      <c r="T372" s="43">
        <v>10</v>
      </c>
      <c r="U372" s="43">
        <v>-71.304299999999998</v>
      </c>
      <c r="V372" s="28">
        <v>-9.9999999999999995E-7</v>
      </c>
      <c r="W372" s="43" t="s">
        <v>913</v>
      </c>
      <c r="X372" s="43" t="s">
        <v>65</v>
      </c>
    </row>
    <row r="373" spans="2:24" x14ac:dyDescent="0.2">
      <c r="B373" s="43" t="s">
        <v>330</v>
      </c>
      <c r="C373" s="43">
        <v>42</v>
      </c>
      <c r="D373" s="43" t="s">
        <v>897</v>
      </c>
      <c r="E373" s="43" t="s">
        <v>107</v>
      </c>
      <c r="F373" s="43" t="s">
        <v>899</v>
      </c>
      <c r="G373" s="43" t="s">
        <v>385</v>
      </c>
      <c r="H373" s="43">
        <v>60</v>
      </c>
      <c r="I373" s="43">
        <v>-20.194600000000001</v>
      </c>
      <c r="J373" s="28">
        <v>-1.9110000000000001E-7</v>
      </c>
      <c r="K373" s="43" t="s">
        <v>913</v>
      </c>
      <c r="L373" s="43" t="s">
        <v>65</v>
      </c>
      <c r="N373" s="43" t="s">
        <v>330</v>
      </c>
      <c r="O373" s="43">
        <v>42</v>
      </c>
      <c r="P373" s="43" t="s">
        <v>897</v>
      </c>
      <c r="Q373" s="43" t="s">
        <v>380</v>
      </c>
      <c r="R373" s="43" t="s">
        <v>899</v>
      </c>
      <c r="S373" s="43" t="s">
        <v>385</v>
      </c>
      <c r="T373" s="43">
        <v>10</v>
      </c>
      <c r="U373" s="43">
        <v>-20.229500000000002</v>
      </c>
      <c r="V373" s="28">
        <v>-1.9140000000000001E-7</v>
      </c>
      <c r="W373" s="43" t="s">
        <v>913</v>
      </c>
      <c r="X373" s="43" t="s">
        <v>65</v>
      </c>
    </row>
    <row r="374" spans="2:24" x14ac:dyDescent="0.2">
      <c r="B374" s="43" t="s">
        <v>330</v>
      </c>
      <c r="C374" s="43">
        <v>58</v>
      </c>
      <c r="D374" s="43" t="s">
        <v>900</v>
      </c>
      <c r="E374" s="43" t="s">
        <v>107</v>
      </c>
      <c r="F374" s="43" t="s">
        <v>901</v>
      </c>
      <c r="G374" s="43" t="s">
        <v>383</v>
      </c>
      <c r="H374" s="43">
        <v>60</v>
      </c>
      <c r="I374" s="43">
        <v>-17.518599999999999</v>
      </c>
      <c r="J374" s="28">
        <v>-1.7959999999999999E-7</v>
      </c>
      <c r="K374" s="43" t="s">
        <v>913</v>
      </c>
      <c r="L374" s="43" t="s">
        <v>65</v>
      </c>
      <c r="N374" s="43" t="s">
        <v>330</v>
      </c>
      <c r="O374" s="43">
        <v>58</v>
      </c>
      <c r="P374" s="43" t="s">
        <v>900</v>
      </c>
      <c r="Q374" s="43" t="s">
        <v>380</v>
      </c>
      <c r="R374" s="43" t="s">
        <v>901</v>
      </c>
      <c r="S374" s="43" t="s">
        <v>383</v>
      </c>
      <c r="T374" s="43">
        <v>10</v>
      </c>
      <c r="U374" s="43">
        <v>-17.656700000000001</v>
      </c>
      <c r="V374" s="28">
        <v>-1.8099999999999999E-7</v>
      </c>
      <c r="W374" s="43" t="s">
        <v>913</v>
      </c>
      <c r="X374" s="43" t="s">
        <v>65</v>
      </c>
    </row>
    <row r="375" spans="2:24" x14ac:dyDescent="0.2">
      <c r="B375" s="43" t="s">
        <v>330</v>
      </c>
      <c r="C375" s="43">
        <v>58</v>
      </c>
      <c r="D375" s="43" t="s">
        <v>900</v>
      </c>
      <c r="E375" s="43" t="s">
        <v>107</v>
      </c>
      <c r="F375" s="43" t="s">
        <v>902</v>
      </c>
      <c r="G375" s="43" t="s">
        <v>385</v>
      </c>
      <c r="H375" s="43">
        <v>60</v>
      </c>
      <c r="I375" s="43">
        <v>-23.1938</v>
      </c>
      <c r="J375" s="28">
        <v>-2.378E-7</v>
      </c>
      <c r="K375" s="43" t="s">
        <v>913</v>
      </c>
      <c r="L375" s="43" t="s">
        <v>65</v>
      </c>
      <c r="N375" s="43" t="s">
        <v>330</v>
      </c>
      <c r="O375" s="43">
        <v>58</v>
      </c>
      <c r="P375" s="43" t="s">
        <v>900</v>
      </c>
      <c r="Q375" s="43" t="s">
        <v>380</v>
      </c>
      <c r="R375" s="43" t="s">
        <v>902</v>
      </c>
      <c r="S375" s="43" t="s">
        <v>385</v>
      </c>
      <c r="T375" s="43">
        <v>10</v>
      </c>
      <c r="U375" s="43">
        <v>-23.053899999999999</v>
      </c>
      <c r="V375" s="28">
        <v>-2.3629999999999999E-7</v>
      </c>
      <c r="W375" s="43" t="s">
        <v>913</v>
      </c>
      <c r="X375" s="43" t="s">
        <v>65</v>
      </c>
    </row>
    <row r="376" spans="2:24" x14ac:dyDescent="0.2">
      <c r="B376" s="43" t="s">
        <v>330</v>
      </c>
      <c r="C376" s="43">
        <v>59</v>
      </c>
      <c r="D376" s="43" t="s">
        <v>903</v>
      </c>
      <c r="E376" s="43" t="s">
        <v>107</v>
      </c>
      <c r="F376" s="43" t="s">
        <v>904</v>
      </c>
      <c r="G376" s="43" t="s">
        <v>383</v>
      </c>
      <c r="H376" s="43">
        <v>60</v>
      </c>
      <c r="I376" s="43">
        <v>-21.962399999999999</v>
      </c>
      <c r="J376" s="28">
        <v>-1.952E-7</v>
      </c>
      <c r="K376" s="43" t="s">
        <v>913</v>
      </c>
      <c r="L376" s="43" t="s">
        <v>65</v>
      </c>
      <c r="N376" s="43" t="s">
        <v>330</v>
      </c>
      <c r="O376" s="43">
        <v>59</v>
      </c>
      <c r="P376" s="43" t="s">
        <v>903</v>
      </c>
      <c r="Q376" s="43" t="s">
        <v>380</v>
      </c>
      <c r="R376" s="43" t="s">
        <v>904</v>
      </c>
      <c r="S376" s="43" t="s">
        <v>383</v>
      </c>
      <c r="T376" s="43">
        <v>10</v>
      </c>
      <c r="U376" s="43">
        <v>-22.120799999999999</v>
      </c>
      <c r="V376" s="28">
        <v>-1.966E-7</v>
      </c>
      <c r="W376" s="43" t="s">
        <v>913</v>
      </c>
      <c r="X376" s="43" t="s">
        <v>65</v>
      </c>
    </row>
    <row r="377" spans="2:24" x14ac:dyDescent="0.2">
      <c r="B377" s="43" t="s">
        <v>330</v>
      </c>
      <c r="C377" s="43">
        <v>59</v>
      </c>
      <c r="D377" s="43" t="s">
        <v>903</v>
      </c>
      <c r="E377" s="43" t="s">
        <v>107</v>
      </c>
      <c r="F377" s="43" t="s">
        <v>905</v>
      </c>
      <c r="G377" s="43" t="s">
        <v>385</v>
      </c>
      <c r="H377" s="43">
        <v>60</v>
      </c>
      <c r="I377" s="43">
        <v>-14.2508</v>
      </c>
      <c r="J377" s="28">
        <v>-1.2669999999999999E-7</v>
      </c>
      <c r="K377" s="43" t="s">
        <v>913</v>
      </c>
      <c r="L377" s="43" t="s">
        <v>65</v>
      </c>
      <c r="N377" s="43" t="s">
        <v>330</v>
      </c>
      <c r="O377" s="43">
        <v>59</v>
      </c>
      <c r="P377" s="43" t="s">
        <v>903</v>
      </c>
      <c r="Q377" s="43" t="s">
        <v>380</v>
      </c>
      <c r="R377" s="43" t="s">
        <v>905</v>
      </c>
      <c r="S377" s="43" t="s">
        <v>385</v>
      </c>
      <c r="T377" s="43">
        <v>10</v>
      </c>
      <c r="U377" s="43">
        <v>-14.0952</v>
      </c>
      <c r="V377" s="28">
        <v>-1.2529999999999999E-7</v>
      </c>
      <c r="W377" s="43" t="s">
        <v>913</v>
      </c>
      <c r="X377" s="43" t="s">
        <v>65</v>
      </c>
    </row>
    <row r="378" spans="2:24" x14ac:dyDescent="0.2">
      <c r="B378" s="43" t="s">
        <v>330</v>
      </c>
      <c r="C378" s="43">
        <v>60</v>
      </c>
      <c r="D378" s="43" t="s">
        <v>903</v>
      </c>
      <c r="E378" s="43" t="s">
        <v>107</v>
      </c>
      <c r="F378" s="43" t="s">
        <v>906</v>
      </c>
      <c r="G378" s="43" t="s">
        <v>383</v>
      </c>
      <c r="H378" s="43">
        <v>60</v>
      </c>
      <c r="I378" s="43">
        <v>-14.4747</v>
      </c>
      <c r="J378" s="28">
        <v>-1.2130000000000001E-7</v>
      </c>
      <c r="K378" s="43" t="s">
        <v>913</v>
      </c>
      <c r="L378" s="43" t="s">
        <v>65</v>
      </c>
      <c r="N378" s="43" t="s">
        <v>330</v>
      </c>
      <c r="O378" s="43">
        <v>60</v>
      </c>
      <c r="P378" s="43" t="s">
        <v>903</v>
      </c>
      <c r="Q378" s="43" t="s">
        <v>380</v>
      </c>
      <c r="R378" s="43" t="s">
        <v>906</v>
      </c>
      <c r="S378" s="43" t="s">
        <v>383</v>
      </c>
      <c r="T378" s="43">
        <v>10</v>
      </c>
      <c r="U378" s="43">
        <v>-14.6364</v>
      </c>
      <c r="V378" s="28">
        <v>-1.2270000000000001E-7</v>
      </c>
      <c r="W378" s="43" t="s">
        <v>913</v>
      </c>
      <c r="X378" s="43" t="s">
        <v>65</v>
      </c>
    </row>
    <row r="379" spans="2:24" x14ac:dyDescent="0.2">
      <c r="B379" s="43" t="s">
        <v>330</v>
      </c>
      <c r="C379" s="43">
        <v>60</v>
      </c>
      <c r="D379" s="43" t="s">
        <v>903</v>
      </c>
      <c r="E379" s="43" t="s">
        <v>107</v>
      </c>
      <c r="F379" s="43" t="s">
        <v>907</v>
      </c>
      <c r="G379" s="43" t="s">
        <v>385</v>
      </c>
      <c r="H379" s="43">
        <v>60</v>
      </c>
      <c r="I379" s="43">
        <v>-14.369899999999999</v>
      </c>
      <c r="J379" s="28">
        <v>-1.2039999999999999E-7</v>
      </c>
      <c r="K379" s="43" t="s">
        <v>913</v>
      </c>
      <c r="L379" s="43" t="s">
        <v>65</v>
      </c>
      <c r="N379" s="43" t="s">
        <v>330</v>
      </c>
      <c r="O379" s="43">
        <v>60</v>
      </c>
      <c r="P379" s="43" t="s">
        <v>903</v>
      </c>
      <c r="Q379" s="43" t="s">
        <v>380</v>
      </c>
      <c r="R379" s="43" t="s">
        <v>907</v>
      </c>
      <c r="S379" s="43" t="s">
        <v>385</v>
      </c>
      <c r="T379" s="43">
        <v>10</v>
      </c>
      <c r="U379" s="43">
        <v>-14.207800000000001</v>
      </c>
      <c r="V379" s="28">
        <v>-1.191E-7</v>
      </c>
      <c r="W379" s="43" t="s">
        <v>913</v>
      </c>
      <c r="X379" s="43" t="s">
        <v>65</v>
      </c>
    </row>
    <row r="380" spans="2:24" x14ac:dyDescent="0.2">
      <c r="B380" s="43" t="s">
        <v>330</v>
      </c>
      <c r="C380" s="43">
        <v>61</v>
      </c>
      <c r="D380" s="43" t="s">
        <v>903</v>
      </c>
      <c r="E380" s="43" t="s">
        <v>107</v>
      </c>
      <c r="F380" s="43" t="s">
        <v>908</v>
      </c>
      <c r="G380" s="43" t="s">
        <v>383</v>
      </c>
      <c r="H380" s="43">
        <v>60</v>
      </c>
      <c r="I380" s="43">
        <v>-14.3523</v>
      </c>
      <c r="J380" s="28">
        <v>-1.276E-7</v>
      </c>
      <c r="K380" s="43" t="s">
        <v>913</v>
      </c>
      <c r="L380" s="43" t="s">
        <v>65</v>
      </c>
      <c r="N380" s="43" t="s">
        <v>330</v>
      </c>
      <c r="O380" s="43">
        <v>61</v>
      </c>
      <c r="P380" s="43" t="s">
        <v>903</v>
      </c>
      <c r="Q380" s="43" t="s">
        <v>380</v>
      </c>
      <c r="R380" s="43" t="s">
        <v>908</v>
      </c>
      <c r="S380" s="43" t="s">
        <v>383</v>
      </c>
      <c r="T380" s="43">
        <v>10</v>
      </c>
      <c r="U380" s="43">
        <v>-14.508599999999999</v>
      </c>
      <c r="V380" s="28">
        <v>-1.29E-7</v>
      </c>
      <c r="W380" s="43" t="s">
        <v>913</v>
      </c>
      <c r="X380" s="43" t="s">
        <v>65</v>
      </c>
    </row>
    <row r="381" spans="2:24" x14ac:dyDescent="0.2">
      <c r="B381" s="43" t="s">
        <v>330</v>
      </c>
      <c r="C381" s="43">
        <v>61</v>
      </c>
      <c r="D381" s="43" t="s">
        <v>903</v>
      </c>
      <c r="E381" s="43" t="s">
        <v>107</v>
      </c>
      <c r="F381" s="43" t="s">
        <v>909</v>
      </c>
      <c r="G381" s="43" t="s">
        <v>385</v>
      </c>
      <c r="H381" s="43">
        <v>60</v>
      </c>
      <c r="I381" s="43">
        <v>-21.861000000000001</v>
      </c>
      <c r="J381" s="28">
        <v>-1.9430000000000001E-7</v>
      </c>
      <c r="K381" s="43" t="s">
        <v>913</v>
      </c>
      <c r="L381" s="43" t="s">
        <v>65</v>
      </c>
      <c r="N381" s="43" t="s">
        <v>330</v>
      </c>
      <c r="O381" s="43">
        <v>61</v>
      </c>
      <c r="P381" s="43" t="s">
        <v>903</v>
      </c>
      <c r="Q381" s="43" t="s">
        <v>380</v>
      </c>
      <c r="R381" s="43" t="s">
        <v>909</v>
      </c>
      <c r="S381" s="43" t="s">
        <v>385</v>
      </c>
      <c r="T381" s="43">
        <v>10</v>
      </c>
      <c r="U381" s="43">
        <v>-21.6996</v>
      </c>
      <c r="V381" s="28">
        <v>-1.9289999999999999E-7</v>
      </c>
      <c r="W381" s="43" t="s">
        <v>913</v>
      </c>
      <c r="X381" s="43" t="s">
        <v>65</v>
      </c>
    </row>
    <row r="382" spans="2:24" x14ac:dyDescent="0.2">
      <c r="B382" s="43" t="s">
        <v>330</v>
      </c>
      <c r="C382" s="43">
        <v>62</v>
      </c>
      <c r="D382" s="43" t="s">
        <v>910</v>
      </c>
      <c r="E382" s="43" t="s">
        <v>107</v>
      </c>
      <c r="F382" s="43" t="s">
        <v>911</v>
      </c>
      <c r="G382" s="43" t="s">
        <v>383</v>
      </c>
      <c r="H382" s="43">
        <v>60</v>
      </c>
      <c r="I382" s="43">
        <v>-23.282599999999999</v>
      </c>
      <c r="J382" s="28">
        <v>-2.3869999999999999E-7</v>
      </c>
      <c r="K382" s="43" t="s">
        <v>913</v>
      </c>
      <c r="L382" s="43" t="s">
        <v>65</v>
      </c>
      <c r="N382" s="43" t="s">
        <v>330</v>
      </c>
      <c r="O382" s="43">
        <v>62</v>
      </c>
      <c r="P382" s="43" t="s">
        <v>910</v>
      </c>
      <c r="Q382" s="43" t="s">
        <v>380</v>
      </c>
      <c r="R382" s="43" t="s">
        <v>911</v>
      </c>
      <c r="S382" s="43" t="s">
        <v>383</v>
      </c>
      <c r="T382" s="43">
        <v>10</v>
      </c>
      <c r="U382" s="43">
        <v>-23.423200000000001</v>
      </c>
      <c r="V382" s="28">
        <v>-2.4009999999999999E-7</v>
      </c>
      <c r="W382" s="43" t="s">
        <v>913</v>
      </c>
      <c r="X382" s="43" t="s">
        <v>65</v>
      </c>
    </row>
    <row r="383" spans="2:24" x14ac:dyDescent="0.2">
      <c r="B383" s="43" t="s">
        <v>330</v>
      </c>
      <c r="C383" s="43">
        <v>62</v>
      </c>
      <c r="D383" s="43" t="s">
        <v>910</v>
      </c>
      <c r="E383" s="43" t="s">
        <v>107</v>
      </c>
      <c r="F383" s="43" t="s">
        <v>912</v>
      </c>
      <c r="G383" s="43" t="s">
        <v>385</v>
      </c>
      <c r="H383" s="43">
        <v>60</v>
      </c>
      <c r="I383" s="43">
        <v>-17.433</v>
      </c>
      <c r="J383" s="28">
        <v>-1.7870000000000001E-7</v>
      </c>
      <c r="K383" s="43" t="s">
        <v>913</v>
      </c>
      <c r="L383" s="43" t="s">
        <v>65</v>
      </c>
      <c r="N383" s="43" t="s">
        <v>330</v>
      </c>
      <c r="O383" s="43">
        <v>62</v>
      </c>
      <c r="P383" s="43" t="s">
        <v>910</v>
      </c>
      <c r="Q383" s="43" t="s">
        <v>380</v>
      </c>
      <c r="R383" s="43" t="s">
        <v>912</v>
      </c>
      <c r="S383" s="43" t="s">
        <v>385</v>
      </c>
      <c r="T383" s="43">
        <v>10</v>
      </c>
      <c r="U383" s="43">
        <v>-17.293800000000001</v>
      </c>
      <c r="V383" s="28">
        <v>-1.7730000000000001E-7</v>
      </c>
      <c r="W383" s="43" t="s">
        <v>913</v>
      </c>
      <c r="X383" s="43" t="s">
        <v>65</v>
      </c>
    </row>
  </sheetData>
  <mergeCells count="18"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  <mergeCell ref="P2:P3"/>
    <mergeCell ref="Q2:Q3"/>
    <mergeCell ref="R2:R3"/>
    <mergeCell ref="S2:S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95"/>
  <sheetViews>
    <sheetView zoomScale="80" zoomScaleNormal="80" workbookViewId="0"/>
  </sheetViews>
  <sheetFormatPr defaultRowHeight="15" x14ac:dyDescent="0.25"/>
  <cols>
    <col min="1" max="1" width="9.140625" customWidth="1"/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130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130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132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132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132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132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132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132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131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131</v>
      </c>
      <c r="CW3" s="73"/>
      <c r="CX3" s="74"/>
    </row>
    <row r="4" spans="2:103" x14ac:dyDescent="0.25">
      <c r="N4" s="22" t="s">
        <v>46</v>
      </c>
      <c r="O4" s="72" t="s">
        <v>377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378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345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346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363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364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335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336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359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360</v>
      </c>
      <c r="CS4" s="73"/>
      <c r="CT4" s="74"/>
      <c r="CU4" s="22" t="s">
        <v>45</v>
      </c>
      <c r="CV4" s="72" t="s">
        <v>64</v>
      </c>
      <c r="CW4" s="73"/>
      <c r="CX4" s="74"/>
    </row>
    <row r="5" spans="2:103" ht="14.45" customHeight="1" x14ac:dyDescent="0.25">
      <c r="B5" t="b">
        <v>0</v>
      </c>
      <c r="N5" s="55" t="s">
        <v>19</v>
      </c>
      <c r="O5" s="56"/>
      <c r="P5" s="56"/>
      <c r="Q5" s="57"/>
      <c r="R5" s="55" t="s">
        <v>96</v>
      </c>
      <c r="S5" s="56"/>
      <c r="T5" s="56"/>
      <c r="U5" s="57"/>
      <c r="W5" s="55" t="s">
        <v>19</v>
      </c>
      <c r="X5" s="56"/>
      <c r="Y5" s="56"/>
      <c r="Z5" s="57"/>
      <c r="AA5" s="55" t="s">
        <v>96</v>
      </c>
      <c r="AB5" s="56"/>
      <c r="AC5" s="56"/>
      <c r="AD5" s="57"/>
      <c r="AF5" s="55" t="s">
        <v>19</v>
      </c>
      <c r="AG5" s="56"/>
      <c r="AH5" s="56"/>
      <c r="AI5" s="57"/>
      <c r="AJ5" s="55" t="s">
        <v>96</v>
      </c>
      <c r="AK5" s="56"/>
      <c r="AL5" s="56"/>
      <c r="AM5" s="57"/>
      <c r="AO5" s="55" t="s">
        <v>19</v>
      </c>
      <c r="AP5" s="56"/>
      <c r="AQ5" s="56"/>
      <c r="AR5" s="57"/>
      <c r="AS5" s="55" t="s">
        <v>96</v>
      </c>
      <c r="AT5" s="56"/>
      <c r="AU5" s="56"/>
      <c r="AV5" s="57"/>
      <c r="AX5" s="55" t="s">
        <v>19</v>
      </c>
      <c r="AY5" s="56"/>
      <c r="AZ5" s="56"/>
      <c r="BA5" s="57"/>
      <c r="BB5" s="55" t="s">
        <v>96</v>
      </c>
      <c r="BC5" s="56"/>
      <c r="BD5" s="56"/>
      <c r="BE5" s="57"/>
      <c r="BG5" s="55" t="s">
        <v>19</v>
      </c>
      <c r="BH5" s="56"/>
      <c r="BI5" s="56"/>
      <c r="BJ5" s="57"/>
      <c r="BK5" s="55" t="s">
        <v>96</v>
      </c>
      <c r="BL5" s="56"/>
      <c r="BM5" s="56"/>
      <c r="BN5" s="57"/>
      <c r="BP5" s="55" t="s">
        <v>19</v>
      </c>
      <c r="BQ5" s="56"/>
      <c r="BR5" s="56"/>
      <c r="BS5" s="57"/>
      <c r="BT5" s="55" t="s">
        <v>96</v>
      </c>
      <c r="BU5" s="56"/>
      <c r="BV5" s="56"/>
      <c r="BW5" s="57"/>
      <c r="BY5" s="55" t="s">
        <v>19</v>
      </c>
      <c r="BZ5" s="56"/>
      <c r="CA5" s="56"/>
      <c r="CB5" s="57"/>
      <c r="CC5" s="55" t="s">
        <v>96</v>
      </c>
      <c r="CD5" s="56"/>
      <c r="CE5" s="56"/>
      <c r="CF5" s="57"/>
      <c r="CH5" s="55" t="s">
        <v>19</v>
      </c>
      <c r="CI5" s="56"/>
      <c r="CJ5" s="56"/>
      <c r="CK5" s="57"/>
      <c r="CL5" s="55" t="s">
        <v>96</v>
      </c>
      <c r="CM5" s="56"/>
      <c r="CN5" s="56"/>
      <c r="CO5" s="57"/>
      <c r="CQ5" s="55" t="s">
        <v>19</v>
      </c>
      <c r="CR5" s="56"/>
      <c r="CS5" s="56"/>
      <c r="CT5" s="57"/>
      <c r="CU5" s="55" t="s">
        <v>96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915</v>
      </c>
      <c r="E8" s="76"/>
      <c r="F8" s="76" t="s">
        <v>63</v>
      </c>
      <c r="G8" s="76"/>
      <c r="H8" s="2">
        <v>0</v>
      </c>
      <c r="I8" s="2">
        <v>-2.5000000000000001E-3</v>
      </c>
      <c r="J8" s="2">
        <v>0</v>
      </c>
      <c r="K8" s="1"/>
      <c r="N8" s="30">
        <v>1.096231972434618E-6</v>
      </c>
      <c r="O8" s="43">
        <v>-3.01E-4</v>
      </c>
      <c r="P8" s="43">
        <v>-2.8299999999999999E-4</v>
      </c>
      <c r="Q8" s="43">
        <v>-8.5000000000000006E-5</v>
      </c>
      <c r="R8" s="30">
        <v>1.096231972434618E-6</v>
      </c>
      <c r="S8" s="43">
        <v>-3.01E-4</v>
      </c>
      <c r="T8" s="43">
        <v>-2.8299999999999999E-4</v>
      </c>
      <c r="U8" s="43">
        <v>-8.5000000000000006E-5</v>
      </c>
      <c r="W8" s="30">
        <v>1.096231972434618E-6</v>
      </c>
      <c r="X8" s="43">
        <v>-3.7500000000000001E-4</v>
      </c>
      <c r="Y8" s="43">
        <v>-3.4600000000000001E-4</v>
      </c>
      <c r="Z8" s="43">
        <v>-2.0000000000000002E-5</v>
      </c>
      <c r="AA8" s="30">
        <v>1.096231972434618E-6</v>
      </c>
      <c r="AB8" s="43">
        <v>-3.7500000000000001E-4</v>
      </c>
      <c r="AC8" s="43">
        <v>-3.4600000000000001E-4</v>
      </c>
      <c r="AD8" s="43">
        <v>-2.0000000000000002E-5</v>
      </c>
      <c r="AF8" s="30">
        <v>1.096231972434618E-6</v>
      </c>
      <c r="AG8" s="43">
        <v>-2.24E-4</v>
      </c>
      <c r="AH8" s="43">
        <v>-2.24E-4</v>
      </c>
      <c r="AI8" s="43">
        <v>-2.22E-4</v>
      </c>
      <c r="AJ8" s="30">
        <v>1.096231972434618E-6</v>
      </c>
      <c r="AK8" s="43">
        <v>-2.24E-4</v>
      </c>
      <c r="AL8" s="43">
        <v>-2.24E-4</v>
      </c>
      <c r="AM8" s="43">
        <v>-2.22E-4</v>
      </c>
      <c r="AO8" s="30">
        <v>1.096231972434618E-6</v>
      </c>
      <c r="AP8" s="43">
        <v>-2.23E-4</v>
      </c>
      <c r="AQ8" s="43">
        <v>-2.23E-4</v>
      </c>
      <c r="AR8" s="43">
        <v>-2.1800000000000001E-4</v>
      </c>
      <c r="AS8" s="30">
        <v>1.096231972434618E-6</v>
      </c>
      <c r="AT8" s="43">
        <v>-2.23E-4</v>
      </c>
      <c r="AU8" s="43">
        <v>-2.23E-4</v>
      </c>
      <c r="AV8" s="43">
        <v>-2.1800000000000001E-4</v>
      </c>
      <c r="AX8" s="30">
        <v>1.096231972434618E-6</v>
      </c>
      <c r="AY8" s="43">
        <v>-2.24E-4</v>
      </c>
      <c r="AZ8" s="43">
        <v>-2.24E-4</v>
      </c>
      <c r="BA8" s="43">
        <v>-2.22E-4</v>
      </c>
      <c r="BB8" s="30">
        <v>1.096231972434618E-6</v>
      </c>
      <c r="BC8" s="43">
        <v>-2.24E-4</v>
      </c>
      <c r="BD8" s="43">
        <v>-2.24E-4</v>
      </c>
      <c r="BE8" s="43">
        <v>-2.22E-4</v>
      </c>
      <c r="BG8" s="30">
        <v>1.096231972434618E-6</v>
      </c>
      <c r="BH8" s="43">
        <v>-2.23E-4</v>
      </c>
      <c r="BI8" s="43">
        <v>-2.23E-4</v>
      </c>
      <c r="BJ8" s="43">
        <v>-2.1800000000000001E-4</v>
      </c>
      <c r="BK8" s="30">
        <v>1.096231972434618E-6</v>
      </c>
      <c r="BL8" s="43">
        <v>-2.23E-4</v>
      </c>
      <c r="BM8" s="43">
        <v>-2.23E-4</v>
      </c>
      <c r="BN8" s="43">
        <v>-2.1800000000000001E-4</v>
      </c>
      <c r="BP8" s="30">
        <v>1.096231972434618E-6</v>
      </c>
      <c r="BQ8" s="43">
        <v>-1.84E-4</v>
      </c>
      <c r="BR8" s="43">
        <v>-1.76E-4</v>
      </c>
      <c r="BS8" s="43">
        <v>-9.6000000000000002E-5</v>
      </c>
      <c r="BT8" s="30">
        <v>1.096231972434618E-6</v>
      </c>
      <c r="BU8" s="43">
        <v>-1.84E-4</v>
      </c>
      <c r="BV8" s="43">
        <v>-1.76E-4</v>
      </c>
      <c r="BW8" s="43">
        <v>-9.6000000000000002E-5</v>
      </c>
      <c r="BY8" s="30">
        <v>1.096231972434618E-6</v>
      </c>
      <c r="BZ8" s="43">
        <v>-2.1900000000000001E-4</v>
      </c>
      <c r="CA8" s="43">
        <v>-2.05E-4</v>
      </c>
      <c r="CB8" s="43">
        <v>-6.2000000000000003E-5</v>
      </c>
      <c r="CC8" s="30">
        <v>1.096231972434618E-6</v>
      </c>
      <c r="CD8" s="43">
        <v>-2.1900000000000001E-4</v>
      </c>
      <c r="CE8" s="43">
        <v>-2.05E-4</v>
      </c>
      <c r="CF8" s="43">
        <v>-6.2000000000000003E-5</v>
      </c>
      <c r="CH8" s="30">
        <v>1.096231972434618E-6</v>
      </c>
      <c r="CI8" s="43">
        <v>-2.2499999999999999E-4</v>
      </c>
      <c r="CJ8" s="43">
        <v>-2.2499999999999999E-4</v>
      </c>
      <c r="CK8" s="43">
        <v>-2.23E-4</v>
      </c>
      <c r="CL8" s="30">
        <v>1.096231972434618E-6</v>
      </c>
      <c r="CM8" s="43">
        <v>-2.2499999999999999E-4</v>
      </c>
      <c r="CN8" s="43">
        <v>-2.2499999999999999E-4</v>
      </c>
      <c r="CO8" s="43">
        <v>-2.23E-4</v>
      </c>
      <c r="CQ8" s="30">
        <v>1.096231972434618E-6</v>
      </c>
      <c r="CR8" s="43">
        <v>-2.24E-4</v>
      </c>
      <c r="CS8" s="43">
        <v>-2.24E-4</v>
      </c>
      <c r="CT8" s="43">
        <v>-2.1900000000000001E-4</v>
      </c>
      <c r="CU8" s="30">
        <v>1.096231972434618E-6</v>
      </c>
      <c r="CV8" s="43">
        <v>-2.24E-4</v>
      </c>
      <c r="CW8" s="43">
        <v>-2.24E-4</v>
      </c>
      <c r="CX8" s="43">
        <v>-2.1900000000000001E-4</v>
      </c>
    </row>
    <row r="9" spans="2:103" x14ac:dyDescent="0.25">
      <c r="B9" s="76">
        <v>5</v>
      </c>
      <c r="C9" s="76"/>
      <c r="D9" s="76" t="s">
        <v>916</v>
      </c>
      <c r="E9" s="76"/>
      <c r="F9" s="76" t="s">
        <v>64</v>
      </c>
      <c r="G9" s="76"/>
      <c r="H9" s="2">
        <v>4.099512023197243E-2</v>
      </c>
      <c r="I9" s="1">
        <v>-2.5000000000000001E-3</v>
      </c>
      <c r="J9" s="2">
        <v>0.2001720772580908</v>
      </c>
      <c r="K9" s="1"/>
      <c r="N9" s="30">
        <v>6.8432996530576784E-4</v>
      </c>
      <c r="O9" s="43">
        <v>-2.9599999999999998E-4</v>
      </c>
      <c r="P9" s="43">
        <v>-2.7900000000000001E-4</v>
      </c>
      <c r="Q9" s="43">
        <v>-8.7999999999999998E-5</v>
      </c>
      <c r="R9" s="30">
        <v>8.2097673197243466E-4</v>
      </c>
      <c r="S9" s="43">
        <v>-2.9500000000000001E-4</v>
      </c>
      <c r="T9" s="43">
        <v>-2.7799999999999998E-4</v>
      </c>
      <c r="U9" s="43">
        <v>-8.8999999999999995E-5</v>
      </c>
      <c r="W9" s="30">
        <v>6.8432996530576784E-4</v>
      </c>
      <c r="X9" s="43">
        <v>-3.7500000000000001E-4</v>
      </c>
      <c r="Y9" s="43">
        <v>-3.4600000000000001E-4</v>
      </c>
      <c r="Z9" s="43">
        <v>-2.0000000000000002E-5</v>
      </c>
      <c r="AA9" s="30">
        <v>8.2097673197243466E-4</v>
      </c>
      <c r="AB9" s="43">
        <v>-3.7500000000000001E-4</v>
      </c>
      <c r="AC9" s="43">
        <v>-3.4600000000000001E-4</v>
      </c>
      <c r="AD9" s="43">
        <v>-2.0000000000000002E-5</v>
      </c>
      <c r="AF9" s="30">
        <v>6.8432996530576784E-4</v>
      </c>
      <c r="AG9" s="43">
        <v>-2.31E-4</v>
      </c>
      <c r="AH9" s="43">
        <v>-2.31E-4</v>
      </c>
      <c r="AI9" s="43">
        <v>-2.1499999999999999E-4</v>
      </c>
      <c r="AJ9" s="30">
        <v>8.2097673197243466E-4</v>
      </c>
      <c r="AK9" s="43">
        <v>-2.33E-4</v>
      </c>
      <c r="AL9" s="43">
        <v>-2.33E-4</v>
      </c>
      <c r="AM9" s="43">
        <v>-2.13E-4</v>
      </c>
      <c r="AO9" s="30">
        <v>6.8432996530576784E-4</v>
      </c>
      <c r="AP9" s="43">
        <v>-2.2599999999999999E-4</v>
      </c>
      <c r="AQ9" s="43">
        <v>-2.2599999999999999E-4</v>
      </c>
      <c r="AR9" s="43">
        <v>-2.1499999999999999E-4</v>
      </c>
      <c r="AS9" s="30">
        <v>8.2097673197243466E-4</v>
      </c>
      <c r="AT9" s="43">
        <v>-2.2599999999999999E-4</v>
      </c>
      <c r="AU9" s="43">
        <v>-2.2599999999999999E-4</v>
      </c>
      <c r="AV9" s="43">
        <v>-2.1499999999999999E-4</v>
      </c>
      <c r="AX9" s="30">
        <v>6.8432996530576784E-4</v>
      </c>
      <c r="AY9" s="43">
        <v>-2.32E-4</v>
      </c>
      <c r="AZ9" s="43">
        <v>-2.32E-4</v>
      </c>
      <c r="BA9" s="43">
        <v>-2.13E-4</v>
      </c>
      <c r="BB9" s="30">
        <v>8.2097673197243466E-4</v>
      </c>
      <c r="BC9" s="43">
        <v>-2.34E-4</v>
      </c>
      <c r="BD9" s="43">
        <v>-2.34E-4</v>
      </c>
      <c r="BE9" s="43">
        <v>-2.12E-4</v>
      </c>
      <c r="BG9" s="30">
        <v>6.8432996530576784E-4</v>
      </c>
      <c r="BH9" s="43">
        <v>-2.23E-4</v>
      </c>
      <c r="BI9" s="43">
        <v>-2.23E-4</v>
      </c>
      <c r="BJ9" s="43">
        <v>-2.1800000000000001E-4</v>
      </c>
      <c r="BK9" s="30">
        <v>8.2097673197243466E-4</v>
      </c>
      <c r="BL9" s="43">
        <v>-2.24E-4</v>
      </c>
      <c r="BM9" s="43">
        <v>-2.23E-4</v>
      </c>
      <c r="BN9" s="43">
        <v>-2.1800000000000001E-4</v>
      </c>
      <c r="BP9" s="30">
        <v>6.8432996530576784E-4</v>
      </c>
      <c r="BQ9" s="43">
        <v>-1.92E-4</v>
      </c>
      <c r="BR9" s="43">
        <v>-1.84E-4</v>
      </c>
      <c r="BS9" s="43">
        <v>-8.7999999999999998E-5</v>
      </c>
      <c r="BT9" s="30">
        <v>8.2097673197243466E-4</v>
      </c>
      <c r="BU9" s="43">
        <v>-1.94E-4</v>
      </c>
      <c r="BV9" s="43">
        <v>-1.8599999999999999E-4</v>
      </c>
      <c r="BW9" s="43">
        <v>-8.6000000000000003E-5</v>
      </c>
      <c r="BY9" s="30">
        <v>6.8432996530576784E-4</v>
      </c>
      <c r="BZ9" s="43">
        <v>-2.22E-4</v>
      </c>
      <c r="CA9" s="43">
        <v>-2.0799999999999999E-4</v>
      </c>
      <c r="CB9" s="43">
        <v>-6.0000000000000002E-5</v>
      </c>
      <c r="CC9" s="30">
        <v>8.2097673197243466E-4</v>
      </c>
      <c r="CD9" s="43">
        <v>-2.22E-4</v>
      </c>
      <c r="CE9" s="43">
        <v>-2.0799999999999999E-4</v>
      </c>
      <c r="CF9" s="43">
        <v>-5.8999999999999998E-5</v>
      </c>
      <c r="CH9" s="30">
        <v>6.8432996530576784E-4</v>
      </c>
      <c r="CI9" s="43">
        <v>-2.3000000000000001E-4</v>
      </c>
      <c r="CJ9" s="43">
        <v>-2.2900000000000001E-4</v>
      </c>
      <c r="CK9" s="43">
        <v>-2.1900000000000001E-4</v>
      </c>
      <c r="CL9" s="30">
        <v>8.2097673197243466E-4</v>
      </c>
      <c r="CM9" s="43">
        <v>-2.3000000000000001E-4</v>
      </c>
      <c r="CN9" s="43">
        <v>-2.2900000000000001E-4</v>
      </c>
      <c r="CO9" s="43">
        <v>-2.1800000000000001E-4</v>
      </c>
      <c r="CQ9" s="30">
        <v>6.8432996530576784E-4</v>
      </c>
      <c r="CR9" s="43">
        <v>-2.24E-4</v>
      </c>
      <c r="CS9" s="43">
        <v>-2.24E-4</v>
      </c>
      <c r="CT9" s="43">
        <v>-2.1900000000000001E-4</v>
      </c>
      <c r="CU9" s="30">
        <v>8.2097673197243466E-4</v>
      </c>
      <c r="CV9" s="43">
        <v>-2.24E-4</v>
      </c>
      <c r="CW9" s="43">
        <v>-2.24E-4</v>
      </c>
      <c r="CX9" s="43">
        <v>-2.1900000000000001E-4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1.367563698639101E-3</v>
      </c>
      <c r="O10" s="43">
        <v>-2.92E-4</v>
      </c>
      <c r="P10" s="43">
        <v>-2.7500000000000002E-4</v>
      </c>
      <c r="Q10" s="43">
        <v>-9.1000000000000003E-5</v>
      </c>
      <c r="R10" s="30">
        <v>1.6408572319724347E-3</v>
      </c>
      <c r="S10" s="43">
        <v>-2.9E-4</v>
      </c>
      <c r="T10" s="43">
        <v>-2.7399999999999999E-4</v>
      </c>
      <c r="U10" s="43">
        <v>-9.2E-5</v>
      </c>
      <c r="W10" s="30">
        <v>1.367563698639101E-3</v>
      </c>
      <c r="X10" s="43">
        <v>-3.7500000000000001E-4</v>
      </c>
      <c r="Y10" s="43">
        <v>-3.4499999999999998E-4</v>
      </c>
      <c r="Z10" s="43">
        <v>-1.9000000000000001E-5</v>
      </c>
      <c r="AA10" s="30">
        <v>1.6408572319724347E-3</v>
      </c>
      <c r="AB10" s="43">
        <v>-3.7399999999999998E-4</v>
      </c>
      <c r="AC10" s="43">
        <v>-3.4499999999999998E-4</v>
      </c>
      <c r="AD10" s="43">
        <v>-1.9000000000000001E-5</v>
      </c>
      <c r="AF10" s="30">
        <v>1.367563698639101E-3</v>
      </c>
      <c r="AG10" s="43">
        <v>-2.3900000000000001E-4</v>
      </c>
      <c r="AH10" s="43">
        <v>-2.3900000000000001E-4</v>
      </c>
      <c r="AI10" s="43">
        <v>-2.0699999999999999E-4</v>
      </c>
      <c r="AJ10" s="30">
        <v>1.6408572319724347E-3</v>
      </c>
      <c r="AK10" s="43">
        <v>-2.42E-4</v>
      </c>
      <c r="AL10" s="43">
        <v>-2.42E-4</v>
      </c>
      <c r="AM10" s="43">
        <v>-2.04E-4</v>
      </c>
      <c r="AO10" s="30">
        <v>1.367563698639101E-3</v>
      </c>
      <c r="AP10" s="43">
        <v>-2.2900000000000001E-4</v>
      </c>
      <c r="AQ10" s="43">
        <v>-2.2800000000000001E-4</v>
      </c>
      <c r="AR10" s="43">
        <v>-2.13E-4</v>
      </c>
      <c r="AS10" s="30">
        <v>1.6408572319724347E-3</v>
      </c>
      <c r="AT10" s="43">
        <v>-2.3000000000000001E-4</v>
      </c>
      <c r="AU10" s="43">
        <v>-2.3000000000000001E-4</v>
      </c>
      <c r="AV10" s="43">
        <v>-2.12E-4</v>
      </c>
      <c r="AX10" s="30">
        <v>1.367563698639101E-3</v>
      </c>
      <c r="AY10" s="43">
        <v>-2.4000000000000001E-4</v>
      </c>
      <c r="AZ10" s="43">
        <v>-2.41E-4</v>
      </c>
      <c r="BA10" s="43">
        <v>-2.0599999999999999E-4</v>
      </c>
      <c r="BB10" s="30">
        <v>1.6408572319724347E-3</v>
      </c>
      <c r="BC10" s="43">
        <v>-2.4399999999999999E-4</v>
      </c>
      <c r="BD10" s="43">
        <v>-2.4399999999999999E-4</v>
      </c>
      <c r="BE10" s="43">
        <v>-2.02E-4</v>
      </c>
      <c r="BG10" s="30">
        <v>1.367563698639101E-3</v>
      </c>
      <c r="BH10" s="43">
        <v>-2.2599999999999999E-4</v>
      </c>
      <c r="BI10" s="43">
        <v>-2.2599999999999999E-4</v>
      </c>
      <c r="BJ10" s="43">
        <v>-2.1599999999999999E-4</v>
      </c>
      <c r="BK10" s="30">
        <v>1.6408572319724347E-3</v>
      </c>
      <c r="BL10" s="43">
        <v>-2.2699999999999999E-4</v>
      </c>
      <c r="BM10" s="43">
        <v>-2.2699999999999999E-4</v>
      </c>
      <c r="BN10" s="43">
        <v>-2.1499999999999999E-4</v>
      </c>
      <c r="BP10" s="30">
        <v>1.367563698639101E-3</v>
      </c>
      <c r="BQ10" s="43">
        <v>-2.0000000000000001E-4</v>
      </c>
      <c r="BR10" s="43">
        <v>-1.92E-4</v>
      </c>
      <c r="BS10" s="43">
        <v>-8.0000000000000007E-5</v>
      </c>
      <c r="BT10" s="30">
        <v>1.6408572319724347E-3</v>
      </c>
      <c r="BU10" s="43">
        <v>-2.03E-4</v>
      </c>
      <c r="BV10" s="43">
        <v>-1.95E-4</v>
      </c>
      <c r="BW10" s="43">
        <v>-7.7000000000000001E-5</v>
      </c>
      <c r="BY10" s="30">
        <v>1.367563698639101E-3</v>
      </c>
      <c r="BZ10" s="43">
        <v>-2.2499999999999999E-4</v>
      </c>
      <c r="CA10" s="43">
        <v>-2.1000000000000001E-4</v>
      </c>
      <c r="CB10" s="43">
        <v>-5.7000000000000003E-5</v>
      </c>
      <c r="CC10" s="30">
        <v>1.6408572319724347E-3</v>
      </c>
      <c r="CD10" s="43">
        <v>-2.2599999999999999E-4</v>
      </c>
      <c r="CE10" s="43">
        <v>-2.12E-4</v>
      </c>
      <c r="CF10" s="43">
        <v>-5.5999999999999999E-5</v>
      </c>
      <c r="CH10" s="30">
        <v>1.367563698639101E-3</v>
      </c>
      <c r="CI10" s="43">
        <v>-2.34E-4</v>
      </c>
      <c r="CJ10" s="43">
        <v>-2.32E-4</v>
      </c>
      <c r="CK10" s="43">
        <v>-2.1599999999999999E-4</v>
      </c>
      <c r="CL10" s="30">
        <v>1.6408572319724347E-3</v>
      </c>
      <c r="CM10" s="43">
        <v>-2.3499999999999999E-4</v>
      </c>
      <c r="CN10" s="43">
        <v>-2.34E-4</v>
      </c>
      <c r="CO10" s="43">
        <v>-2.14E-4</v>
      </c>
      <c r="CQ10" s="30">
        <v>1.367563698639101E-3</v>
      </c>
      <c r="CR10" s="43">
        <v>-2.24E-4</v>
      </c>
      <c r="CS10" s="43">
        <v>-2.24E-4</v>
      </c>
      <c r="CT10" s="43">
        <v>-2.1900000000000001E-4</v>
      </c>
      <c r="CU10" s="30">
        <v>1.6408572319724347E-3</v>
      </c>
      <c r="CV10" s="43">
        <v>-2.24E-4</v>
      </c>
      <c r="CW10" s="43">
        <v>-2.24E-4</v>
      </c>
      <c r="CX10" s="43">
        <v>-2.1900000000000001E-4</v>
      </c>
    </row>
    <row r="11" spans="2:103" x14ac:dyDescent="0.25">
      <c r="B11" s="76">
        <v>11</v>
      </c>
      <c r="C11" s="76"/>
      <c r="H11" s="2">
        <v>0</v>
      </c>
      <c r="I11" s="1">
        <v>-4.033204516914626E-3</v>
      </c>
      <c r="J11" s="2">
        <v>0</v>
      </c>
      <c r="K11" s="1"/>
      <c r="N11" s="30">
        <v>2.0507974319724344E-3</v>
      </c>
      <c r="O11" s="43">
        <v>-2.8699999999999998E-4</v>
      </c>
      <c r="P11" s="43">
        <v>-2.7099999999999997E-4</v>
      </c>
      <c r="Q11" s="43">
        <v>-9.3999999999999994E-5</v>
      </c>
      <c r="R11" s="30">
        <v>2.4607377319724347E-3</v>
      </c>
      <c r="S11" s="43">
        <v>-2.8499999999999999E-4</v>
      </c>
      <c r="T11" s="43">
        <v>-2.6899999999999998E-4</v>
      </c>
      <c r="U11" s="43">
        <v>-9.6000000000000002E-5</v>
      </c>
      <c r="W11" s="30">
        <v>2.0507974319724344E-3</v>
      </c>
      <c r="X11" s="43">
        <v>-3.7399999999999998E-4</v>
      </c>
      <c r="Y11" s="43">
        <v>-3.4499999999999998E-4</v>
      </c>
      <c r="Z11" s="43">
        <v>-1.8E-5</v>
      </c>
      <c r="AA11" s="30">
        <v>2.4607377319724347E-3</v>
      </c>
      <c r="AB11" s="43">
        <v>-3.7399999999999998E-4</v>
      </c>
      <c r="AC11" s="43">
        <v>-3.4499999999999998E-4</v>
      </c>
      <c r="AD11" s="43">
        <v>-1.8E-5</v>
      </c>
      <c r="AF11" s="30">
        <v>2.0507974319724344E-3</v>
      </c>
      <c r="AG11" s="43">
        <v>-2.4699999999999999E-4</v>
      </c>
      <c r="AH11" s="43">
        <v>-2.4699999999999999E-4</v>
      </c>
      <c r="AI11" s="43">
        <v>-1.9900000000000001E-4</v>
      </c>
      <c r="AJ11" s="30">
        <v>2.4607377319724347E-3</v>
      </c>
      <c r="AK11" s="43">
        <v>-2.52E-4</v>
      </c>
      <c r="AL11" s="43">
        <v>-2.52E-4</v>
      </c>
      <c r="AM11" s="43">
        <v>-1.94E-4</v>
      </c>
      <c r="AO11" s="30">
        <v>2.0507974319724344E-3</v>
      </c>
      <c r="AP11" s="43">
        <v>-2.31E-4</v>
      </c>
      <c r="AQ11" s="43">
        <v>-2.31E-4</v>
      </c>
      <c r="AR11" s="43">
        <v>-2.1000000000000001E-4</v>
      </c>
      <c r="AS11" s="30">
        <v>2.4607377319724347E-3</v>
      </c>
      <c r="AT11" s="43">
        <v>-2.33E-4</v>
      </c>
      <c r="AU11" s="43">
        <v>-2.33E-4</v>
      </c>
      <c r="AV11" s="43">
        <v>-2.0900000000000001E-4</v>
      </c>
      <c r="AX11" s="30">
        <v>2.0507974319724344E-3</v>
      </c>
      <c r="AY11" s="43">
        <v>-2.4899999999999998E-4</v>
      </c>
      <c r="AZ11" s="43">
        <v>-2.4899999999999998E-4</v>
      </c>
      <c r="BA11" s="43">
        <v>-1.9799999999999999E-4</v>
      </c>
      <c r="BB11" s="30">
        <v>2.4607377319724347E-3</v>
      </c>
      <c r="BC11" s="43">
        <v>-2.5300000000000002E-4</v>
      </c>
      <c r="BD11" s="43">
        <v>-2.5399999999999999E-4</v>
      </c>
      <c r="BE11" s="43">
        <v>-1.93E-4</v>
      </c>
      <c r="BG11" s="30">
        <v>2.0507974319724344E-3</v>
      </c>
      <c r="BH11" s="43">
        <v>-2.2800000000000001E-4</v>
      </c>
      <c r="BI11" s="43">
        <v>-2.2800000000000001E-4</v>
      </c>
      <c r="BJ11" s="43">
        <v>-2.13E-4</v>
      </c>
      <c r="BK11" s="30">
        <v>2.4607377319724347E-3</v>
      </c>
      <c r="BL11" s="43">
        <v>-2.3000000000000001E-4</v>
      </c>
      <c r="BM11" s="43">
        <v>-2.3000000000000001E-4</v>
      </c>
      <c r="BN11" s="43">
        <v>-2.12E-4</v>
      </c>
      <c r="BP11" s="30">
        <v>2.0507974319724344E-3</v>
      </c>
      <c r="BQ11" s="43">
        <v>-2.0699999999999999E-4</v>
      </c>
      <c r="BR11" s="43">
        <v>-2.0000000000000001E-4</v>
      </c>
      <c r="BS11" s="43">
        <v>-7.2000000000000002E-5</v>
      </c>
      <c r="BT11" s="30">
        <v>2.4607377319724347E-3</v>
      </c>
      <c r="BU11" s="43">
        <v>-2.12E-4</v>
      </c>
      <c r="BV11" s="43">
        <v>-2.04E-4</v>
      </c>
      <c r="BW11" s="43">
        <v>-6.7000000000000002E-5</v>
      </c>
      <c r="BY11" s="30">
        <v>2.0507974319724344E-3</v>
      </c>
      <c r="BZ11" s="43">
        <v>-2.2800000000000001E-4</v>
      </c>
      <c r="CA11" s="43">
        <v>-2.13E-4</v>
      </c>
      <c r="CB11" s="43">
        <v>-5.3999999999999998E-5</v>
      </c>
      <c r="CC11" s="30">
        <v>2.4607377319724347E-3</v>
      </c>
      <c r="CD11" s="43">
        <v>-2.2900000000000001E-4</v>
      </c>
      <c r="CE11" s="43">
        <v>-2.1499999999999999E-4</v>
      </c>
      <c r="CF11" s="43">
        <v>-5.1999999999999997E-5</v>
      </c>
      <c r="CH11" s="30">
        <v>2.0507974319724344E-3</v>
      </c>
      <c r="CI11" s="43">
        <v>-2.3800000000000001E-4</v>
      </c>
      <c r="CJ11" s="43">
        <v>-2.3599999999999999E-4</v>
      </c>
      <c r="CK11" s="43">
        <v>-2.12E-4</v>
      </c>
      <c r="CL11" s="30">
        <v>2.4607377319724347E-3</v>
      </c>
      <c r="CM11" s="43">
        <v>-2.4000000000000001E-4</v>
      </c>
      <c r="CN11" s="43">
        <v>-2.3800000000000001E-4</v>
      </c>
      <c r="CO11" s="43">
        <v>-2.1000000000000001E-4</v>
      </c>
      <c r="CQ11" s="30">
        <v>2.0507974319724344E-3</v>
      </c>
      <c r="CR11" s="43">
        <v>-2.24E-4</v>
      </c>
      <c r="CS11" s="43">
        <v>-2.24E-4</v>
      </c>
      <c r="CT11" s="43">
        <v>-2.1900000000000001E-4</v>
      </c>
      <c r="CU11" s="30">
        <v>2.4607377319724347E-3</v>
      </c>
      <c r="CV11" s="43">
        <v>-2.24E-4</v>
      </c>
      <c r="CW11" s="43">
        <v>-2.24E-4</v>
      </c>
      <c r="CX11" s="43">
        <v>-2.1900000000000001E-4</v>
      </c>
    </row>
    <row r="12" spans="2:103" x14ac:dyDescent="0.25">
      <c r="B12" s="76">
        <v>21</v>
      </c>
      <c r="C12" s="76"/>
      <c r="H12" s="2">
        <v>4.099512023197243E-2</v>
      </c>
      <c r="I12" s="1">
        <v>-4.033204516914626E-3</v>
      </c>
      <c r="J12" s="2">
        <v>0.2001720772580908</v>
      </c>
      <c r="K12" s="1"/>
      <c r="N12" s="30">
        <v>2.7340311653057678E-3</v>
      </c>
      <c r="O12" s="43">
        <v>-2.8299999999999999E-4</v>
      </c>
      <c r="P12" s="43">
        <v>-2.6699999999999998E-4</v>
      </c>
      <c r="Q12" s="43">
        <v>-9.7E-5</v>
      </c>
      <c r="R12" s="30">
        <v>3.2806182319724347E-3</v>
      </c>
      <c r="S12" s="43">
        <v>-2.7900000000000001E-4</v>
      </c>
      <c r="T12" s="43">
        <v>-2.6400000000000002E-4</v>
      </c>
      <c r="U12" s="43">
        <v>-9.8999999999999994E-5</v>
      </c>
      <c r="W12" s="30">
        <v>2.7340311653057678E-3</v>
      </c>
      <c r="X12" s="43">
        <v>-3.7399999999999998E-4</v>
      </c>
      <c r="Y12" s="43">
        <v>-3.4400000000000001E-4</v>
      </c>
      <c r="Z12" s="43">
        <v>-1.8E-5</v>
      </c>
      <c r="AA12" s="30">
        <v>3.2806182319724347E-3</v>
      </c>
      <c r="AB12" s="43">
        <v>-3.7300000000000001E-4</v>
      </c>
      <c r="AC12" s="43">
        <v>-3.4400000000000001E-4</v>
      </c>
      <c r="AD12" s="43">
        <v>-1.7E-5</v>
      </c>
      <c r="AF12" s="30">
        <v>2.7340311653057678E-3</v>
      </c>
      <c r="AG12" s="43">
        <v>-2.5500000000000002E-4</v>
      </c>
      <c r="AH12" s="43">
        <v>-2.5500000000000002E-4</v>
      </c>
      <c r="AI12" s="43">
        <v>-1.9100000000000001E-4</v>
      </c>
      <c r="AJ12" s="30">
        <v>3.2806182319724347E-3</v>
      </c>
      <c r="AK12" s="43">
        <v>-2.6200000000000003E-4</v>
      </c>
      <c r="AL12" s="43">
        <v>-2.6200000000000003E-4</v>
      </c>
      <c r="AM12" s="43">
        <v>-1.85E-4</v>
      </c>
      <c r="AO12" s="30">
        <v>2.7340311653057678E-3</v>
      </c>
      <c r="AP12" s="43">
        <v>-2.34E-4</v>
      </c>
      <c r="AQ12" s="43">
        <v>-2.34E-4</v>
      </c>
      <c r="AR12" s="43">
        <v>-2.0699999999999999E-4</v>
      </c>
      <c r="AS12" s="30">
        <v>3.2806182319724347E-3</v>
      </c>
      <c r="AT12" s="43">
        <v>-2.3599999999999999E-4</v>
      </c>
      <c r="AU12" s="43">
        <v>-2.3599999999999999E-4</v>
      </c>
      <c r="AV12" s="43">
        <v>-2.05E-4</v>
      </c>
      <c r="AX12" s="30">
        <v>2.7340311653057678E-3</v>
      </c>
      <c r="AY12" s="43">
        <v>-2.5700000000000001E-4</v>
      </c>
      <c r="AZ12" s="43">
        <v>-2.5700000000000001E-4</v>
      </c>
      <c r="BA12" s="43">
        <v>-1.9000000000000001E-4</v>
      </c>
      <c r="BB12" s="30">
        <v>3.2806182319724347E-3</v>
      </c>
      <c r="BC12" s="43">
        <v>-2.63E-4</v>
      </c>
      <c r="BD12" s="43">
        <v>-2.6400000000000002E-4</v>
      </c>
      <c r="BE12" s="43">
        <v>-1.83E-4</v>
      </c>
      <c r="BG12" s="30">
        <v>2.7340311653057678E-3</v>
      </c>
      <c r="BH12" s="43">
        <v>-2.31E-4</v>
      </c>
      <c r="BI12" s="43">
        <v>-2.31E-4</v>
      </c>
      <c r="BJ12" s="43">
        <v>-2.1100000000000001E-4</v>
      </c>
      <c r="BK12" s="30">
        <v>3.2806182319724347E-3</v>
      </c>
      <c r="BL12" s="43">
        <v>-2.33E-4</v>
      </c>
      <c r="BM12" s="43">
        <v>-2.33E-4</v>
      </c>
      <c r="BN12" s="43">
        <v>-2.0799999999999999E-4</v>
      </c>
      <c r="BP12" s="30">
        <v>2.7340311653057678E-3</v>
      </c>
      <c r="BQ12" s="43">
        <v>-2.1499999999999999E-4</v>
      </c>
      <c r="BR12" s="43">
        <v>-2.0799999999999999E-4</v>
      </c>
      <c r="BS12" s="43">
        <v>-6.3999999999999997E-5</v>
      </c>
      <c r="BT12" s="30">
        <v>3.2806182319724347E-3</v>
      </c>
      <c r="BU12" s="43">
        <v>-2.2100000000000001E-4</v>
      </c>
      <c r="BV12" s="43">
        <v>-2.14E-4</v>
      </c>
      <c r="BW12" s="43">
        <v>-5.8E-5</v>
      </c>
      <c r="BY12" s="30">
        <v>2.7340311653057678E-3</v>
      </c>
      <c r="BZ12" s="43">
        <v>-2.3000000000000001E-4</v>
      </c>
      <c r="CA12" s="43">
        <v>-2.1599999999999999E-4</v>
      </c>
      <c r="CB12" s="43">
        <v>-5.1E-5</v>
      </c>
      <c r="CC12" s="30">
        <v>3.2806182319724347E-3</v>
      </c>
      <c r="CD12" s="43">
        <v>-2.33E-4</v>
      </c>
      <c r="CE12" s="43">
        <v>-2.1900000000000001E-4</v>
      </c>
      <c r="CF12" s="43">
        <v>-4.8999999999999998E-5</v>
      </c>
      <c r="CH12" s="30">
        <v>2.7340311653057678E-3</v>
      </c>
      <c r="CI12" s="43">
        <v>-2.42E-4</v>
      </c>
      <c r="CJ12" s="43">
        <v>-2.3900000000000001E-4</v>
      </c>
      <c r="CK12" s="43">
        <v>-2.0900000000000001E-4</v>
      </c>
      <c r="CL12" s="30">
        <v>3.2806182319724347E-3</v>
      </c>
      <c r="CM12" s="43">
        <v>-2.4600000000000002E-4</v>
      </c>
      <c r="CN12" s="43">
        <v>-2.42E-4</v>
      </c>
      <c r="CO12" s="43">
        <v>-2.0599999999999999E-4</v>
      </c>
      <c r="CQ12" s="30">
        <v>2.7340311653057678E-3</v>
      </c>
      <c r="CR12" s="43">
        <v>-2.24E-4</v>
      </c>
      <c r="CS12" s="43">
        <v>-2.24E-4</v>
      </c>
      <c r="CT12" s="43">
        <v>-2.1900000000000001E-4</v>
      </c>
      <c r="CU12" s="30">
        <v>3.2806182319724347E-3</v>
      </c>
      <c r="CV12" s="43">
        <v>-2.24E-4</v>
      </c>
      <c r="CW12" s="43">
        <v>-2.24E-4</v>
      </c>
      <c r="CX12" s="43">
        <v>-2.1900000000000001E-4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3.4172648986391008E-3</v>
      </c>
      <c r="O13" s="43">
        <v>-2.7799999999999998E-4</v>
      </c>
      <c r="P13" s="43">
        <v>-2.6400000000000002E-4</v>
      </c>
      <c r="Q13" s="43">
        <v>-1E-4</v>
      </c>
      <c r="R13" s="30">
        <v>4.1004987319724351E-3</v>
      </c>
      <c r="S13" s="43">
        <v>-2.7399999999999999E-4</v>
      </c>
      <c r="T13" s="43">
        <v>-2.5999999999999998E-4</v>
      </c>
      <c r="U13" s="43">
        <v>-1.03E-4</v>
      </c>
      <c r="W13" s="30">
        <v>3.4172648986391008E-3</v>
      </c>
      <c r="X13" s="43">
        <v>-3.7300000000000001E-4</v>
      </c>
      <c r="Y13" s="43">
        <v>-3.4400000000000001E-4</v>
      </c>
      <c r="Z13" s="43">
        <v>-1.7E-5</v>
      </c>
      <c r="AA13" s="30">
        <v>4.1004987319724351E-3</v>
      </c>
      <c r="AB13" s="43">
        <v>-3.7300000000000001E-4</v>
      </c>
      <c r="AC13" s="43">
        <v>-3.4400000000000001E-4</v>
      </c>
      <c r="AD13" s="43">
        <v>-1.5999999999999999E-5</v>
      </c>
      <c r="AF13" s="30">
        <v>3.4172648986391008E-3</v>
      </c>
      <c r="AG13" s="43">
        <v>-2.63E-4</v>
      </c>
      <c r="AH13" s="43">
        <v>-2.6400000000000002E-4</v>
      </c>
      <c r="AI13" s="43">
        <v>-1.83E-4</v>
      </c>
      <c r="AJ13" s="30">
        <v>4.1004987319724351E-3</v>
      </c>
      <c r="AK13" s="43">
        <v>-2.7099999999999997E-4</v>
      </c>
      <c r="AL13" s="43">
        <v>-2.72E-4</v>
      </c>
      <c r="AM13" s="43">
        <v>-1.75E-4</v>
      </c>
      <c r="AO13" s="30">
        <v>3.4172648986391008E-3</v>
      </c>
      <c r="AP13" s="43">
        <v>-2.3699999999999999E-4</v>
      </c>
      <c r="AQ13" s="43">
        <v>-2.3699999999999999E-4</v>
      </c>
      <c r="AR13" s="43">
        <v>-2.05E-4</v>
      </c>
      <c r="AS13" s="30">
        <v>4.1004987319724351E-3</v>
      </c>
      <c r="AT13" s="43">
        <v>-2.3900000000000001E-4</v>
      </c>
      <c r="AU13" s="43">
        <v>-2.3900000000000001E-4</v>
      </c>
      <c r="AV13" s="43">
        <v>-2.02E-4</v>
      </c>
      <c r="AX13" s="30">
        <v>3.4172648986391008E-3</v>
      </c>
      <c r="AY13" s="43">
        <v>-2.6499999999999999E-4</v>
      </c>
      <c r="AZ13" s="43">
        <v>-2.6499999999999999E-4</v>
      </c>
      <c r="BA13" s="43">
        <v>-1.8200000000000001E-4</v>
      </c>
      <c r="BB13" s="30">
        <v>4.1004987319724351E-3</v>
      </c>
      <c r="BC13" s="43">
        <v>-2.7300000000000002E-4</v>
      </c>
      <c r="BD13" s="43">
        <v>-2.7300000000000002E-4</v>
      </c>
      <c r="BE13" s="43">
        <v>-1.74E-4</v>
      </c>
      <c r="BG13" s="30">
        <v>3.4172648986391008E-3</v>
      </c>
      <c r="BH13" s="43">
        <v>-2.34E-4</v>
      </c>
      <c r="BI13" s="43">
        <v>-2.34E-4</v>
      </c>
      <c r="BJ13" s="43">
        <v>-2.0799999999999999E-4</v>
      </c>
      <c r="BK13" s="30">
        <v>4.1004987319724351E-3</v>
      </c>
      <c r="BL13" s="43">
        <v>-2.3699999999999999E-4</v>
      </c>
      <c r="BM13" s="43">
        <v>-2.3699999999999999E-4</v>
      </c>
      <c r="BN13" s="43">
        <v>-2.05E-4</v>
      </c>
      <c r="BP13" s="30">
        <v>3.4172648986391008E-3</v>
      </c>
      <c r="BQ13" s="43">
        <v>-2.23E-4</v>
      </c>
      <c r="BR13" s="43">
        <v>-2.1499999999999999E-4</v>
      </c>
      <c r="BS13" s="43">
        <v>-5.5999999999999999E-5</v>
      </c>
      <c r="BT13" s="30">
        <v>4.1004987319724351E-3</v>
      </c>
      <c r="BU13" s="43">
        <v>-2.31E-4</v>
      </c>
      <c r="BV13" s="43">
        <v>-2.24E-4</v>
      </c>
      <c r="BW13" s="43">
        <v>-4.8000000000000001E-5</v>
      </c>
      <c r="BY13" s="30">
        <v>3.4172648986391008E-3</v>
      </c>
      <c r="BZ13" s="43">
        <v>-2.33E-4</v>
      </c>
      <c r="CA13" s="43">
        <v>-2.1900000000000001E-4</v>
      </c>
      <c r="CB13" s="43">
        <v>-4.8999999999999998E-5</v>
      </c>
      <c r="CC13" s="30">
        <v>4.1004987319724351E-3</v>
      </c>
      <c r="CD13" s="43">
        <v>-2.3599999999999999E-4</v>
      </c>
      <c r="CE13" s="43">
        <v>-2.22E-4</v>
      </c>
      <c r="CF13" s="43">
        <v>-4.6E-5</v>
      </c>
      <c r="CH13" s="30">
        <v>3.4172648986391008E-3</v>
      </c>
      <c r="CI13" s="43">
        <v>-2.4600000000000002E-4</v>
      </c>
      <c r="CJ13" s="43">
        <v>-2.43E-4</v>
      </c>
      <c r="CK13" s="43">
        <v>-2.05E-4</v>
      </c>
      <c r="CL13" s="30">
        <v>4.1004987319724351E-3</v>
      </c>
      <c r="CM13" s="43">
        <v>-2.5099999999999998E-4</v>
      </c>
      <c r="CN13" s="43">
        <v>-2.4600000000000002E-4</v>
      </c>
      <c r="CO13" s="43">
        <v>-2.02E-4</v>
      </c>
      <c r="CQ13" s="30">
        <v>3.4172648986391008E-3</v>
      </c>
      <c r="CR13" s="43">
        <v>-2.24E-4</v>
      </c>
      <c r="CS13" s="43">
        <v>-2.24E-4</v>
      </c>
      <c r="CT13" s="43">
        <v>-2.1900000000000001E-4</v>
      </c>
      <c r="CU13" s="30">
        <v>4.1004987319724351E-3</v>
      </c>
      <c r="CV13" s="43">
        <v>-2.24E-4</v>
      </c>
      <c r="CW13" s="43">
        <v>-2.24E-4</v>
      </c>
      <c r="CX13" s="43">
        <v>-2.1900000000000001E-4</v>
      </c>
    </row>
    <row r="14" spans="2:103" x14ac:dyDescent="0.25">
      <c r="B14" s="76"/>
      <c r="C14" s="76"/>
      <c r="H14" s="2">
        <v>0</v>
      </c>
      <c r="I14" s="1">
        <v>-5.3776060225528347E-3</v>
      </c>
      <c r="J14" s="2">
        <v>0</v>
      </c>
      <c r="K14" s="1"/>
      <c r="N14" s="30">
        <v>4.1004986319724346E-3</v>
      </c>
      <c r="O14" s="43">
        <v>-2.7399999999999999E-4</v>
      </c>
      <c r="P14" s="43">
        <v>-2.5999999999999998E-4</v>
      </c>
      <c r="Q14" s="43">
        <v>-1.03E-4</v>
      </c>
      <c r="R14" s="30">
        <v>4.9203792319724351E-3</v>
      </c>
      <c r="S14" s="43">
        <v>-2.6800000000000001E-4</v>
      </c>
      <c r="T14" s="43">
        <v>-2.5500000000000002E-4</v>
      </c>
      <c r="U14" s="43">
        <v>-1.06E-4</v>
      </c>
      <c r="W14" s="30">
        <v>4.1004986319724346E-3</v>
      </c>
      <c r="X14" s="43">
        <v>-3.7300000000000001E-4</v>
      </c>
      <c r="Y14" s="43">
        <v>-3.4400000000000001E-4</v>
      </c>
      <c r="Z14" s="43">
        <v>-1.5999999999999999E-5</v>
      </c>
      <c r="AA14" s="30">
        <v>4.9203792319724351E-3</v>
      </c>
      <c r="AB14" s="43">
        <v>-3.7199999999999999E-4</v>
      </c>
      <c r="AC14" s="43">
        <v>-3.4299999999999999E-4</v>
      </c>
      <c r="AD14" s="43">
        <v>-1.5999999999999999E-5</v>
      </c>
      <c r="AF14" s="30">
        <v>4.1004986319724346E-3</v>
      </c>
      <c r="AG14" s="43">
        <v>-2.7099999999999997E-4</v>
      </c>
      <c r="AH14" s="43">
        <v>-2.72E-4</v>
      </c>
      <c r="AI14" s="43">
        <v>-1.75E-4</v>
      </c>
      <c r="AJ14" s="30">
        <v>4.9203792319724351E-3</v>
      </c>
      <c r="AK14" s="43">
        <v>-2.81E-4</v>
      </c>
      <c r="AL14" s="43">
        <v>-2.8200000000000002E-4</v>
      </c>
      <c r="AM14" s="43">
        <v>-1.65E-4</v>
      </c>
      <c r="AO14" s="30">
        <v>4.1004986319724346E-3</v>
      </c>
      <c r="AP14" s="43">
        <v>-2.3900000000000001E-4</v>
      </c>
      <c r="AQ14" s="43">
        <v>-2.3900000000000001E-4</v>
      </c>
      <c r="AR14" s="43">
        <v>-2.02E-4</v>
      </c>
      <c r="AS14" s="30">
        <v>4.9203792319724351E-3</v>
      </c>
      <c r="AT14" s="43">
        <v>-2.43E-4</v>
      </c>
      <c r="AU14" s="43">
        <v>-2.43E-4</v>
      </c>
      <c r="AV14" s="43">
        <v>-1.9900000000000001E-4</v>
      </c>
      <c r="AX14" s="30">
        <v>4.1004986319724346E-3</v>
      </c>
      <c r="AY14" s="43">
        <v>-2.7300000000000002E-4</v>
      </c>
      <c r="AZ14" s="43">
        <v>-2.7300000000000002E-4</v>
      </c>
      <c r="BA14" s="43">
        <v>-1.74E-4</v>
      </c>
      <c r="BB14" s="30">
        <v>4.9203792319724351E-3</v>
      </c>
      <c r="BC14" s="43">
        <v>-2.8299999999999999E-4</v>
      </c>
      <c r="BD14" s="43">
        <v>-2.8299999999999999E-4</v>
      </c>
      <c r="BE14" s="43">
        <v>-1.64E-4</v>
      </c>
      <c r="BG14" s="30">
        <v>4.1004986319724346E-3</v>
      </c>
      <c r="BH14" s="43">
        <v>-2.3699999999999999E-4</v>
      </c>
      <c r="BI14" s="43">
        <v>-2.3699999999999999E-4</v>
      </c>
      <c r="BJ14" s="43">
        <v>-2.05E-4</v>
      </c>
      <c r="BK14" s="30">
        <v>4.9203792319724351E-3</v>
      </c>
      <c r="BL14" s="43">
        <v>-2.4000000000000001E-4</v>
      </c>
      <c r="BM14" s="43">
        <v>-2.4000000000000001E-4</v>
      </c>
      <c r="BN14" s="43">
        <v>-2.02E-4</v>
      </c>
      <c r="BP14" s="30">
        <v>4.1004986319724346E-3</v>
      </c>
      <c r="BQ14" s="43">
        <v>-2.31E-4</v>
      </c>
      <c r="BR14" s="43">
        <v>-2.24E-4</v>
      </c>
      <c r="BS14" s="43">
        <v>-4.8000000000000001E-5</v>
      </c>
      <c r="BT14" s="30">
        <v>4.9203792319724351E-3</v>
      </c>
      <c r="BU14" s="43">
        <v>-2.41E-4</v>
      </c>
      <c r="BV14" s="43">
        <v>-2.33E-4</v>
      </c>
      <c r="BW14" s="43">
        <v>-3.8999999999999999E-5</v>
      </c>
      <c r="BY14" s="30">
        <v>4.1004986319724346E-3</v>
      </c>
      <c r="BZ14" s="43">
        <v>-2.3599999999999999E-4</v>
      </c>
      <c r="CA14" s="43">
        <v>-2.22E-4</v>
      </c>
      <c r="CB14" s="43">
        <v>-4.6E-5</v>
      </c>
      <c r="CC14" s="30">
        <v>4.9203792319724351E-3</v>
      </c>
      <c r="CD14" s="43">
        <v>-2.4000000000000001E-4</v>
      </c>
      <c r="CE14" s="43">
        <v>-2.2499999999999999E-4</v>
      </c>
      <c r="CF14" s="43">
        <v>-4.1999999999999998E-5</v>
      </c>
      <c r="CH14" s="30">
        <v>4.1004986319724346E-3</v>
      </c>
      <c r="CI14" s="43">
        <v>-2.5099999999999998E-4</v>
      </c>
      <c r="CJ14" s="43">
        <v>-2.4600000000000002E-4</v>
      </c>
      <c r="CK14" s="43">
        <v>-2.02E-4</v>
      </c>
      <c r="CL14" s="30">
        <v>4.9203792319724351E-3</v>
      </c>
      <c r="CM14" s="43">
        <v>-2.5599999999999999E-4</v>
      </c>
      <c r="CN14" s="43">
        <v>-2.5099999999999998E-4</v>
      </c>
      <c r="CO14" s="43">
        <v>-1.9799999999999999E-4</v>
      </c>
      <c r="CQ14" s="30">
        <v>4.1004986319724346E-3</v>
      </c>
      <c r="CR14" s="43">
        <v>-2.24E-4</v>
      </c>
      <c r="CS14" s="43">
        <v>-2.24E-4</v>
      </c>
      <c r="CT14" s="43">
        <v>-2.1900000000000001E-4</v>
      </c>
      <c r="CU14" s="30">
        <v>4.9203792319724351E-3</v>
      </c>
      <c r="CV14" s="43">
        <v>-2.24E-4</v>
      </c>
      <c r="CW14" s="43">
        <v>-2.24E-4</v>
      </c>
      <c r="CX14" s="43">
        <v>-2.1900000000000001E-4</v>
      </c>
    </row>
    <row r="15" spans="2:103" x14ac:dyDescent="0.25">
      <c r="B15" s="76"/>
      <c r="C15" s="76"/>
      <c r="H15" s="2">
        <v>4.099512023197243E-2</v>
      </c>
      <c r="I15" s="1">
        <v>-5.3776060225528347E-3</v>
      </c>
      <c r="J15" s="2">
        <v>0.2001720772580908</v>
      </c>
      <c r="K15" s="1"/>
      <c r="N15" s="30">
        <v>4.783732365305768E-3</v>
      </c>
      <c r="O15" s="43">
        <v>-2.6899999999999998E-4</v>
      </c>
      <c r="P15" s="43">
        <v>-2.5599999999999999E-4</v>
      </c>
      <c r="Q15" s="43">
        <v>-1.06E-4</v>
      </c>
      <c r="R15" s="30">
        <v>5.7402597319724351E-3</v>
      </c>
      <c r="S15" s="43">
        <v>-2.63E-4</v>
      </c>
      <c r="T15" s="43">
        <v>-2.5000000000000001E-4</v>
      </c>
      <c r="U15" s="43">
        <v>-1.1E-4</v>
      </c>
      <c r="W15" s="30">
        <v>4.783732365305768E-3</v>
      </c>
      <c r="X15" s="43">
        <v>-3.7199999999999999E-4</v>
      </c>
      <c r="Y15" s="43">
        <v>-3.4299999999999999E-4</v>
      </c>
      <c r="Z15" s="43">
        <v>-1.5999999999999999E-5</v>
      </c>
      <c r="AA15" s="30">
        <v>5.7402597319724351E-3</v>
      </c>
      <c r="AB15" s="43">
        <v>-3.7199999999999999E-4</v>
      </c>
      <c r="AC15" s="43">
        <v>-3.4200000000000002E-4</v>
      </c>
      <c r="AD15" s="43">
        <v>-1.5E-5</v>
      </c>
      <c r="AF15" s="30">
        <v>4.783732365305768E-3</v>
      </c>
      <c r="AG15" s="43">
        <v>-2.7900000000000001E-4</v>
      </c>
      <c r="AH15" s="43">
        <v>-2.7999999999999998E-4</v>
      </c>
      <c r="AI15" s="43">
        <v>-1.6699999999999999E-4</v>
      </c>
      <c r="AJ15" s="30">
        <v>5.7402597319724351E-3</v>
      </c>
      <c r="AK15" s="43">
        <v>-2.9100000000000003E-4</v>
      </c>
      <c r="AL15" s="43">
        <v>-2.9100000000000003E-4</v>
      </c>
      <c r="AM15" s="43">
        <v>-1.56E-4</v>
      </c>
      <c r="AO15" s="30">
        <v>4.783732365305768E-3</v>
      </c>
      <c r="AP15" s="43">
        <v>-2.42E-4</v>
      </c>
      <c r="AQ15" s="43">
        <v>-2.42E-4</v>
      </c>
      <c r="AR15" s="43">
        <v>-1.9900000000000001E-4</v>
      </c>
      <c r="AS15" s="30">
        <v>5.7402597319724351E-3</v>
      </c>
      <c r="AT15" s="43">
        <v>-2.4600000000000002E-4</v>
      </c>
      <c r="AU15" s="43">
        <v>-2.4600000000000002E-4</v>
      </c>
      <c r="AV15" s="43">
        <v>-1.9599999999999999E-4</v>
      </c>
      <c r="AX15" s="30">
        <v>4.783732365305768E-3</v>
      </c>
      <c r="AY15" s="43">
        <v>-2.81E-4</v>
      </c>
      <c r="AZ15" s="43">
        <v>-2.8200000000000002E-4</v>
      </c>
      <c r="BA15" s="43">
        <v>-1.66E-4</v>
      </c>
      <c r="BB15" s="30">
        <v>5.7402597319724351E-3</v>
      </c>
      <c r="BC15" s="43">
        <v>-2.92E-4</v>
      </c>
      <c r="BD15" s="43">
        <v>-2.9300000000000002E-4</v>
      </c>
      <c r="BE15" s="43">
        <v>-1.55E-4</v>
      </c>
      <c r="BG15" s="30">
        <v>4.783732365305768E-3</v>
      </c>
      <c r="BH15" s="43">
        <v>-2.3900000000000001E-4</v>
      </c>
      <c r="BI15" s="43">
        <v>-2.3900000000000001E-4</v>
      </c>
      <c r="BJ15" s="43">
        <v>-2.03E-4</v>
      </c>
      <c r="BK15" s="30">
        <v>5.7402597319724351E-3</v>
      </c>
      <c r="BL15" s="43">
        <v>-2.43E-4</v>
      </c>
      <c r="BM15" s="43">
        <v>-2.43E-4</v>
      </c>
      <c r="BN15" s="43">
        <v>-1.9900000000000001E-4</v>
      </c>
      <c r="BP15" s="30">
        <v>4.783732365305768E-3</v>
      </c>
      <c r="BQ15" s="43">
        <v>-2.3900000000000001E-4</v>
      </c>
      <c r="BR15" s="43">
        <v>-2.32E-4</v>
      </c>
      <c r="BS15" s="43">
        <v>-4.1E-5</v>
      </c>
      <c r="BT15" s="30">
        <v>5.7402597319724351E-3</v>
      </c>
      <c r="BU15" s="43">
        <v>-2.5000000000000001E-4</v>
      </c>
      <c r="BV15" s="43">
        <v>-2.43E-4</v>
      </c>
      <c r="BW15" s="43">
        <v>-2.9E-5</v>
      </c>
      <c r="BY15" s="30">
        <v>4.783732365305768E-3</v>
      </c>
      <c r="BZ15" s="43">
        <v>-2.3900000000000001E-4</v>
      </c>
      <c r="CA15" s="43">
        <v>-2.2499999999999999E-4</v>
      </c>
      <c r="CB15" s="43">
        <v>-4.3000000000000002E-5</v>
      </c>
      <c r="CC15" s="30">
        <v>5.7402597319724351E-3</v>
      </c>
      <c r="CD15" s="43">
        <v>-2.43E-4</v>
      </c>
      <c r="CE15" s="43">
        <v>-2.2900000000000001E-4</v>
      </c>
      <c r="CF15" s="43">
        <v>-3.8999999999999999E-5</v>
      </c>
      <c r="CH15" s="30">
        <v>4.783732365305768E-3</v>
      </c>
      <c r="CI15" s="43">
        <v>-2.5500000000000002E-4</v>
      </c>
      <c r="CJ15" s="43">
        <v>-2.5000000000000001E-4</v>
      </c>
      <c r="CK15" s="43">
        <v>-1.9799999999999999E-4</v>
      </c>
      <c r="CL15" s="30">
        <v>5.7402597319724351E-3</v>
      </c>
      <c r="CM15" s="43">
        <v>-2.61E-4</v>
      </c>
      <c r="CN15" s="43">
        <v>-2.5500000000000002E-4</v>
      </c>
      <c r="CO15" s="43">
        <v>-1.94E-4</v>
      </c>
      <c r="CQ15" s="30">
        <v>4.783732365305768E-3</v>
      </c>
      <c r="CR15" s="43">
        <v>-2.24E-4</v>
      </c>
      <c r="CS15" s="43">
        <v>-2.24E-4</v>
      </c>
      <c r="CT15" s="43">
        <v>-2.1900000000000001E-4</v>
      </c>
      <c r="CU15" s="30">
        <v>5.7402597319724351E-3</v>
      </c>
      <c r="CV15" s="43">
        <v>-2.24E-4</v>
      </c>
      <c r="CW15" s="43">
        <v>-2.24E-4</v>
      </c>
      <c r="CX15" s="43">
        <v>-2.1900000000000001E-4</v>
      </c>
    </row>
    <row r="16" spans="2:103" x14ac:dyDescent="0.25">
      <c r="B16" s="76"/>
      <c r="C16" s="76"/>
      <c r="N16" s="30">
        <v>5.4669660986391005E-3</v>
      </c>
      <c r="O16" s="43">
        <v>-2.6499999999999999E-4</v>
      </c>
      <c r="P16" s="43">
        <v>-2.52E-4</v>
      </c>
      <c r="Q16" s="43">
        <v>-1.08E-4</v>
      </c>
      <c r="R16" s="30">
        <v>6.5601402319724351E-3</v>
      </c>
      <c r="S16" s="43">
        <v>-2.5700000000000001E-4</v>
      </c>
      <c r="T16" s="43">
        <v>-2.4600000000000002E-4</v>
      </c>
      <c r="U16" s="43">
        <v>-1.13E-4</v>
      </c>
      <c r="W16" s="30">
        <v>5.4669660986391005E-3</v>
      </c>
      <c r="X16" s="43">
        <v>-3.7199999999999999E-4</v>
      </c>
      <c r="Y16" s="43">
        <v>-3.4299999999999999E-4</v>
      </c>
      <c r="Z16" s="43">
        <v>-1.5E-5</v>
      </c>
      <c r="AA16" s="30">
        <v>6.5601402319724351E-3</v>
      </c>
      <c r="AB16" s="43">
        <v>-3.7100000000000002E-4</v>
      </c>
      <c r="AC16" s="43">
        <v>-3.4200000000000002E-4</v>
      </c>
      <c r="AD16" s="43">
        <v>-1.4E-5</v>
      </c>
      <c r="AF16" s="30">
        <v>5.4669660986391005E-3</v>
      </c>
      <c r="AG16" s="43">
        <v>-2.8699999999999998E-4</v>
      </c>
      <c r="AH16" s="43">
        <v>-2.8800000000000001E-4</v>
      </c>
      <c r="AI16" s="43">
        <v>-1.5899999999999999E-4</v>
      </c>
      <c r="AJ16" s="30">
        <v>6.5601402319724351E-3</v>
      </c>
      <c r="AK16" s="43">
        <v>-2.9999999999999997E-4</v>
      </c>
      <c r="AL16" s="43">
        <v>-3.01E-4</v>
      </c>
      <c r="AM16" s="43">
        <v>-1.46E-4</v>
      </c>
      <c r="AO16" s="30">
        <v>5.4669660986391005E-3</v>
      </c>
      <c r="AP16" s="43">
        <v>-2.4499999999999999E-4</v>
      </c>
      <c r="AQ16" s="43">
        <v>-2.4499999999999999E-4</v>
      </c>
      <c r="AR16" s="43">
        <v>-1.9699999999999999E-4</v>
      </c>
      <c r="AS16" s="30">
        <v>6.5601402319724351E-3</v>
      </c>
      <c r="AT16" s="43">
        <v>-2.4899999999999998E-4</v>
      </c>
      <c r="AU16" s="43">
        <v>-2.4899999999999998E-4</v>
      </c>
      <c r="AV16" s="43">
        <v>-1.92E-4</v>
      </c>
      <c r="AX16" s="30">
        <v>5.4669660986391005E-3</v>
      </c>
      <c r="AY16" s="43">
        <v>-2.8899999999999998E-4</v>
      </c>
      <c r="AZ16" s="43">
        <v>-2.9E-4</v>
      </c>
      <c r="BA16" s="43">
        <v>-1.5799999999999999E-4</v>
      </c>
      <c r="BB16" s="30">
        <v>6.5601402319724351E-3</v>
      </c>
      <c r="BC16" s="43">
        <v>-3.0200000000000002E-4</v>
      </c>
      <c r="BD16" s="43">
        <v>-3.0299999999999999E-4</v>
      </c>
      <c r="BE16" s="43">
        <v>-1.45E-4</v>
      </c>
      <c r="BG16" s="30">
        <v>5.4669660986391005E-3</v>
      </c>
      <c r="BH16" s="43">
        <v>-2.42E-4</v>
      </c>
      <c r="BI16" s="43">
        <v>-2.42E-4</v>
      </c>
      <c r="BJ16" s="43">
        <v>-2.0000000000000001E-4</v>
      </c>
      <c r="BK16" s="30">
        <v>6.5601402319724351E-3</v>
      </c>
      <c r="BL16" s="43">
        <v>-2.4600000000000002E-4</v>
      </c>
      <c r="BM16" s="43">
        <v>-2.4600000000000002E-4</v>
      </c>
      <c r="BN16" s="43">
        <v>-1.9599999999999999E-4</v>
      </c>
      <c r="BP16" s="30">
        <v>5.4669660986391005E-3</v>
      </c>
      <c r="BQ16" s="43">
        <v>-2.4699999999999999E-4</v>
      </c>
      <c r="BR16" s="43">
        <v>-2.4000000000000001E-4</v>
      </c>
      <c r="BS16" s="43">
        <v>-3.3000000000000003E-5</v>
      </c>
      <c r="BT16" s="30">
        <v>6.5601402319724351E-3</v>
      </c>
      <c r="BU16" s="43">
        <v>-2.5900000000000001E-4</v>
      </c>
      <c r="BV16" s="43">
        <v>-2.52E-4</v>
      </c>
      <c r="BW16" s="43">
        <v>-2.0000000000000002E-5</v>
      </c>
      <c r="BY16" s="30">
        <v>5.4669660986391005E-3</v>
      </c>
      <c r="BZ16" s="43">
        <v>-2.42E-4</v>
      </c>
      <c r="CA16" s="43">
        <v>-2.2800000000000001E-4</v>
      </c>
      <c r="CB16" s="43">
        <v>-4.0000000000000003E-5</v>
      </c>
      <c r="CC16" s="30">
        <v>6.5601402319724351E-3</v>
      </c>
      <c r="CD16" s="43">
        <v>-2.4600000000000002E-4</v>
      </c>
      <c r="CE16" s="43">
        <v>-2.32E-4</v>
      </c>
      <c r="CF16" s="43">
        <v>-3.6000000000000001E-5</v>
      </c>
      <c r="CH16" s="30">
        <v>5.4669660986391005E-3</v>
      </c>
      <c r="CI16" s="43">
        <v>-2.5900000000000001E-4</v>
      </c>
      <c r="CJ16" s="43">
        <v>-2.5300000000000002E-4</v>
      </c>
      <c r="CK16" s="43">
        <v>-1.95E-4</v>
      </c>
      <c r="CL16" s="30">
        <v>6.5601402319724351E-3</v>
      </c>
      <c r="CM16" s="43">
        <v>-2.6600000000000001E-4</v>
      </c>
      <c r="CN16" s="43">
        <v>-2.5900000000000001E-4</v>
      </c>
      <c r="CO16" s="43">
        <v>-1.8900000000000001E-4</v>
      </c>
      <c r="CQ16" s="30">
        <v>5.4669660986391005E-3</v>
      </c>
      <c r="CR16" s="43">
        <v>-2.24E-4</v>
      </c>
      <c r="CS16" s="43">
        <v>-2.24E-4</v>
      </c>
      <c r="CT16" s="43">
        <v>-2.1900000000000001E-4</v>
      </c>
      <c r="CU16" s="30">
        <v>6.5601402319724351E-3</v>
      </c>
      <c r="CV16" s="43">
        <v>-2.24E-4</v>
      </c>
      <c r="CW16" s="43">
        <v>-2.24E-4</v>
      </c>
      <c r="CX16" s="43">
        <v>-2.1900000000000001E-4</v>
      </c>
    </row>
    <row r="17" spans="2:102" x14ac:dyDescent="0.25">
      <c r="B17" s="76"/>
      <c r="C17" s="76"/>
      <c r="H17" s="75" t="s">
        <v>105</v>
      </c>
      <c r="I17" s="75"/>
      <c r="J17" s="75"/>
      <c r="K17" s="75"/>
      <c r="N17" s="30">
        <v>6.1501998319724339E-3</v>
      </c>
      <c r="O17" s="43">
        <v>-2.5999999999999998E-4</v>
      </c>
      <c r="P17" s="43">
        <v>-2.4800000000000001E-4</v>
      </c>
      <c r="Q17" s="43">
        <v>-1.11E-4</v>
      </c>
      <c r="R17" s="30">
        <v>7.3800207319724351E-3</v>
      </c>
      <c r="S17" s="43">
        <v>-2.5300000000000002E-4</v>
      </c>
      <c r="T17" s="43">
        <v>-2.42E-4</v>
      </c>
      <c r="U17" s="43">
        <v>-1.16E-4</v>
      </c>
      <c r="W17" s="30">
        <v>6.1501998319724339E-3</v>
      </c>
      <c r="X17" s="43">
        <v>-3.7100000000000002E-4</v>
      </c>
      <c r="Y17" s="43">
        <v>-3.4200000000000002E-4</v>
      </c>
      <c r="Z17" s="43">
        <v>-1.5E-5</v>
      </c>
      <c r="AA17" s="30">
        <v>7.3800207319724351E-3</v>
      </c>
      <c r="AB17" s="43">
        <v>-3.7100000000000002E-4</v>
      </c>
      <c r="AC17" s="43">
        <v>-3.4099999999999999E-4</v>
      </c>
      <c r="AD17" s="43">
        <v>-1.2999999999999999E-5</v>
      </c>
      <c r="AF17" s="30">
        <v>6.1501998319724339E-3</v>
      </c>
      <c r="AG17" s="43">
        <v>-2.9599999999999998E-4</v>
      </c>
      <c r="AH17" s="43">
        <v>-2.9599999999999998E-4</v>
      </c>
      <c r="AI17" s="43">
        <v>-1.5100000000000001E-4</v>
      </c>
      <c r="AJ17" s="30">
        <v>7.3800207319724351E-3</v>
      </c>
      <c r="AK17" s="43">
        <v>-3.1E-4</v>
      </c>
      <c r="AL17" s="43">
        <v>-3.1100000000000002E-4</v>
      </c>
      <c r="AM17" s="43">
        <v>-1.37E-4</v>
      </c>
      <c r="AO17" s="30">
        <v>6.1501998319724339E-3</v>
      </c>
      <c r="AP17" s="43">
        <v>-2.4699999999999999E-4</v>
      </c>
      <c r="AQ17" s="43">
        <v>-2.4699999999999999E-4</v>
      </c>
      <c r="AR17" s="43">
        <v>-1.94E-4</v>
      </c>
      <c r="AS17" s="30">
        <v>7.3800207319724351E-3</v>
      </c>
      <c r="AT17" s="43">
        <v>-2.52E-4</v>
      </c>
      <c r="AU17" s="43">
        <v>-2.52E-4</v>
      </c>
      <c r="AV17" s="43">
        <v>-1.8900000000000001E-4</v>
      </c>
      <c r="AX17" s="30">
        <v>6.1501998319724339E-3</v>
      </c>
      <c r="AY17" s="43">
        <v>-2.9700000000000001E-4</v>
      </c>
      <c r="AZ17" s="43">
        <v>-2.9799999999999998E-4</v>
      </c>
      <c r="BA17" s="43">
        <v>-1.4999999999999999E-4</v>
      </c>
      <c r="BB17" s="30">
        <v>7.3800207319724351E-3</v>
      </c>
      <c r="BC17" s="43">
        <v>-3.1199999999999999E-4</v>
      </c>
      <c r="BD17" s="43">
        <v>-3.1300000000000002E-4</v>
      </c>
      <c r="BE17" s="43">
        <v>-1.35E-4</v>
      </c>
      <c r="BG17" s="30">
        <v>6.1501998319724339E-3</v>
      </c>
      <c r="BH17" s="43">
        <v>-2.4499999999999999E-4</v>
      </c>
      <c r="BI17" s="43">
        <v>-2.4499999999999999E-4</v>
      </c>
      <c r="BJ17" s="43">
        <v>-1.9699999999999999E-4</v>
      </c>
      <c r="BK17" s="30">
        <v>7.3800207319724351E-3</v>
      </c>
      <c r="BL17" s="43">
        <v>-2.5000000000000001E-4</v>
      </c>
      <c r="BM17" s="43">
        <v>-2.5000000000000001E-4</v>
      </c>
      <c r="BN17" s="43">
        <v>-1.93E-4</v>
      </c>
      <c r="BP17" s="30">
        <v>6.1501998319724339E-3</v>
      </c>
      <c r="BQ17" s="43">
        <v>-2.5500000000000002E-4</v>
      </c>
      <c r="BR17" s="43">
        <v>-2.4800000000000001E-4</v>
      </c>
      <c r="BS17" s="43">
        <v>-2.5000000000000001E-5</v>
      </c>
      <c r="BT17" s="30">
        <v>7.3800207319724351E-3</v>
      </c>
      <c r="BU17" s="43">
        <v>-2.6899999999999998E-4</v>
      </c>
      <c r="BV17" s="43">
        <v>-2.6200000000000003E-4</v>
      </c>
      <c r="BW17" s="43">
        <v>-1.1E-5</v>
      </c>
      <c r="BY17" s="30">
        <v>6.1501998319724339E-3</v>
      </c>
      <c r="BZ17" s="43">
        <v>-2.4499999999999999E-4</v>
      </c>
      <c r="CA17" s="43">
        <v>-2.31E-4</v>
      </c>
      <c r="CB17" s="43">
        <v>-3.6999999999999998E-5</v>
      </c>
      <c r="CC17" s="30">
        <v>7.3800207319724351E-3</v>
      </c>
      <c r="CD17" s="43">
        <v>-2.5000000000000001E-4</v>
      </c>
      <c r="CE17" s="43">
        <v>-2.3599999999999999E-4</v>
      </c>
      <c r="CF17" s="43">
        <v>-3.1999999999999999E-5</v>
      </c>
      <c r="CH17" s="30">
        <v>6.1501998319724339E-3</v>
      </c>
      <c r="CI17" s="43">
        <v>-2.63E-4</v>
      </c>
      <c r="CJ17" s="43">
        <v>-2.5700000000000001E-4</v>
      </c>
      <c r="CK17" s="43">
        <v>-1.9100000000000001E-4</v>
      </c>
      <c r="CL17" s="30">
        <v>7.3800207319724351E-3</v>
      </c>
      <c r="CM17" s="43">
        <v>-2.7099999999999997E-4</v>
      </c>
      <c r="CN17" s="43">
        <v>-2.63E-4</v>
      </c>
      <c r="CO17" s="43">
        <v>-1.85E-4</v>
      </c>
      <c r="CQ17" s="30">
        <v>6.1501998319724339E-3</v>
      </c>
      <c r="CR17" s="43">
        <v>-2.24E-4</v>
      </c>
      <c r="CS17" s="43">
        <v>-2.24E-4</v>
      </c>
      <c r="CT17" s="43">
        <v>-2.1900000000000001E-4</v>
      </c>
      <c r="CU17" s="30">
        <v>7.3800207319724351E-3</v>
      </c>
      <c r="CV17" s="43">
        <v>-2.24E-4</v>
      </c>
      <c r="CW17" s="43">
        <v>-2.24E-4</v>
      </c>
      <c r="CX17" s="43">
        <v>-2.1900000000000001E-4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6.8334335653057673E-3</v>
      </c>
      <c r="O18" s="43">
        <v>-2.5599999999999999E-4</v>
      </c>
      <c r="P18" s="43">
        <v>-2.4399999999999999E-4</v>
      </c>
      <c r="Q18" s="43">
        <v>-1.1400000000000001E-4</v>
      </c>
      <c r="R18" s="30">
        <v>8.1999012319724351E-3</v>
      </c>
      <c r="S18" s="43">
        <v>-2.5700000000000001E-4</v>
      </c>
      <c r="T18" s="43">
        <v>-2.4499999999999999E-4</v>
      </c>
      <c r="U18" s="43">
        <v>-1.11E-4</v>
      </c>
      <c r="W18" s="30">
        <v>6.8334335653057673E-3</v>
      </c>
      <c r="X18" s="43">
        <v>-3.7100000000000002E-4</v>
      </c>
      <c r="Y18" s="43">
        <v>-3.4200000000000002E-4</v>
      </c>
      <c r="Z18" s="43">
        <v>-1.4E-5</v>
      </c>
      <c r="AA18" s="30">
        <v>8.1999012319724351E-3</v>
      </c>
      <c r="AB18" s="43">
        <v>-3.6999999999999999E-4</v>
      </c>
      <c r="AC18" s="43">
        <v>-3.4099999999999999E-4</v>
      </c>
      <c r="AD18" s="43">
        <v>-1.2999999999999999E-5</v>
      </c>
      <c r="AF18" s="30">
        <v>6.8334335653057673E-3</v>
      </c>
      <c r="AG18" s="43">
        <v>-3.0400000000000002E-4</v>
      </c>
      <c r="AH18" s="43">
        <v>-3.0400000000000002E-4</v>
      </c>
      <c r="AI18" s="43">
        <v>-1.4300000000000001E-4</v>
      </c>
      <c r="AJ18" s="30">
        <v>8.1999012319724351E-3</v>
      </c>
      <c r="AK18" s="43">
        <v>-3.2000000000000003E-4</v>
      </c>
      <c r="AL18" s="43">
        <v>-3.21E-4</v>
      </c>
      <c r="AM18" s="43">
        <v>-1.27E-4</v>
      </c>
      <c r="AO18" s="30">
        <v>6.8334335653057673E-3</v>
      </c>
      <c r="AP18" s="43">
        <v>-2.5000000000000001E-4</v>
      </c>
      <c r="AQ18" s="43">
        <v>-2.5000000000000001E-4</v>
      </c>
      <c r="AR18" s="43">
        <v>-1.9100000000000001E-4</v>
      </c>
      <c r="AS18" s="30">
        <v>8.1999012319724351E-3</v>
      </c>
      <c r="AT18" s="43">
        <v>-2.5500000000000002E-4</v>
      </c>
      <c r="AU18" s="43">
        <v>-2.5599999999999999E-4</v>
      </c>
      <c r="AV18" s="43">
        <v>-1.8599999999999999E-4</v>
      </c>
      <c r="AX18" s="30">
        <v>6.8334335653057673E-3</v>
      </c>
      <c r="AY18" s="43">
        <v>-3.0499999999999999E-4</v>
      </c>
      <c r="AZ18" s="43">
        <v>-3.0600000000000001E-4</v>
      </c>
      <c r="BA18" s="43">
        <v>-1.4200000000000001E-4</v>
      </c>
      <c r="BB18" s="30">
        <v>8.1999012319724351E-3</v>
      </c>
      <c r="BC18" s="43">
        <v>-3.2200000000000002E-4</v>
      </c>
      <c r="BD18" s="43">
        <v>-3.2299999999999999E-4</v>
      </c>
      <c r="BE18" s="43">
        <v>-1.26E-4</v>
      </c>
      <c r="BG18" s="30">
        <v>6.8334335653057673E-3</v>
      </c>
      <c r="BH18" s="43">
        <v>-2.4699999999999999E-4</v>
      </c>
      <c r="BI18" s="43">
        <v>-2.4800000000000001E-4</v>
      </c>
      <c r="BJ18" s="43">
        <v>-1.95E-4</v>
      </c>
      <c r="BK18" s="30">
        <v>8.1999012319724351E-3</v>
      </c>
      <c r="BL18" s="43">
        <v>-2.5300000000000002E-4</v>
      </c>
      <c r="BM18" s="43">
        <v>-2.5300000000000002E-4</v>
      </c>
      <c r="BN18" s="43">
        <v>-1.8900000000000001E-4</v>
      </c>
      <c r="BP18" s="30">
        <v>6.8334335653057673E-3</v>
      </c>
      <c r="BQ18" s="43">
        <v>-2.63E-4</v>
      </c>
      <c r="BR18" s="43">
        <v>-2.5599999999999999E-4</v>
      </c>
      <c r="BS18" s="43">
        <v>-1.7E-5</v>
      </c>
      <c r="BT18" s="30">
        <v>8.1999012319724351E-3</v>
      </c>
      <c r="BU18" s="43">
        <v>-2.7900000000000001E-4</v>
      </c>
      <c r="BV18" s="43">
        <v>-2.72E-4</v>
      </c>
      <c r="BW18" s="43">
        <v>-9.9999999999999995E-7</v>
      </c>
      <c r="BY18" s="30">
        <v>6.8334335653057673E-3</v>
      </c>
      <c r="BZ18" s="43">
        <v>-2.4800000000000001E-4</v>
      </c>
      <c r="CA18" s="43">
        <v>-2.34E-4</v>
      </c>
      <c r="CB18" s="43">
        <v>-3.4E-5</v>
      </c>
      <c r="CC18" s="30">
        <v>8.1999012319724351E-3</v>
      </c>
      <c r="CD18" s="43">
        <v>-2.5300000000000002E-4</v>
      </c>
      <c r="CE18" s="43">
        <v>-2.3900000000000001E-4</v>
      </c>
      <c r="CF18" s="43">
        <v>-2.9E-5</v>
      </c>
      <c r="CH18" s="30">
        <v>6.8334335653057673E-3</v>
      </c>
      <c r="CI18" s="43">
        <v>-2.6800000000000001E-4</v>
      </c>
      <c r="CJ18" s="43">
        <v>-2.5999999999999998E-4</v>
      </c>
      <c r="CK18" s="43">
        <v>-1.8799999999999999E-4</v>
      </c>
      <c r="CL18" s="30">
        <v>8.1999012319724351E-3</v>
      </c>
      <c r="CM18" s="43">
        <v>-2.7599999999999999E-4</v>
      </c>
      <c r="CN18" s="43">
        <v>-2.6699999999999998E-4</v>
      </c>
      <c r="CO18" s="43">
        <v>-1.8100000000000001E-4</v>
      </c>
      <c r="CQ18" s="30">
        <v>6.8334335653057673E-3</v>
      </c>
      <c r="CR18" s="43">
        <v>-2.24E-4</v>
      </c>
      <c r="CS18" s="43">
        <v>-2.24E-4</v>
      </c>
      <c r="CT18" s="43">
        <v>-2.1900000000000001E-4</v>
      </c>
      <c r="CU18" s="30">
        <v>8.1999012319724351E-3</v>
      </c>
      <c r="CV18" s="43">
        <v>-2.24E-4</v>
      </c>
      <c r="CW18" s="43">
        <v>-2.24E-4</v>
      </c>
      <c r="CX18" s="43">
        <v>-2.1900000000000001E-4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7.5166672986390999E-3</v>
      </c>
      <c r="O19" s="43">
        <v>-2.5399999999999999E-4</v>
      </c>
      <c r="P19" s="43">
        <v>-2.42E-4</v>
      </c>
      <c r="Q19" s="43">
        <v>-1.15E-4</v>
      </c>
      <c r="R19" s="30">
        <v>8.1999012319724351E-3</v>
      </c>
      <c r="S19" s="43">
        <v>-2.5700000000000001E-4</v>
      </c>
      <c r="T19" s="43">
        <v>-2.4499999999999999E-4</v>
      </c>
      <c r="U19" s="43">
        <v>-1.11E-4</v>
      </c>
      <c r="W19" s="30">
        <v>7.5166672986390999E-3</v>
      </c>
      <c r="X19" s="43">
        <v>-3.7100000000000002E-4</v>
      </c>
      <c r="Y19" s="43">
        <v>-3.4099999999999999E-4</v>
      </c>
      <c r="Z19" s="43">
        <v>-1.2999999999999999E-5</v>
      </c>
      <c r="AA19" s="30">
        <v>8.1999012319724351E-3</v>
      </c>
      <c r="AB19" s="43">
        <v>-3.6999999999999999E-4</v>
      </c>
      <c r="AC19" s="43">
        <v>-3.4099999999999999E-4</v>
      </c>
      <c r="AD19" s="43">
        <v>-1.2999999999999999E-5</v>
      </c>
      <c r="AF19" s="30">
        <v>7.5166672986390999E-3</v>
      </c>
      <c r="AG19" s="43">
        <v>-3.1199999999999999E-4</v>
      </c>
      <c r="AH19" s="43">
        <v>-3.1300000000000002E-4</v>
      </c>
      <c r="AI19" s="43">
        <v>-1.35E-4</v>
      </c>
      <c r="AJ19" s="30">
        <v>8.1999012319724351E-3</v>
      </c>
      <c r="AK19" s="43">
        <v>-3.2000000000000003E-4</v>
      </c>
      <c r="AL19" s="43">
        <v>-3.21E-4</v>
      </c>
      <c r="AM19" s="43">
        <v>-1.27E-4</v>
      </c>
      <c r="AO19" s="30">
        <v>7.5166672986390999E-3</v>
      </c>
      <c r="AP19" s="43">
        <v>-2.5300000000000002E-4</v>
      </c>
      <c r="AQ19" s="43">
        <v>-2.5300000000000002E-4</v>
      </c>
      <c r="AR19" s="43">
        <v>-1.8900000000000001E-4</v>
      </c>
      <c r="AS19" s="30">
        <v>8.1999012319724351E-3</v>
      </c>
      <c r="AT19" s="43">
        <v>-2.5500000000000002E-4</v>
      </c>
      <c r="AU19" s="43">
        <v>-2.5599999999999999E-4</v>
      </c>
      <c r="AV19" s="43">
        <v>-1.8599999999999999E-4</v>
      </c>
      <c r="AX19" s="30">
        <v>7.5166672986390999E-3</v>
      </c>
      <c r="AY19" s="43">
        <v>-3.1300000000000002E-4</v>
      </c>
      <c r="AZ19" s="43">
        <v>-3.1399999999999999E-4</v>
      </c>
      <c r="BA19" s="43">
        <v>-1.34E-4</v>
      </c>
      <c r="BB19" s="30">
        <v>8.1999012319724351E-3</v>
      </c>
      <c r="BC19" s="43">
        <v>-3.2200000000000002E-4</v>
      </c>
      <c r="BD19" s="43">
        <v>-3.2299999999999999E-4</v>
      </c>
      <c r="BE19" s="43">
        <v>-1.26E-4</v>
      </c>
      <c r="BG19" s="30">
        <v>7.5166672986390999E-3</v>
      </c>
      <c r="BH19" s="43">
        <v>-2.5000000000000001E-4</v>
      </c>
      <c r="BI19" s="43">
        <v>-2.5000000000000001E-4</v>
      </c>
      <c r="BJ19" s="43">
        <v>-1.92E-4</v>
      </c>
      <c r="BK19" s="30">
        <v>8.1999012319724351E-3</v>
      </c>
      <c r="BL19" s="43">
        <v>-2.5300000000000002E-4</v>
      </c>
      <c r="BM19" s="43">
        <v>-2.5300000000000002E-4</v>
      </c>
      <c r="BN19" s="43">
        <v>-1.8900000000000001E-4</v>
      </c>
      <c r="BP19" s="30">
        <v>7.5166672986390999E-3</v>
      </c>
      <c r="BQ19" s="43">
        <v>-2.7099999999999997E-4</v>
      </c>
      <c r="BR19" s="43">
        <v>-2.6400000000000002E-4</v>
      </c>
      <c r="BS19" s="43">
        <v>-9.0000000000000002E-6</v>
      </c>
      <c r="BT19" s="30">
        <v>8.1999012319724351E-3</v>
      </c>
      <c r="BU19" s="43">
        <v>-2.7900000000000001E-4</v>
      </c>
      <c r="BV19" s="43">
        <v>-2.72E-4</v>
      </c>
      <c r="BW19" s="43">
        <v>-9.9999999999999995E-7</v>
      </c>
      <c r="BY19" s="30">
        <v>7.5166672986390999E-3</v>
      </c>
      <c r="BZ19" s="43">
        <v>-2.5000000000000001E-4</v>
      </c>
      <c r="CA19" s="43">
        <v>-2.3599999999999999E-4</v>
      </c>
      <c r="CB19" s="43">
        <v>-3.1999999999999999E-5</v>
      </c>
      <c r="CC19" s="30">
        <v>8.1999012319724351E-3</v>
      </c>
      <c r="CD19" s="43">
        <v>-2.5300000000000002E-4</v>
      </c>
      <c r="CE19" s="43">
        <v>-2.3900000000000001E-4</v>
      </c>
      <c r="CF19" s="43">
        <v>-2.9E-5</v>
      </c>
      <c r="CH19" s="30">
        <v>7.5166672986390999E-3</v>
      </c>
      <c r="CI19" s="43">
        <v>-2.72E-4</v>
      </c>
      <c r="CJ19" s="43">
        <v>-2.6400000000000002E-4</v>
      </c>
      <c r="CK19" s="43">
        <v>-1.85E-4</v>
      </c>
      <c r="CL19" s="30">
        <v>8.1999012319724351E-3</v>
      </c>
      <c r="CM19" s="43">
        <v>-2.7599999999999999E-4</v>
      </c>
      <c r="CN19" s="43">
        <v>-2.6699999999999998E-4</v>
      </c>
      <c r="CO19" s="43">
        <v>-1.8100000000000001E-4</v>
      </c>
      <c r="CQ19" s="30">
        <v>7.5166672986390999E-3</v>
      </c>
      <c r="CR19" s="43">
        <v>-2.24E-4</v>
      </c>
      <c r="CS19" s="43">
        <v>-2.24E-4</v>
      </c>
      <c r="CT19" s="43">
        <v>-2.1900000000000001E-4</v>
      </c>
      <c r="CU19" s="30">
        <v>8.1999012319724351E-3</v>
      </c>
      <c r="CV19" s="43">
        <v>-2.24E-4</v>
      </c>
      <c r="CW19" s="43">
        <v>-2.24E-4</v>
      </c>
      <c r="CX19" s="43">
        <v>-2.1900000000000001E-4</v>
      </c>
    </row>
    <row r="20" spans="2:102" x14ac:dyDescent="0.25">
      <c r="H20" s="2">
        <v>4.099512023197243E-2</v>
      </c>
      <c r="I20" s="1">
        <v>-2.5000000000000001E-3</v>
      </c>
      <c r="J20" s="2">
        <v>0.2001720772580908</v>
      </c>
      <c r="K20" s="1"/>
      <c r="N20" s="30">
        <v>8.1999010319724341E-3</v>
      </c>
      <c r="O20" s="43">
        <v>-2.5700000000000001E-4</v>
      </c>
      <c r="P20" s="43">
        <v>-2.4499999999999999E-4</v>
      </c>
      <c r="Q20" s="43">
        <v>-1.11E-4</v>
      </c>
      <c r="R20" s="30">
        <v>9.0197817319724351E-3</v>
      </c>
      <c r="S20" s="43">
        <v>-2.61E-4</v>
      </c>
      <c r="T20" s="43">
        <v>-2.4800000000000001E-4</v>
      </c>
      <c r="U20" s="43">
        <v>-1.06E-4</v>
      </c>
      <c r="W20" s="30">
        <v>8.1999010319724341E-3</v>
      </c>
      <c r="X20" s="43">
        <v>-3.6999999999999999E-4</v>
      </c>
      <c r="Y20" s="43">
        <v>-3.4099999999999999E-4</v>
      </c>
      <c r="Z20" s="43">
        <v>-1.2999999999999999E-5</v>
      </c>
      <c r="AA20" s="30">
        <v>9.0197817319724351E-3</v>
      </c>
      <c r="AB20" s="43">
        <v>-3.6999999999999999E-4</v>
      </c>
      <c r="AC20" s="43">
        <v>-3.4000000000000002E-4</v>
      </c>
      <c r="AD20" s="43">
        <v>-1.2E-5</v>
      </c>
      <c r="AF20" s="30">
        <v>8.1999010319724341E-3</v>
      </c>
      <c r="AG20" s="43">
        <v>-3.2000000000000003E-4</v>
      </c>
      <c r="AH20" s="43">
        <v>-3.21E-4</v>
      </c>
      <c r="AI20" s="43">
        <v>-1.27E-4</v>
      </c>
      <c r="AJ20" s="30">
        <v>9.0197817319724351E-3</v>
      </c>
      <c r="AK20" s="43">
        <v>-3.2899999999999997E-4</v>
      </c>
      <c r="AL20" s="43">
        <v>-3.3100000000000002E-4</v>
      </c>
      <c r="AM20" s="43">
        <v>-1.17E-4</v>
      </c>
      <c r="AO20" s="30">
        <v>8.1999010319724341E-3</v>
      </c>
      <c r="AP20" s="43">
        <v>-2.5500000000000002E-4</v>
      </c>
      <c r="AQ20" s="43">
        <v>-2.5599999999999999E-4</v>
      </c>
      <c r="AR20" s="43">
        <v>-1.8599999999999999E-4</v>
      </c>
      <c r="AS20" s="30">
        <v>9.0197817319724351E-3</v>
      </c>
      <c r="AT20" s="43">
        <v>-2.5900000000000001E-4</v>
      </c>
      <c r="AU20" s="43">
        <v>-2.5900000000000001E-4</v>
      </c>
      <c r="AV20" s="43">
        <v>-1.83E-4</v>
      </c>
      <c r="AX20" s="30">
        <v>8.1999010319724341E-3</v>
      </c>
      <c r="AY20" s="43">
        <v>-3.2200000000000002E-4</v>
      </c>
      <c r="AZ20" s="43">
        <v>-3.2299999999999999E-4</v>
      </c>
      <c r="BA20" s="43">
        <v>-1.26E-4</v>
      </c>
      <c r="BB20" s="30">
        <v>9.0197817319724351E-3</v>
      </c>
      <c r="BC20" s="43">
        <v>-3.3100000000000002E-4</v>
      </c>
      <c r="BD20" s="43">
        <v>-3.3300000000000002E-4</v>
      </c>
      <c r="BE20" s="43">
        <v>-1.16E-4</v>
      </c>
      <c r="BG20" s="30">
        <v>8.1999010319724341E-3</v>
      </c>
      <c r="BH20" s="43">
        <v>-2.5300000000000002E-4</v>
      </c>
      <c r="BI20" s="43">
        <v>-2.5300000000000002E-4</v>
      </c>
      <c r="BJ20" s="43">
        <v>-1.8900000000000001E-4</v>
      </c>
      <c r="BK20" s="30">
        <v>9.0197817319724351E-3</v>
      </c>
      <c r="BL20" s="43">
        <v>-2.5599999999999999E-4</v>
      </c>
      <c r="BM20" s="43">
        <v>-2.5599999999999999E-4</v>
      </c>
      <c r="BN20" s="43">
        <v>-1.8599999999999999E-4</v>
      </c>
      <c r="BP20" s="30">
        <v>8.1999010319724341E-3</v>
      </c>
      <c r="BQ20" s="43">
        <v>-2.7900000000000001E-4</v>
      </c>
      <c r="BR20" s="43">
        <v>-2.72E-4</v>
      </c>
      <c r="BS20" s="43">
        <v>-9.9999999999999995E-7</v>
      </c>
      <c r="BT20" s="30">
        <v>9.0197817319724351E-3</v>
      </c>
      <c r="BU20" s="43">
        <v>-2.8800000000000001E-4</v>
      </c>
      <c r="BV20" s="43">
        <v>-2.81E-4</v>
      </c>
      <c r="BW20" s="43">
        <v>7.9999999999999996E-6</v>
      </c>
      <c r="BY20" s="30">
        <v>8.1999010319724341E-3</v>
      </c>
      <c r="BZ20" s="43">
        <v>-2.5300000000000002E-4</v>
      </c>
      <c r="CA20" s="43">
        <v>-2.3900000000000001E-4</v>
      </c>
      <c r="CB20" s="43">
        <v>-2.9E-5</v>
      </c>
      <c r="CC20" s="30">
        <v>9.0197817319724351E-3</v>
      </c>
      <c r="CD20" s="43">
        <v>-2.5700000000000001E-4</v>
      </c>
      <c r="CE20" s="43">
        <v>-2.43E-4</v>
      </c>
      <c r="CF20" s="43">
        <v>-2.5000000000000001E-5</v>
      </c>
      <c r="CH20" s="30">
        <v>8.1999010319724341E-3</v>
      </c>
      <c r="CI20" s="43">
        <v>-2.7599999999999999E-4</v>
      </c>
      <c r="CJ20" s="43">
        <v>-2.6699999999999998E-4</v>
      </c>
      <c r="CK20" s="43">
        <v>-1.8100000000000001E-4</v>
      </c>
      <c r="CL20" s="30">
        <v>9.0197817319724351E-3</v>
      </c>
      <c r="CM20" s="43">
        <v>-2.81E-4</v>
      </c>
      <c r="CN20" s="43">
        <v>-2.72E-4</v>
      </c>
      <c r="CO20" s="43">
        <v>-1.7699999999999999E-4</v>
      </c>
      <c r="CQ20" s="30">
        <v>8.1999010319724341E-3</v>
      </c>
      <c r="CR20" s="43">
        <v>-2.24E-4</v>
      </c>
      <c r="CS20" s="43">
        <v>-2.24E-4</v>
      </c>
      <c r="CT20" s="43">
        <v>-2.1900000000000001E-4</v>
      </c>
      <c r="CU20" s="30">
        <v>9.0197817319724351E-3</v>
      </c>
      <c r="CV20" s="43">
        <v>-2.24E-4</v>
      </c>
      <c r="CW20" s="43">
        <v>-2.24E-4</v>
      </c>
      <c r="CX20" s="43">
        <v>-2.1900000000000001E-4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8.8831347653057675E-3</v>
      </c>
      <c r="O21" s="43">
        <v>-2.5999999999999998E-4</v>
      </c>
      <c r="P21" s="43">
        <v>-2.4800000000000001E-4</v>
      </c>
      <c r="Q21" s="43">
        <v>-1.07E-4</v>
      </c>
      <c r="R21" s="30">
        <v>9.8396622319724351E-3</v>
      </c>
      <c r="S21" s="43">
        <v>-2.6499999999999999E-4</v>
      </c>
      <c r="T21" s="43">
        <v>-2.52E-4</v>
      </c>
      <c r="U21" s="43">
        <v>-1.02E-4</v>
      </c>
      <c r="W21" s="30">
        <v>8.8831347653057675E-3</v>
      </c>
      <c r="X21" s="43">
        <v>-3.6999999999999999E-4</v>
      </c>
      <c r="Y21" s="43">
        <v>-3.4000000000000002E-4</v>
      </c>
      <c r="Z21" s="43">
        <v>-1.2E-5</v>
      </c>
      <c r="AA21" s="30">
        <v>9.8396622319724351E-3</v>
      </c>
      <c r="AB21" s="43">
        <v>-3.6900000000000002E-4</v>
      </c>
      <c r="AC21" s="43">
        <v>-3.4000000000000002E-4</v>
      </c>
      <c r="AD21" s="43">
        <v>-1.1E-5</v>
      </c>
      <c r="AF21" s="30">
        <v>8.8831347653057675E-3</v>
      </c>
      <c r="AG21" s="43">
        <v>-3.28E-4</v>
      </c>
      <c r="AH21" s="43">
        <v>-3.2899999999999997E-4</v>
      </c>
      <c r="AI21" s="43">
        <v>-1.1900000000000001E-4</v>
      </c>
      <c r="AJ21" s="30">
        <v>9.8396622319724351E-3</v>
      </c>
      <c r="AK21" s="43">
        <v>-3.39E-4</v>
      </c>
      <c r="AL21" s="43">
        <v>-3.4099999999999999E-4</v>
      </c>
      <c r="AM21" s="43">
        <v>-1.08E-4</v>
      </c>
      <c r="AO21" s="30">
        <v>8.8831347653057675E-3</v>
      </c>
      <c r="AP21" s="43">
        <v>-2.5799999999999998E-4</v>
      </c>
      <c r="AQ21" s="43">
        <v>-2.5799999999999998E-4</v>
      </c>
      <c r="AR21" s="43">
        <v>-1.83E-4</v>
      </c>
      <c r="AS21" s="30">
        <v>9.8396622319724351E-3</v>
      </c>
      <c r="AT21" s="43">
        <v>-2.6200000000000003E-4</v>
      </c>
      <c r="AU21" s="43">
        <v>-2.6200000000000003E-4</v>
      </c>
      <c r="AV21" s="43">
        <v>-1.8000000000000001E-4</v>
      </c>
      <c r="AX21" s="30">
        <v>8.8831347653057675E-3</v>
      </c>
      <c r="AY21" s="43">
        <v>-3.3E-4</v>
      </c>
      <c r="AZ21" s="43">
        <v>-3.3100000000000002E-4</v>
      </c>
      <c r="BA21" s="43">
        <v>-1.18E-4</v>
      </c>
      <c r="BB21" s="30">
        <v>9.8396622319724351E-3</v>
      </c>
      <c r="BC21" s="43">
        <v>-3.4099999999999999E-4</v>
      </c>
      <c r="BD21" s="43">
        <v>-3.4200000000000002E-4</v>
      </c>
      <c r="BE21" s="43">
        <v>-1.07E-4</v>
      </c>
      <c r="BG21" s="30">
        <v>8.8831347653057675E-3</v>
      </c>
      <c r="BH21" s="43">
        <v>-2.5599999999999999E-4</v>
      </c>
      <c r="BI21" s="43">
        <v>-2.5599999999999999E-4</v>
      </c>
      <c r="BJ21" s="43">
        <v>-1.8699999999999999E-4</v>
      </c>
      <c r="BK21" s="30">
        <v>9.8396622319724351E-3</v>
      </c>
      <c r="BL21" s="43">
        <v>-2.5900000000000001E-4</v>
      </c>
      <c r="BM21" s="43">
        <v>-2.5999999999999998E-4</v>
      </c>
      <c r="BN21" s="43">
        <v>-1.83E-4</v>
      </c>
      <c r="BP21" s="30">
        <v>8.8831347653057675E-3</v>
      </c>
      <c r="BQ21" s="43">
        <v>-2.8699999999999998E-4</v>
      </c>
      <c r="BR21" s="43">
        <v>-2.7999999999999998E-4</v>
      </c>
      <c r="BS21" s="43">
        <v>6.9999999999999999E-6</v>
      </c>
      <c r="BT21" s="30">
        <v>9.8396622319724351E-3</v>
      </c>
      <c r="BU21" s="43">
        <v>-2.9799999999999998E-4</v>
      </c>
      <c r="BV21" s="43">
        <v>-2.9100000000000003E-4</v>
      </c>
      <c r="BW21" s="43">
        <v>1.8E-5</v>
      </c>
      <c r="BY21" s="30">
        <v>8.8831347653057675E-3</v>
      </c>
      <c r="BZ21" s="43">
        <v>-2.5599999999999999E-4</v>
      </c>
      <c r="CA21" s="43">
        <v>-2.42E-4</v>
      </c>
      <c r="CB21" s="43">
        <v>-2.5999999999999998E-5</v>
      </c>
      <c r="CC21" s="30">
        <v>9.8396622319724351E-3</v>
      </c>
      <c r="CD21" s="43">
        <v>-2.5999999999999998E-4</v>
      </c>
      <c r="CE21" s="43">
        <v>-2.4600000000000002E-4</v>
      </c>
      <c r="CF21" s="43">
        <v>-2.1999999999999999E-5</v>
      </c>
      <c r="CH21" s="30">
        <v>8.8831347653057675E-3</v>
      </c>
      <c r="CI21" s="43">
        <v>-2.7999999999999998E-4</v>
      </c>
      <c r="CJ21" s="43">
        <v>-2.7099999999999997E-4</v>
      </c>
      <c r="CK21" s="43">
        <v>-1.7799999999999999E-4</v>
      </c>
      <c r="CL21" s="30">
        <v>9.8396622319724351E-3</v>
      </c>
      <c r="CM21" s="43">
        <v>-2.8600000000000001E-4</v>
      </c>
      <c r="CN21" s="43">
        <v>-2.7599999999999999E-4</v>
      </c>
      <c r="CO21" s="43">
        <v>-1.73E-4</v>
      </c>
      <c r="CQ21" s="30">
        <v>8.8831347653057675E-3</v>
      </c>
      <c r="CR21" s="43">
        <v>-2.24E-4</v>
      </c>
      <c r="CS21" s="43">
        <v>-2.24E-4</v>
      </c>
      <c r="CT21" s="43">
        <v>-2.1900000000000001E-4</v>
      </c>
      <c r="CU21" s="30">
        <v>9.8396622319724351E-3</v>
      </c>
      <c r="CV21" s="43">
        <v>-2.24E-4</v>
      </c>
      <c r="CW21" s="43">
        <v>-2.24E-4</v>
      </c>
      <c r="CX21" s="43">
        <v>-2.1900000000000001E-4</v>
      </c>
    </row>
    <row r="22" spans="2:102" x14ac:dyDescent="0.25">
      <c r="H22" s="2">
        <v>0</v>
      </c>
      <c r="I22" s="1">
        <v>-4.033204516914626E-3</v>
      </c>
      <c r="J22" s="2">
        <v>0</v>
      </c>
      <c r="K22" s="1"/>
      <c r="N22" s="30">
        <v>9.5663684986391009E-3</v>
      </c>
      <c r="O22" s="43">
        <v>-2.6400000000000002E-4</v>
      </c>
      <c r="P22" s="43">
        <v>-2.5099999999999998E-4</v>
      </c>
      <c r="Q22" s="43">
        <v>-1.03E-4</v>
      </c>
      <c r="R22" s="30">
        <v>1.0659542731972435E-2</v>
      </c>
      <c r="S22" s="43">
        <v>-2.6899999999999998E-4</v>
      </c>
      <c r="T22" s="43">
        <v>-2.5500000000000002E-4</v>
      </c>
      <c r="U22" s="43">
        <v>-9.7E-5</v>
      </c>
      <c r="W22" s="30">
        <v>9.5663684986391009E-3</v>
      </c>
      <c r="X22" s="43">
        <v>-3.6900000000000002E-4</v>
      </c>
      <c r="Y22" s="43">
        <v>-3.4000000000000002E-4</v>
      </c>
      <c r="Z22" s="43">
        <v>-1.1E-5</v>
      </c>
      <c r="AA22" s="30">
        <v>1.0659542731972435E-2</v>
      </c>
      <c r="AB22" s="43">
        <v>-3.68E-4</v>
      </c>
      <c r="AC22" s="43">
        <v>-3.39E-4</v>
      </c>
      <c r="AD22" s="43">
        <v>-1.0000000000000001E-5</v>
      </c>
      <c r="AF22" s="30">
        <v>9.5663684986391009E-3</v>
      </c>
      <c r="AG22" s="43">
        <v>-3.3599999999999998E-4</v>
      </c>
      <c r="AH22" s="43">
        <v>-3.3700000000000001E-4</v>
      </c>
      <c r="AI22" s="43">
        <v>-1.11E-4</v>
      </c>
      <c r="AJ22" s="30">
        <v>1.0659542731972435E-2</v>
      </c>
      <c r="AK22" s="43">
        <v>-3.4900000000000003E-4</v>
      </c>
      <c r="AL22" s="43">
        <v>-3.5E-4</v>
      </c>
      <c r="AM22" s="43">
        <v>-9.7999999999999997E-5</v>
      </c>
      <c r="AO22" s="30">
        <v>9.5663684986391009E-3</v>
      </c>
      <c r="AP22" s="43">
        <v>-2.61E-4</v>
      </c>
      <c r="AQ22" s="43">
        <v>-2.61E-4</v>
      </c>
      <c r="AR22" s="43">
        <v>-1.8100000000000001E-4</v>
      </c>
      <c r="AS22" s="30">
        <v>1.0659542731972435E-2</v>
      </c>
      <c r="AT22" s="43">
        <v>-2.6499999999999999E-4</v>
      </c>
      <c r="AU22" s="43">
        <v>-2.6499999999999999E-4</v>
      </c>
      <c r="AV22" s="43">
        <v>-1.76E-4</v>
      </c>
      <c r="AX22" s="30">
        <v>9.5663684986391009E-3</v>
      </c>
      <c r="AY22" s="43">
        <v>-3.3799999999999998E-4</v>
      </c>
      <c r="AZ22" s="43">
        <v>-3.39E-4</v>
      </c>
      <c r="BA22" s="43">
        <v>-1.1E-4</v>
      </c>
      <c r="BB22" s="30">
        <v>1.0659542731972435E-2</v>
      </c>
      <c r="BC22" s="43">
        <v>-3.5100000000000002E-4</v>
      </c>
      <c r="BD22" s="43">
        <v>-3.5199999999999999E-4</v>
      </c>
      <c r="BE22" s="43">
        <v>-9.7E-5</v>
      </c>
      <c r="BG22" s="30">
        <v>9.5663684986391009E-3</v>
      </c>
      <c r="BH22" s="43">
        <v>-2.5799999999999998E-4</v>
      </c>
      <c r="BI22" s="43">
        <v>-2.5799999999999998E-4</v>
      </c>
      <c r="BJ22" s="43">
        <v>-1.84E-4</v>
      </c>
      <c r="BK22" s="30">
        <v>1.0659542731972435E-2</v>
      </c>
      <c r="BL22" s="43">
        <v>-2.63E-4</v>
      </c>
      <c r="BM22" s="43">
        <v>-2.63E-4</v>
      </c>
      <c r="BN22" s="43">
        <v>-1.8000000000000001E-4</v>
      </c>
      <c r="BP22" s="30">
        <v>9.5663684986391009E-3</v>
      </c>
      <c r="BQ22" s="43">
        <v>-2.9500000000000001E-4</v>
      </c>
      <c r="BR22" s="43">
        <v>-2.8800000000000001E-4</v>
      </c>
      <c r="BS22" s="43">
        <v>1.5E-5</v>
      </c>
      <c r="BT22" s="30">
        <v>1.0659542731972435E-2</v>
      </c>
      <c r="BU22" s="43">
        <v>-3.0699999999999998E-4</v>
      </c>
      <c r="BV22" s="43">
        <v>-3.01E-4</v>
      </c>
      <c r="BW22" s="43">
        <v>2.6999999999999999E-5</v>
      </c>
      <c r="BY22" s="30">
        <v>9.5663684986391009E-3</v>
      </c>
      <c r="BZ22" s="43">
        <v>-2.5900000000000001E-4</v>
      </c>
      <c r="CA22" s="43">
        <v>-2.4499999999999999E-4</v>
      </c>
      <c r="CB22" s="43">
        <v>-2.3E-5</v>
      </c>
      <c r="CC22" s="30">
        <v>1.0659542731972435E-2</v>
      </c>
      <c r="CD22" s="43">
        <v>-2.6400000000000002E-4</v>
      </c>
      <c r="CE22" s="43">
        <v>-2.5000000000000001E-4</v>
      </c>
      <c r="CF22" s="43">
        <v>-1.9000000000000001E-5</v>
      </c>
      <c r="CH22" s="30">
        <v>9.5663684986391009E-3</v>
      </c>
      <c r="CI22" s="43">
        <v>-2.8499999999999999E-4</v>
      </c>
      <c r="CJ22" s="43">
        <v>-2.7500000000000002E-4</v>
      </c>
      <c r="CK22" s="43">
        <v>-1.74E-4</v>
      </c>
      <c r="CL22" s="30">
        <v>1.0659542731972435E-2</v>
      </c>
      <c r="CM22" s="43">
        <v>-2.9100000000000003E-4</v>
      </c>
      <c r="CN22" s="43">
        <v>-2.7999999999999998E-4</v>
      </c>
      <c r="CO22" s="43">
        <v>-1.6899999999999999E-4</v>
      </c>
      <c r="CQ22" s="30">
        <v>9.5663684986391009E-3</v>
      </c>
      <c r="CR22" s="43">
        <v>-2.24E-4</v>
      </c>
      <c r="CS22" s="43">
        <v>-2.24E-4</v>
      </c>
      <c r="CT22" s="43">
        <v>-2.1900000000000001E-4</v>
      </c>
      <c r="CU22" s="30">
        <v>1.0659542731972435E-2</v>
      </c>
      <c r="CV22" s="43">
        <v>-2.24E-4</v>
      </c>
      <c r="CW22" s="43">
        <v>-2.23E-4</v>
      </c>
      <c r="CX22" s="43">
        <v>-2.1900000000000001E-4</v>
      </c>
    </row>
    <row r="23" spans="2:102" x14ac:dyDescent="0.25">
      <c r="H23" s="2">
        <v>4.099512023197243E-2</v>
      </c>
      <c r="I23" s="1">
        <v>-4.033204516914626E-3</v>
      </c>
      <c r="J23" s="2">
        <v>0.2001720772580908</v>
      </c>
      <c r="K23" s="1"/>
      <c r="N23" s="30">
        <v>1.0249602231972434E-2</v>
      </c>
      <c r="O23" s="43">
        <v>-2.6699999999999998E-4</v>
      </c>
      <c r="P23" s="43">
        <v>-2.5300000000000002E-4</v>
      </c>
      <c r="Q23" s="43">
        <v>-9.8999999999999994E-5</v>
      </c>
      <c r="R23" s="30">
        <v>1.1479423231972435E-2</v>
      </c>
      <c r="S23" s="43">
        <v>-2.7300000000000002E-4</v>
      </c>
      <c r="T23" s="43">
        <v>-2.5900000000000001E-4</v>
      </c>
      <c r="U23" s="43">
        <v>-9.2E-5</v>
      </c>
      <c r="W23" s="30">
        <v>1.0249602231972434E-2</v>
      </c>
      <c r="X23" s="43">
        <v>-3.6900000000000002E-4</v>
      </c>
      <c r="Y23" s="43">
        <v>-3.39E-4</v>
      </c>
      <c r="Z23" s="43">
        <v>-1.1E-5</v>
      </c>
      <c r="AA23" s="30">
        <v>1.1479423231972435E-2</v>
      </c>
      <c r="AB23" s="43">
        <v>-3.68E-4</v>
      </c>
      <c r="AC23" s="43">
        <v>-3.39E-4</v>
      </c>
      <c r="AD23" s="43">
        <v>-1.0000000000000001E-5</v>
      </c>
      <c r="AF23" s="30">
        <v>1.0249602231972434E-2</v>
      </c>
      <c r="AG23" s="43">
        <v>-3.4400000000000001E-4</v>
      </c>
      <c r="AH23" s="43">
        <v>-3.4499999999999998E-4</v>
      </c>
      <c r="AI23" s="43">
        <v>-1.03E-4</v>
      </c>
      <c r="AJ23" s="30">
        <v>1.1479423231972435E-2</v>
      </c>
      <c r="AK23" s="43">
        <v>-3.59E-4</v>
      </c>
      <c r="AL23" s="43">
        <v>-3.6000000000000002E-4</v>
      </c>
      <c r="AM23" s="43">
        <v>-8.7999999999999998E-5</v>
      </c>
      <c r="AO23" s="30">
        <v>1.0249602231972434E-2</v>
      </c>
      <c r="AP23" s="43">
        <v>-2.63E-4</v>
      </c>
      <c r="AQ23" s="43">
        <v>-2.6400000000000002E-4</v>
      </c>
      <c r="AR23" s="43">
        <v>-1.7799999999999999E-4</v>
      </c>
      <c r="AS23" s="30">
        <v>1.1479423231972435E-2</v>
      </c>
      <c r="AT23" s="43">
        <v>-2.6800000000000001E-4</v>
      </c>
      <c r="AU23" s="43">
        <v>-2.6899999999999998E-4</v>
      </c>
      <c r="AV23" s="43">
        <v>-1.73E-4</v>
      </c>
      <c r="AX23" s="30">
        <v>1.0249602231972434E-2</v>
      </c>
      <c r="AY23" s="43">
        <v>-3.4600000000000001E-4</v>
      </c>
      <c r="AZ23" s="43">
        <v>-3.4699999999999998E-4</v>
      </c>
      <c r="BA23" s="43">
        <v>-1.02E-4</v>
      </c>
      <c r="BB23" s="30">
        <v>1.1479423231972435E-2</v>
      </c>
      <c r="BC23" s="43">
        <v>-3.6099999999999999E-4</v>
      </c>
      <c r="BD23" s="43">
        <v>-3.6200000000000002E-4</v>
      </c>
      <c r="BE23" s="43">
        <v>-8.7000000000000001E-5</v>
      </c>
      <c r="BG23" s="30">
        <v>1.0249602231972434E-2</v>
      </c>
      <c r="BH23" s="43">
        <v>-2.61E-4</v>
      </c>
      <c r="BI23" s="43">
        <v>-2.61E-4</v>
      </c>
      <c r="BJ23" s="43">
        <v>-1.8200000000000001E-4</v>
      </c>
      <c r="BK23" s="30">
        <v>1.1479423231972435E-2</v>
      </c>
      <c r="BL23" s="43">
        <v>-2.6600000000000001E-4</v>
      </c>
      <c r="BM23" s="43">
        <v>-2.6600000000000001E-4</v>
      </c>
      <c r="BN23" s="43">
        <v>-1.7699999999999999E-4</v>
      </c>
      <c r="BP23" s="30">
        <v>1.0249602231972434E-2</v>
      </c>
      <c r="BQ23" s="43">
        <v>-3.0299999999999999E-4</v>
      </c>
      <c r="BR23" s="43">
        <v>-2.9599999999999998E-4</v>
      </c>
      <c r="BS23" s="43">
        <v>2.3E-5</v>
      </c>
      <c r="BT23" s="30">
        <v>1.1479423231972435E-2</v>
      </c>
      <c r="BU23" s="43">
        <v>-3.1700000000000001E-4</v>
      </c>
      <c r="BV23" s="43">
        <v>-3.1E-4</v>
      </c>
      <c r="BW23" s="43">
        <v>3.6999999999999998E-5</v>
      </c>
      <c r="BY23" s="30">
        <v>1.0249602231972434E-2</v>
      </c>
      <c r="BZ23" s="43">
        <v>-2.6200000000000003E-4</v>
      </c>
      <c r="CA23" s="43">
        <v>-2.4800000000000001E-4</v>
      </c>
      <c r="CB23" s="43">
        <v>-2.0000000000000002E-5</v>
      </c>
      <c r="CC23" s="30">
        <v>1.1479423231972435E-2</v>
      </c>
      <c r="CD23" s="43">
        <v>-2.6699999999999998E-4</v>
      </c>
      <c r="CE23" s="43">
        <v>-2.5300000000000002E-4</v>
      </c>
      <c r="CF23" s="43">
        <v>-1.5E-5</v>
      </c>
      <c r="CH23" s="30">
        <v>1.0249602231972434E-2</v>
      </c>
      <c r="CI23" s="43">
        <v>-2.8899999999999998E-4</v>
      </c>
      <c r="CJ23" s="43">
        <v>-2.7799999999999998E-4</v>
      </c>
      <c r="CK23" s="43">
        <v>-1.7100000000000001E-4</v>
      </c>
      <c r="CL23" s="30">
        <v>1.1479423231972435E-2</v>
      </c>
      <c r="CM23" s="43">
        <v>-2.9700000000000001E-4</v>
      </c>
      <c r="CN23" s="43">
        <v>-2.8499999999999999E-4</v>
      </c>
      <c r="CO23" s="43">
        <v>-1.64E-4</v>
      </c>
      <c r="CQ23" s="30">
        <v>1.0249602231972434E-2</v>
      </c>
      <c r="CR23" s="43">
        <v>-2.24E-4</v>
      </c>
      <c r="CS23" s="43">
        <v>-2.24E-4</v>
      </c>
      <c r="CT23" s="43">
        <v>-2.1900000000000001E-4</v>
      </c>
      <c r="CU23" s="30">
        <v>1.1479423231972435E-2</v>
      </c>
      <c r="CV23" s="43">
        <v>-2.24E-4</v>
      </c>
      <c r="CW23" s="43">
        <v>-2.23E-4</v>
      </c>
      <c r="CX23" s="43">
        <v>-2.1900000000000001E-4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1.0932835965305768E-2</v>
      </c>
      <c r="O24" s="43">
        <v>-2.7099999999999997E-4</v>
      </c>
      <c r="P24" s="43">
        <v>-2.5599999999999999E-4</v>
      </c>
      <c r="Q24" s="43">
        <v>-9.6000000000000002E-5</v>
      </c>
      <c r="R24" s="30">
        <v>1.2299303731972435E-2</v>
      </c>
      <c r="S24" s="43">
        <v>-2.7700000000000001E-4</v>
      </c>
      <c r="T24" s="43">
        <v>-2.6200000000000003E-4</v>
      </c>
      <c r="U24" s="43">
        <v>-8.7999999999999998E-5</v>
      </c>
      <c r="W24" s="30">
        <v>1.0932835965305768E-2</v>
      </c>
      <c r="X24" s="43">
        <v>-3.68E-4</v>
      </c>
      <c r="Y24" s="43">
        <v>-3.39E-4</v>
      </c>
      <c r="Z24" s="43">
        <v>-1.0000000000000001E-5</v>
      </c>
      <c r="AA24" s="30">
        <v>1.2299303731972435E-2</v>
      </c>
      <c r="AB24" s="43">
        <v>-3.6699999999999998E-4</v>
      </c>
      <c r="AC24" s="43">
        <v>-3.3799999999999998E-4</v>
      </c>
      <c r="AD24" s="43">
        <v>-9.0000000000000002E-6</v>
      </c>
      <c r="AF24" s="30">
        <v>1.0932835965305768E-2</v>
      </c>
      <c r="AG24" s="43">
        <v>-3.5199999999999999E-4</v>
      </c>
      <c r="AH24" s="43">
        <v>-3.5399999999999999E-4</v>
      </c>
      <c r="AI24" s="43">
        <v>-9.5000000000000005E-5</v>
      </c>
      <c r="AJ24" s="30">
        <v>1.2299303731972435E-2</v>
      </c>
      <c r="AK24" s="43">
        <v>-3.68E-4</v>
      </c>
      <c r="AL24" s="43">
        <v>-3.6999999999999999E-4</v>
      </c>
      <c r="AM24" s="43">
        <v>-7.8999999999999996E-5</v>
      </c>
      <c r="AO24" s="30">
        <v>1.0932835965305768E-2</v>
      </c>
      <c r="AP24" s="43">
        <v>-2.6600000000000001E-4</v>
      </c>
      <c r="AQ24" s="43">
        <v>-2.6600000000000001E-4</v>
      </c>
      <c r="AR24" s="43">
        <v>-1.75E-4</v>
      </c>
      <c r="AS24" s="30">
        <v>1.2299303731972435E-2</v>
      </c>
      <c r="AT24" s="43">
        <v>-2.7099999999999997E-4</v>
      </c>
      <c r="AU24" s="43">
        <v>-2.72E-4</v>
      </c>
      <c r="AV24" s="43">
        <v>-1.7000000000000001E-4</v>
      </c>
      <c r="AX24" s="30">
        <v>1.0932835965305768E-2</v>
      </c>
      <c r="AY24" s="43">
        <v>-3.5399999999999999E-4</v>
      </c>
      <c r="AZ24" s="43">
        <v>-3.5599999999999998E-4</v>
      </c>
      <c r="BA24" s="43">
        <v>-9.3999999999999994E-5</v>
      </c>
      <c r="BB24" s="30">
        <v>1.2299303731972435E-2</v>
      </c>
      <c r="BC24" s="43">
        <v>-3.6999999999999999E-4</v>
      </c>
      <c r="BD24" s="43">
        <v>-3.7199999999999999E-4</v>
      </c>
      <c r="BE24" s="43">
        <v>-7.7999999999999999E-5</v>
      </c>
      <c r="BG24" s="30">
        <v>1.0932835965305768E-2</v>
      </c>
      <c r="BH24" s="43">
        <v>-2.6400000000000002E-4</v>
      </c>
      <c r="BI24" s="43">
        <v>-2.6400000000000002E-4</v>
      </c>
      <c r="BJ24" s="43">
        <v>-1.7899999999999999E-4</v>
      </c>
      <c r="BK24" s="30">
        <v>1.2299303731972435E-2</v>
      </c>
      <c r="BL24" s="43">
        <v>-2.6899999999999998E-4</v>
      </c>
      <c r="BM24" s="43">
        <v>-2.6899999999999998E-4</v>
      </c>
      <c r="BN24" s="43">
        <v>-1.74E-4</v>
      </c>
      <c r="BP24" s="30">
        <v>1.0932835965305768E-2</v>
      </c>
      <c r="BQ24" s="43">
        <v>-3.1100000000000002E-4</v>
      </c>
      <c r="BR24" s="43">
        <v>-3.0400000000000002E-4</v>
      </c>
      <c r="BS24" s="43">
        <v>3.1000000000000001E-5</v>
      </c>
      <c r="BT24" s="30">
        <v>1.2299303731972435E-2</v>
      </c>
      <c r="BU24" s="43">
        <v>-3.2699999999999998E-4</v>
      </c>
      <c r="BV24" s="43">
        <v>-3.2000000000000003E-4</v>
      </c>
      <c r="BW24" s="43">
        <v>4.6E-5</v>
      </c>
      <c r="BY24" s="30">
        <v>1.0932835965305768E-2</v>
      </c>
      <c r="BZ24" s="43">
        <v>-2.6499999999999999E-4</v>
      </c>
      <c r="CA24" s="43">
        <v>-2.5099999999999998E-4</v>
      </c>
      <c r="CB24" s="43">
        <v>-1.8E-5</v>
      </c>
      <c r="CC24" s="30">
        <v>1.2299303731972435E-2</v>
      </c>
      <c r="CD24" s="43">
        <v>-2.7E-4</v>
      </c>
      <c r="CE24" s="43">
        <v>-2.5700000000000001E-4</v>
      </c>
      <c r="CF24" s="43">
        <v>-1.2E-5</v>
      </c>
      <c r="CH24" s="30">
        <v>1.0932835965305768E-2</v>
      </c>
      <c r="CI24" s="43">
        <v>-2.9300000000000002E-4</v>
      </c>
      <c r="CJ24" s="43">
        <v>-2.8200000000000002E-4</v>
      </c>
      <c r="CK24" s="43">
        <v>-1.6699999999999999E-4</v>
      </c>
      <c r="CL24" s="30">
        <v>1.2299303731972435E-2</v>
      </c>
      <c r="CM24" s="43">
        <v>-3.0200000000000002E-4</v>
      </c>
      <c r="CN24" s="43">
        <v>-2.8899999999999998E-4</v>
      </c>
      <c r="CO24" s="43">
        <v>-1.6000000000000001E-4</v>
      </c>
      <c r="CQ24" s="30">
        <v>1.0932835965305768E-2</v>
      </c>
      <c r="CR24" s="43">
        <v>-2.24E-4</v>
      </c>
      <c r="CS24" s="43">
        <v>-2.23E-4</v>
      </c>
      <c r="CT24" s="43">
        <v>-2.1900000000000001E-4</v>
      </c>
      <c r="CU24" s="30">
        <v>1.2299303731972435E-2</v>
      </c>
      <c r="CV24" s="43">
        <v>-2.24E-4</v>
      </c>
      <c r="CW24" s="43">
        <v>-2.23E-4</v>
      </c>
      <c r="CX24" s="43">
        <v>-2.1800000000000001E-4</v>
      </c>
    </row>
    <row r="25" spans="2:102" x14ac:dyDescent="0.25">
      <c r="H25" s="2">
        <v>0</v>
      </c>
      <c r="I25" s="1">
        <v>-5.3776060225528347E-3</v>
      </c>
      <c r="J25" s="2">
        <v>0</v>
      </c>
      <c r="K25" s="1"/>
      <c r="N25" s="30">
        <v>1.1616069698639099E-2</v>
      </c>
      <c r="O25" s="43">
        <v>-2.7399999999999999E-4</v>
      </c>
      <c r="P25" s="43">
        <v>-2.5900000000000001E-4</v>
      </c>
      <c r="Q25" s="43">
        <v>-9.2E-5</v>
      </c>
      <c r="R25" s="30">
        <v>1.3119184231972435E-2</v>
      </c>
      <c r="S25" s="43">
        <v>-2.8200000000000002E-4</v>
      </c>
      <c r="T25" s="43">
        <v>-2.6499999999999999E-4</v>
      </c>
      <c r="U25" s="43">
        <v>-8.2999999999999998E-5</v>
      </c>
      <c r="W25" s="30">
        <v>1.1616069698639099E-2</v>
      </c>
      <c r="X25" s="43">
        <v>-3.68E-4</v>
      </c>
      <c r="Y25" s="43">
        <v>-3.3799999999999998E-4</v>
      </c>
      <c r="Z25" s="43">
        <v>-1.0000000000000001E-5</v>
      </c>
      <c r="AA25" s="30">
        <v>1.3119184231972435E-2</v>
      </c>
      <c r="AB25" s="43">
        <v>-3.6699999999999998E-4</v>
      </c>
      <c r="AC25" s="43">
        <v>-3.3700000000000001E-4</v>
      </c>
      <c r="AD25" s="43">
        <v>-7.9999999999999996E-6</v>
      </c>
      <c r="AF25" s="30">
        <v>1.1616069698639099E-2</v>
      </c>
      <c r="AG25" s="43">
        <v>-3.6000000000000002E-4</v>
      </c>
      <c r="AH25" s="43">
        <v>-3.6200000000000002E-4</v>
      </c>
      <c r="AI25" s="43">
        <v>-8.7000000000000001E-5</v>
      </c>
      <c r="AJ25" s="30">
        <v>1.3119184231972435E-2</v>
      </c>
      <c r="AK25" s="43">
        <v>-3.7800000000000003E-4</v>
      </c>
      <c r="AL25" s="43">
        <v>-3.8000000000000002E-4</v>
      </c>
      <c r="AM25" s="43">
        <v>-6.8999999999999997E-5</v>
      </c>
      <c r="AO25" s="30">
        <v>1.1616069698639099E-2</v>
      </c>
      <c r="AP25" s="43">
        <v>-2.6899999999999998E-4</v>
      </c>
      <c r="AQ25" s="43">
        <v>-2.6899999999999998E-4</v>
      </c>
      <c r="AR25" s="43">
        <v>-1.73E-4</v>
      </c>
      <c r="AS25" s="30">
        <v>1.3119184231972435E-2</v>
      </c>
      <c r="AT25" s="43">
        <v>-2.7500000000000002E-4</v>
      </c>
      <c r="AU25" s="43">
        <v>-2.7500000000000002E-4</v>
      </c>
      <c r="AV25" s="43">
        <v>-1.6699999999999999E-4</v>
      </c>
      <c r="AX25" s="30">
        <v>1.1616069698639099E-2</v>
      </c>
      <c r="AY25" s="43">
        <v>-3.6200000000000002E-4</v>
      </c>
      <c r="AZ25" s="43">
        <v>-3.6400000000000001E-4</v>
      </c>
      <c r="BA25" s="43">
        <v>-8.6000000000000003E-5</v>
      </c>
      <c r="BB25" s="30">
        <v>1.3119184231972435E-2</v>
      </c>
      <c r="BC25" s="43">
        <v>-3.8000000000000002E-4</v>
      </c>
      <c r="BD25" s="43">
        <v>-3.8200000000000002E-4</v>
      </c>
      <c r="BE25" s="43">
        <v>-6.7999999999999999E-5</v>
      </c>
      <c r="BG25" s="30">
        <v>1.1616069698639099E-2</v>
      </c>
      <c r="BH25" s="43">
        <v>-2.6600000000000001E-4</v>
      </c>
      <c r="BI25" s="43">
        <v>-2.6699999999999998E-4</v>
      </c>
      <c r="BJ25" s="43">
        <v>-1.76E-4</v>
      </c>
      <c r="BK25" s="30">
        <v>1.3119184231972435E-2</v>
      </c>
      <c r="BL25" s="43">
        <v>-2.72E-4</v>
      </c>
      <c r="BM25" s="43">
        <v>-2.7300000000000002E-4</v>
      </c>
      <c r="BN25" s="43">
        <v>-1.7000000000000001E-4</v>
      </c>
      <c r="BP25" s="30">
        <v>1.1616069698639099E-2</v>
      </c>
      <c r="BQ25" s="43">
        <v>-3.1799999999999998E-4</v>
      </c>
      <c r="BR25" s="43">
        <v>-3.1199999999999999E-4</v>
      </c>
      <c r="BS25" s="43">
        <v>3.8999999999999999E-5</v>
      </c>
      <c r="BT25" s="30">
        <v>1.3119184231972435E-2</v>
      </c>
      <c r="BU25" s="43">
        <v>-3.3599999999999998E-4</v>
      </c>
      <c r="BV25" s="43">
        <v>-3.3E-4</v>
      </c>
      <c r="BW25" s="43">
        <v>5.5999999999999999E-5</v>
      </c>
      <c r="BY25" s="30">
        <v>1.1616069698639099E-2</v>
      </c>
      <c r="BZ25" s="43">
        <v>-2.6800000000000001E-4</v>
      </c>
      <c r="CA25" s="43">
        <v>-2.5399999999999999E-4</v>
      </c>
      <c r="CB25" s="43">
        <v>-1.5E-5</v>
      </c>
      <c r="CC25" s="30">
        <v>1.3119184231972435E-2</v>
      </c>
      <c r="CD25" s="43">
        <v>-2.7399999999999999E-4</v>
      </c>
      <c r="CE25" s="43">
        <v>-2.5999999999999998E-4</v>
      </c>
      <c r="CF25" s="43">
        <v>-7.9999999999999996E-6</v>
      </c>
      <c r="CH25" s="30">
        <v>1.1616069698639099E-2</v>
      </c>
      <c r="CI25" s="43">
        <v>-2.9700000000000001E-4</v>
      </c>
      <c r="CJ25" s="43">
        <v>-2.8499999999999999E-4</v>
      </c>
      <c r="CK25" s="43">
        <v>-1.64E-4</v>
      </c>
      <c r="CL25" s="30">
        <v>1.3119184231972435E-2</v>
      </c>
      <c r="CM25" s="43">
        <v>-3.0699999999999998E-4</v>
      </c>
      <c r="CN25" s="43">
        <v>-2.9300000000000002E-4</v>
      </c>
      <c r="CO25" s="43">
        <v>-1.56E-4</v>
      </c>
      <c r="CQ25" s="30">
        <v>1.1616069698639099E-2</v>
      </c>
      <c r="CR25" s="43">
        <v>-2.24E-4</v>
      </c>
      <c r="CS25" s="43">
        <v>-2.23E-4</v>
      </c>
      <c r="CT25" s="43">
        <v>-2.1900000000000001E-4</v>
      </c>
      <c r="CU25" s="30">
        <v>1.3119184231972435E-2</v>
      </c>
      <c r="CV25" s="43">
        <v>-2.24E-4</v>
      </c>
      <c r="CW25" s="43">
        <v>-2.23E-4</v>
      </c>
      <c r="CX25" s="43">
        <v>-2.1800000000000001E-4</v>
      </c>
    </row>
    <row r="26" spans="2:102" ht="14.45" customHeight="1" x14ac:dyDescent="0.25">
      <c r="H26" s="2">
        <v>4.099512023197243E-2</v>
      </c>
      <c r="I26" s="1">
        <v>-5.3776060225528347E-3</v>
      </c>
      <c r="J26" s="2">
        <v>0.2001720772580908</v>
      </c>
      <c r="K26" s="1"/>
      <c r="N26" s="30">
        <v>1.2299303431972433E-2</v>
      </c>
      <c r="O26" s="43">
        <v>-2.7700000000000001E-4</v>
      </c>
      <c r="P26" s="43">
        <v>-2.6200000000000003E-4</v>
      </c>
      <c r="Q26" s="43">
        <v>-8.7999999999999998E-5</v>
      </c>
      <c r="R26" s="30">
        <v>1.3939064731972435E-2</v>
      </c>
      <c r="S26" s="43">
        <v>-2.8600000000000001E-4</v>
      </c>
      <c r="T26" s="43">
        <v>-2.6899999999999998E-4</v>
      </c>
      <c r="U26" s="43">
        <v>-7.8999999999999996E-5</v>
      </c>
      <c r="W26" s="30">
        <v>1.2299303431972433E-2</v>
      </c>
      <c r="X26" s="43">
        <v>-3.6699999999999998E-4</v>
      </c>
      <c r="Y26" s="43">
        <v>-3.3799999999999998E-4</v>
      </c>
      <c r="Z26" s="43">
        <v>-9.0000000000000002E-6</v>
      </c>
      <c r="AA26" s="30">
        <v>1.3939064731972435E-2</v>
      </c>
      <c r="AB26" s="43">
        <v>-3.6600000000000001E-4</v>
      </c>
      <c r="AC26" s="43">
        <v>-3.3700000000000001E-4</v>
      </c>
      <c r="AD26" s="43">
        <v>-6.9999999999999999E-6</v>
      </c>
      <c r="AF26" s="30">
        <v>1.2299303431972433E-2</v>
      </c>
      <c r="AG26" s="43">
        <v>-3.68E-4</v>
      </c>
      <c r="AH26" s="43">
        <v>-3.6999999999999999E-4</v>
      </c>
      <c r="AI26" s="43">
        <v>-7.8999999999999996E-5</v>
      </c>
      <c r="AJ26" s="30">
        <v>1.3939064731972435E-2</v>
      </c>
      <c r="AK26" s="43">
        <v>-3.88E-4</v>
      </c>
      <c r="AL26" s="43">
        <v>-3.8999999999999999E-4</v>
      </c>
      <c r="AM26" s="43">
        <v>-6.0000000000000002E-5</v>
      </c>
      <c r="AO26" s="30">
        <v>1.2299303431972433E-2</v>
      </c>
      <c r="AP26" s="43">
        <v>-2.7099999999999997E-4</v>
      </c>
      <c r="AQ26" s="43">
        <v>-2.72E-4</v>
      </c>
      <c r="AR26" s="43">
        <v>-1.7000000000000001E-4</v>
      </c>
      <c r="AS26" s="30">
        <v>1.3939064731972435E-2</v>
      </c>
      <c r="AT26" s="43">
        <v>-2.7799999999999998E-4</v>
      </c>
      <c r="AU26" s="43">
        <v>-2.7799999999999998E-4</v>
      </c>
      <c r="AV26" s="43">
        <v>-1.64E-4</v>
      </c>
      <c r="AX26" s="30">
        <v>1.2299303431972433E-2</v>
      </c>
      <c r="AY26" s="43">
        <v>-3.6999999999999999E-4</v>
      </c>
      <c r="AZ26" s="43">
        <v>-3.7199999999999999E-4</v>
      </c>
      <c r="BA26" s="43">
        <v>-7.7999999999999999E-5</v>
      </c>
      <c r="BB26" s="30">
        <v>1.3939064731972435E-2</v>
      </c>
      <c r="BC26" s="43">
        <v>-3.8999999999999999E-4</v>
      </c>
      <c r="BD26" s="43">
        <v>-3.9199999999999999E-4</v>
      </c>
      <c r="BE26" s="43">
        <v>-5.8999999999999998E-5</v>
      </c>
      <c r="BG26" s="30">
        <v>1.2299303431972433E-2</v>
      </c>
      <c r="BH26" s="43">
        <v>-2.6899999999999998E-4</v>
      </c>
      <c r="BI26" s="43">
        <v>-2.6899999999999998E-4</v>
      </c>
      <c r="BJ26" s="43">
        <v>-1.74E-4</v>
      </c>
      <c r="BK26" s="30">
        <v>1.3939064731972435E-2</v>
      </c>
      <c r="BL26" s="43">
        <v>-2.7500000000000002E-4</v>
      </c>
      <c r="BM26" s="43">
        <v>-2.7599999999999999E-4</v>
      </c>
      <c r="BN26" s="43">
        <v>-1.6699999999999999E-4</v>
      </c>
      <c r="BP26" s="30">
        <v>1.2299303431972433E-2</v>
      </c>
      <c r="BQ26" s="43">
        <v>-3.2699999999999998E-4</v>
      </c>
      <c r="BR26" s="43">
        <v>-3.2000000000000003E-4</v>
      </c>
      <c r="BS26" s="43">
        <v>4.6E-5</v>
      </c>
      <c r="BT26" s="30">
        <v>1.3939064731972435E-2</v>
      </c>
      <c r="BU26" s="43">
        <v>-3.4600000000000001E-4</v>
      </c>
      <c r="BV26" s="43">
        <v>-3.39E-4</v>
      </c>
      <c r="BW26" s="43">
        <v>6.4999999999999994E-5</v>
      </c>
      <c r="BY26" s="30">
        <v>1.2299303431972433E-2</v>
      </c>
      <c r="BZ26" s="43">
        <v>-2.7E-4</v>
      </c>
      <c r="CA26" s="43">
        <v>-2.5700000000000001E-4</v>
      </c>
      <c r="CB26" s="43">
        <v>-1.2E-5</v>
      </c>
      <c r="CC26" s="30">
        <v>1.3939064731972435E-2</v>
      </c>
      <c r="CD26" s="43">
        <v>-2.7700000000000001E-4</v>
      </c>
      <c r="CE26" s="43">
        <v>-2.6400000000000002E-4</v>
      </c>
      <c r="CF26" s="43">
        <v>-5.0000000000000004E-6</v>
      </c>
      <c r="CH26" s="30">
        <v>1.2299303431972433E-2</v>
      </c>
      <c r="CI26" s="43">
        <v>-3.0200000000000002E-4</v>
      </c>
      <c r="CJ26" s="43">
        <v>-2.8899999999999998E-4</v>
      </c>
      <c r="CK26" s="43">
        <v>-1.6000000000000001E-4</v>
      </c>
      <c r="CL26" s="30">
        <v>1.3939064731972435E-2</v>
      </c>
      <c r="CM26" s="43">
        <v>-3.1199999999999999E-4</v>
      </c>
      <c r="CN26" s="43">
        <v>-2.9700000000000001E-4</v>
      </c>
      <c r="CO26" s="43">
        <v>-1.5200000000000001E-4</v>
      </c>
      <c r="CQ26" s="30">
        <v>1.2299303431972433E-2</v>
      </c>
      <c r="CR26" s="43">
        <v>-2.24E-4</v>
      </c>
      <c r="CS26" s="43">
        <v>-2.23E-4</v>
      </c>
      <c r="CT26" s="43">
        <v>-2.1800000000000001E-4</v>
      </c>
      <c r="CU26" s="30">
        <v>1.3939064731972435E-2</v>
      </c>
      <c r="CV26" s="43">
        <v>-2.24E-4</v>
      </c>
      <c r="CW26" s="43">
        <v>-2.23E-4</v>
      </c>
      <c r="CX26" s="43">
        <v>-2.1800000000000001E-4</v>
      </c>
    </row>
    <row r="27" spans="2:102" x14ac:dyDescent="0.25">
      <c r="N27" s="30">
        <v>1.2982537165305766E-2</v>
      </c>
      <c r="O27" s="43">
        <v>-2.81E-4</v>
      </c>
      <c r="P27" s="43">
        <v>-2.6499999999999999E-4</v>
      </c>
      <c r="Q27" s="43">
        <v>-8.3999999999999995E-5</v>
      </c>
      <c r="R27" s="30">
        <v>1.4758945231972435E-2</v>
      </c>
      <c r="S27" s="43">
        <v>-2.9E-4</v>
      </c>
      <c r="T27" s="43">
        <v>-2.72E-4</v>
      </c>
      <c r="U27" s="43">
        <v>-7.3999999999999996E-5</v>
      </c>
      <c r="W27" s="30">
        <v>1.2982537165305766E-2</v>
      </c>
      <c r="X27" s="43">
        <v>-3.6699999999999998E-4</v>
      </c>
      <c r="Y27" s="43">
        <v>-3.3799999999999998E-4</v>
      </c>
      <c r="Z27" s="43">
        <v>-7.9999999999999996E-6</v>
      </c>
      <c r="AA27" s="30">
        <v>1.4758945231972435E-2</v>
      </c>
      <c r="AB27" s="43">
        <v>-3.6600000000000001E-4</v>
      </c>
      <c r="AC27" s="43">
        <v>-3.3599999999999998E-4</v>
      </c>
      <c r="AD27" s="43">
        <v>-6.9999999999999999E-6</v>
      </c>
      <c r="AF27" s="30">
        <v>1.2982537165305766E-2</v>
      </c>
      <c r="AG27" s="43">
        <v>-3.7599999999999998E-4</v>
      </c>
      <c r="AH27" s="43">
        <v>-3.7800000000000003E-4</v>
      </c>
      <c r="AI27" s="43">
        <v>-7.1000000000000005E-5</v>
      </c>
      <c r="AJ27" s="30">
        <v>1.4758945231972435E-2</v>
      </c>
      <c r="AK27" s="43">
        <v>-3.97E-4</v>
      </c>
      <c r="AL27" s="43">
        <v>-4.0000000000000002E-4</v>
      </c>
      <c r="AM27" s="43">
        <v>-5.0000000000000002E-5</v>
      </c>
      <c r="AO27" s="30">
        <v>1.2982537165305766E-2</v>
      </c>
      <c r="AP27" s="43">
        <v>-2.7399999999999999E-4</v>
      </c>
      <c r="AQ27" s="43">
        <v>-2.7500000000000002E-4</v>
      </c>
      <c r="AR27" s="43">
        <v>-1.6699999999999999E-4</v>
      </c>
      <c r="AS27" s="30">
        <v>1.4758945231972435E-2</v>
      </c>
      <c r="AT27" s="43">
        <v>-2.81E-4</v>
      </c>
      <c r="AU27" s="43">
        <v>-2.8200000000000002E-4</v>
      </c>
      <c r="AV27" s="43">
        <v>-1.6000000000000001E-4</v>
      </c>
      <c r="AX27" s="30">
        <v>1.2982537165305766E-2</v>
      </c>
      <c r="AY27" s="43">
        <v>-3.7800000000000003E-4</v>
      </c>
      <c r="AZ27" s="43">
        <v>-3.8000000000000002E-4</v>
      </c>
      <c r="BA27" s="43">
        <v>-6.9999999999999994E-5</v>
      </c>
      <c r="BB27" s="30">
        <v>1.4758945231972435E-2</v>
      </c>
      <c r="BC27" s="43">
        <v>-4.0000000000000002E-4</v>
      </c>
      <c r="BD27" s="43">
        <v>-4.0200000000000001E-4</v>
      </c>
      <c r="BE27" s="43">
        <v>-4.8999999999999998E-5</v>
      </c>
      <c r="BG27" s="30">
        <v>1.2982537165305766E-2</v>
      </c>
      <c r="BH27" s="43">
        <v>-2.72E-4</v>
      </c>
      <c r="BI27" s="43">
        <v>-2.72E-4</v>
      </c>
      <c r="BJ27" s="43">
        <v>-1.7100000000000001E-4</v>
      </c>
      <c r="BK27" s="30">
        <v>1.4758945231972435E-2</v>
      </c>
      <c r="BL27" s="43">
        <v>-2.7900000000000001E-4</v>
      </c>
      <c r="BM27" s="43">
        <v>-2.7900000000000001E-4</v>
      </c>
      <c r="BN27" s="43">
        <v>-1.64E-4</v>
      </c>
      <c r="BP27" s="30">
        <v>1.2982537165305766E-2</v>
      </c>
      <c r="BQ27" s="43">
        <v>-3.3399999999999999E-4</v>
      </c>
      <c r="BR27" s="43">
        <v>-3.28E-4</v>
      </c>
      <c r="BS27" s="43">
        <v>5.3999999999999998E-5</v>
      </c>
      <c r="BT27" s="30">
        <v>1.4758945231972435E-2</v>
      </c>
      <c r="BU27" s="43">
        <v>-3.5500000000000001E-4</v>
      </c>
      <c r="BV27" s="43">
        <v>-3.4900000000000003E-4</v>
      </c>
      <c r="BW27" s="43">
        <v>7.3999999999999996E-5</v>
      </c>
      <c r="BY27" s="30">
        <v>1.2982537165305766E-2</v>
      </c>
      <c r="BZ27" s="43">
        <v>-2.7300000000000002E-4</v>
      </c>
      <c r="CA27" s="43">
        <v>-2.5900000000000001E-4</v>
      </c>
      <c r="CB27" s="43">
        <v>-9.0000000000000002E-6</v>
      </c>
      <c r="CC27" s="30">
        <v>1.4758945231972435E-2</v>
      </c>
      <c r="CD27" s="43">
        <v>-2.81E-4</v>
      </c>
      <c r="CE27" s="43">
        <v>-2.6699999999999998E-4</v>
      </c>
      <c r="CF27" s="43">
        <v>-1.9999999999999999E-6</v>
      </c>
      <c r="CH27" s="30">
        <v>1.2982537165305766E-2</v>
      </c>
      <c r="CI27" s="43">
        <v>-3.0600000000000001E-4</v>
      </c>
      <c r="CJ27" s="43">
        <v>-2.92E-4</v>
      </c>
      <c r="CK27" s="43">
        <v>-1.5699999999999999E-4</v>
      </c>
      <c r="CL27" s="30">
        <v>1.4758945231972435E-2</v>
      </c>
      <c r="CM27" s="43">
        <v>-3.1700000000000001E-4</v>
      </c>
      <c r="CN27" s="43">
        <v>-3.0200000000000002E-4</v>
      </c>
      <c r="CO27" s="43">
        <v>-1.4799999999999999E-4</v>
      </c>
      <c r="CQ27" s="30">
        <v>1.2982537165305766E-2</v>
      </c>
      <c r="CR27" s="43">
        <v>-2.24E-4</v>
      </c>
      <c r="CS27" s="43">
        <v>-2.23E-4</v>
      </c>
      <c r="CT27" s="43">
        <v>-2.1800000000000001E-4</v>
      </c>
      <c r="CU27" s="30">
        <v>1.4758945231972435E-2</v>
      </c>
      <c r="CV27" s="43">
        <v>-2.24E-4</v>
      </c>
      <c r="CW27" s="43">
        <v>-2.23E-4</v>
      </c>
      <c r="CX27" s="43">
        <v>-2.1800000000000001E-4</v>
      </c>
    </row>
    <row r="28" spans="2:102" x14ac:dyDescent="0.25">
      <c r="N28" s="30">
        <v>1.36657708986391E-2</v>
      </c>
      <c r="O28" s="43">
        <v>-2.8400000000000002E-4</v>
      </c>
      <c r="P28" s="43">
        <v>-2.6800000000000001E-4</v>
      </c>
      <c r="Q28" s="43">
        <v>-8.0000000000000007E-5</v>
      </c>
      <c r="R28" s="30">
        <v>1.5578825731972435E-2</v>
      </c>
      <c r="S28" s="43">
        <v>-2.9399999999999999E-4</v>
      </c>
      <c r="T28" s="43">
        <v>-2.7500000000000002E-4</v>
      </c>
      <c r="U28" s="43">
        <v>-6.8999999999999997E-5</v>
      </c>
      <c r="W28" s="30">
        <v>1.36657708986391E-2</v>
      </c>
      <c r="X28" s="43">
        <v>-3.6600000000000001E-4</v>
      </c>
      <c r="Y28" s="43">
        <v>-3.3700000000000001E-4</v>
      </c>
      <c r="Z28" s="43">
        <v>-7.9999999999999996E-6</v>
      </c>
      <c r="AA28" s="30">
        <v>1.5578825731972435E-2</v>
      </c>
      <c r="AB28" s="43">
        <v>-3.6499999999999998E-4</v>
      </c>
      <c r="AC28" s="43">
        <v>-3.3599999999999998E-4</v>
      </c>
      <c r="AD28" s="43">
        <v>-6.0000000000000002E-6</v>
      </c>
      <c r="AF28" s="30">
        <v>1.36657708986391E-2</v>
      </c>
      <c r="AG28" s="43">
        <v>-3.8400000000000001E-4</v>
      </c>
      <c r="AH28" s="43">
        <v>-3.86E-4</v>
      </c>
      <c r="AI28" s="43">
        <v>-6.3E-5</v>
      </c>
      <c r="AJ28" s="30">
        <v>1.5578825731972435E-2</v>
      </c>
      <c r="AK28" s="43">
        <v>-4.0700000000000003E-4</v>
      </c>
      <c r="AL28" s="43">
        <v>-4.0900000000000002E-4</v>
      </c>
      <c r="AM28" s="43">
        <v>-4.0000000000000003E-5</v>
      </c>
      <c r="AO28" s="30">
        <v>1.36657708986391E-2</v>
      </c>
      <c r="AP28" s="43">
        <v>-2.7700000000000001E-4</v>
      </c>
      <c r="AQ28" s="43">
        <v>-2.7700000000000001E-4</v>
      </c>
      <c r="AR28" s="43">
        <v>-1.65E-4</v>
      </c>
      <c r="AS28" s="30">
        <v>1.5578825731972435E-2</v>
      </c>
      <c r="AT28" s="43">
        <v>-2.8400000000000002E-4</v>
      </c>
      <c r="AU28" s="43">
        <v>-2.8499999999999999E-4</v>
      </c>
      <c r="AV28" s="43">
        <v>-1.5699999999999999E-4</v>
      </c>
      <c r="AX28" s="30">
        <v>1.36657708986391E-2</v>
      </c>
      <c r="AY28" s="43">
        <v>-3.8699999999999997E-4</v>
      </c>
      <c r="AZ28" s="43">
        <v>-3.88E-4</v>
      </c>
      <c r="BA28" s="43">
        <v>-6.2000000000000003E-5</v>
      </c>
      <c r="BB28" s="30">
        <v>1.5578825731972435E-2</v>
      </c>
      <c r="BC28" s="43">
        <v>-4.0900000000000002E-4</v>
      </c>
      <c r="BD28" s="43">
        <v>-4.1199999999999999E-4</v>
      </c>
      <c r="BE28" s="43">
        <v>-3.8999999999999999E-5</v>
      </c>
      <c r="BG28" s="30">
        <v>1.36657708986391E-2</v>
      </c>
      <c r="BH28" s="43">
        <v>-2.7399999999999999E-4</v>
      </c>
      <c r="BI28" s="43">
        <v>-2.7500000000000002E-4</v>
      </c>
      <c r="BJ28" s="43">
        <v>-1.6799999999999999E-4</v>
      </c>
      <c r="BK28" s="30">
        <v>1.5578825731972435E-2</v>
      </c>
      <c r="BL28" s="43">
        <v>-2.8200000000000002E-4</v>
      </c>
      <c r="BM28" s="43">
        <v>-2.8200000000000002E-4</v>
      </c>
      <c r="BN28" s="43">
        <v>-1.6100000000000001E-4</v>
      </c>
      <c r="BP28" s="30">
        <v>1.36657708986391E-2</v>
      </c>
      <c r="BQ28" s="43">
        <v>-3.4200000000000002E-4</v>
      </c>
      <c r="BR28" s="43">
        <v>-3.3599999999999998E-4</v>
      </c>
      <c r="BS28" s="43">
        <v>6.2000000000000003E-5</v>
      </c>
      <c r="BT28" s="30">
        <v>1.5578825731972435E-2</v>
      </c>
      <c r="BU28" s="43">
        <v>-3.6499999999999998E-4</v>
      </c>
      <c r="BV28" s="43">
        <v>-3.59E-4</v>
      </c>
      <c r="BW28" s="43">
        <v>8.3999999999999995E-5</v>
      </c>
      <c r="BY28" s="30">
        <v>1.36657708986391E-2</v>
      </c>
      <c r="BZ28" s="43">
        <v>-2.7599999999999999E-4</v>
      </c>
      <c r="CA28" s="43">
        <v>-2.6200000000000003E-4</v>
      </c>
      <c r="CB28" s="43">
        <v>-6.0000000000000002E-6</v>
      </c>
      <c r="CC28" s="30">
        <v>1.5578825731972435E-2</v>
      </c>
      <c r="CD28" s="43">
        <v>-2.8400000000000002E-4</v>
      </c>
      <c r="CE28" s="43">
        <v>-2.7E-4</v>
      </c>
      <c r="CF28" s="43">
        <v>1.9999999999999999E-6</v>
      </c>
      <c r="CH28" s="30">
        <v>1.36657708986391E-2</v>
      </c>
      <c r="CI28" s="43">
        <v>-3.1E-4</v>
      </c>
      <c r="CJ28" s="43">
        <v>-2.9599999999999998E-4</v>
      </c>
      <c r="CK28" s="43">
        <v>-1.5300000000000001E-4</v>
      </c>
      <c r="CL28" s="30">
        <v>1.5578825731972435E-2</v>
      </c>
      <c r="CM28" s="43">
        <v>-3.2200000000000002E-4</v>
      </c>
      <c r="CN28" s="43">
        <v>-3.0600000000000001E-4</v>
      </c>
      <c r="CO28" s="43">
        <v>-1.4300000000000001E-4</v>
      </c>
      <c r="CQ28" s="30">
        <v>1.36657708986391E-2</v>
      </c>
      <c r="CR28" s="43">
        <v>-2.24E-4</v>
      </c>
      <c r="CS28" s="43">
        <v>-2.23E-4</v>
      </c>
      <c r="CT28" s="43">
        <v>-2.1800000000000001E-4</v>
      </c>
      <c r="CU28" s="30">
        <v>1.5578825731972435E-2</v>
      </c>
      <c r="CV28" s="43">
        <v>-2.24E-4</v>
      </c>
      <c r="CW28" s="43">
        <v>-2.23E-4</v>
      </c>
      <c r="CX28" s="43">
        <v>-2.1800000000000001E-4</v>
      </c>
    </row>
    <row r="29" spans="2:102" x14ac:dyDescent="0.25">
      <c r="N29" s="30">
        <v>1.4349004631972433E-2</v>
      </c>
      <c r="O29" s="43">
        <v>-2.8800000000000001E-4</v>
      </c>
      <c r="P29" s="43">
        <v>-2.7E-4</v>
      </c>
      <c r="Q29" s="43">
        <v>-7.6000000000000004E-5</v>
      </c>
      <c r="R29" s="30">
        <v>1.6398706231972433E-2</v>
      </c>
      <c r="S29" s="43">
        <v>-2.9799999999999998E-4</v>
      </c>
      <c r="T29" s="43">
        <v>-2.7900000000000001E-4</v>
      </c>
      <c r="U29" s="43">
        <v>-6.4999999999999994E-5</v>
      </c>
      <c r="W29" s="30">
        <v>1.4349004631972433E-2</v>
      </c>
      <c r="X29" s="43">
        <v>-3.6600000000000001E-4</v>
      </c>
      <c r="Y29" s="43">
        <v>-3.3700000000000001E-4</v>
      </c>
      <c r="Z29" s="43">
        <v>-6.9999999999999999E-6</v>
      </c>
      <c r="AA29" s="30">
        <v>1.6398706231972433E-2</v>
      </c>
      <c r="AB29" s="43">
        <v>-3.6499999999999998E-4</v>
      </c>
      <c r="AC29" s="43">
        <v>-3.3500000000000001E-4</v>
      </c>
      <c r="AD29" s="43">
        <v>-5.0000000000000004E-6</v>
      </c>
      <c r="AF29" s="30">
        <v>1.4349004631972433E-2</v>
      </c>
      <c r="AG29" s="43">
        <v>-3.9300000000000001E-4</v>
      </c>
      <c r="AH29" s="43">
        <v>-3.9500000000000001E-4</v>
      </c>
      <c r="AI29" s="43">
        <v>-5.5000000000000002E-5</v>
      </c>
      <c r="AJ29" s="30">
        <v>1.6398706231972433E-2</v>
      </c>
      <c r="AK29" s="43">
        <v>-4.17E-4</v>
      </c>
      <c r="AL29" s="43">
        <v>-4.1899999999999999E-4</v>
      </c>
      <c r="AM29" s="43">
        <v>-3.1000000000000001E-5</v>
      </c>
      <c r="AO29" s="30">
        <v>1.4349004631972433E-2</v>
      </c>
      <c r="AP29" s="43">
        <v>-2.7900000000000001E-4</v>
      </c>
      <c r="AQ29" s="43">
        <v>-2.7999999999999998E-4</v>
      </c>
      <c r="AR29" s="43">
        <v>-1.6200000000000001E-4</v>
      </c>
      <c r="AS29" s="30">
        <v>1.6398706231972433E-2</v>
      </c>
      <c r="AT29" s="43">
        <v>-2.8699999999999998E-4</v>
      </c>
      <c r="AU29" s="43">
        <v>-2.8800000000000001E-4</v>
      </c>
      <c r="AV29" s="43">
        <v>-1.54E-4</v>
      </c>
      <c r="AX29" s="30">
        <v>1.4349004631972433E-2</v>
      </c>
      <c r="AY29" s="43">
        <v>-3.9500000000000001E-4</v>
      </c>
      <c r="AZ29" s="43">
        <v>-3.97E-4</v>
      </c>
      <c r="BA29" s="43">
        <v>-5.3999999999999998E-5</v>
      </c>
      <c r="BB29" s="30">
        <v>1.6398706231972433E-2</v>
      </c>
      <c r="BC29" s="43">
        <v>-4.1899999999999999E-4</v>
      </c>
      <c r="BD29" s="43">
        <v>-4.2099999999999999E-4</v>
      </c>
      <c r="BE29" s="43">
        <v>-3.0000000000000001E-5</v>
      </c>
      <c r="BG29" s="30">
        <v>1.4349004631972433E-2</v>
      </c>
      <c r="BH29" s="43">
        <v>-2.7700000000000001E-4</v>
      </c>
      <c r="BI29" s="43">
        <v>-2.7799999999999998E-4</v>
      </c>
      <c r="BJ29" s="43">
        <v>-1.66E-4</v>
      </c>
      <c r="BK29" s="30">
        <v>1.6398706231972433E-2</v>
      </c>
      <c r="BL29" s="43">
        <v>-2.8499999999999999E-4</v>
      </c>
      <c r="BM29" s="43">
        <v>-2.8600000000000001E-4</v>
      </c>
      <c r="BN29" s="43">
        <v>-1.5799999999999999E-4</v>
      </c>
      <c r="BP29" s="30">
        <v>1.4349004631972433E-2</v>
      </c>
      <c r="BQ29" s="43">
        <v>-3.5E-4</v>
      </c>
      <c r="BR29" s="43">
        <v>-3.4400000000000001E-4</v>
      </c>
      <c r="BS29" s="43">
        <v>6.9999999999999994E-5</v>
      </c>
      <c r="BT29" s="30">
        <v>1.6398706231972433E-2</v>
      </c>
      <c r="BU29" s="43">
        <v>-3.7399999999999998E-4</v>
      </c>
      <c r="BV29" s="43">
        <v>-3.6900000000000002E-4</v>
      </c>
      <c r="BW29" s="43">
        <v>9.2999999999999997E-5</v>
      </c>
      <c r="BY29" s="30">
        <v>1.4349004631972433E-2</v>
      </c>
      <c r="BZ29" s="43">
        <v>-2.7900000000000001E-4</v>
      </c>
      <c r="CA29" s="43">
        <v>-2.6499999999999999E-4</v>
      </c>
      <c r="CB29" s="43">
        <v>-3.0000000000000001E-6</v>
      </c>
      <c r="CC29" s="30">
        <v>1.6398706231972433E-2</v>
      </c>
      <c r="CD29" s="43">
        <v>-2.8800000000000001E-4</v>
      </c>
      <c r="CE29" s="43">
        <v>-2.7399999999999999E-4</v>
      </c>
      <c r="CF29" s="43">
        <v>5.0000000000000004E-6</v>
      </c>
      <c r="CH29" s="30">
        <v>1.4349004631972433E-2</v>
      </c>
      <c r="CI29" s="43">
        <v>-3.1399999999999999E-4</v>
      </c>
      <c r="CJ29" s="43">
        <v>-2.99E-4</v>
      </c>
      <c r="CK29" s="43">
        <v>-1.4999999999999999E-4</v>
      </c>
      <c r="CL29" s="30">
        <v>1.6398706231972433E-2</v>
      </c>
      <c r="CM29" s="43">
        <v>-3.2699999999999998E-4</v>
      </c>
      <c r="CN29" s="43">
        <v>-3.1E-4</v>
      </c>
      <c r="CO29" s="43">
        <v>-1.3899999999999999E-4</v>
      </c>
      <c r="CQ29" s="30">
        <v>1.4349004631972433E-2</v>
      </c>
      <c r="CR29" s="43">
        <v>-2.24E-4</v>
      </c>
      <c r="CS29" s="43">
        <v>-2.23E-4</v>
      </c>
      <c r="CT29" s="43">
        <v>-2.1800000000000001E-4</v>
      </c>
      <c r="CU29" s="30">
        <v>1.6398706231972433E-2</v>
      </c>
      <c r="CV29" s="43">
        <v>-2.24E-4</v>
      </c>
      <c r="CW29" s="43">
        <v>-2.23E-4</v>
      </c>
      <c r="CX29" s="43">
        <v>-2.1800000000000001E-4</v>
      </c>
    </row>
    <row r="30" spans="2:102" x14ac:dyDescent="0.25">
      <c r="N30" s="30">
        <v>1.5032238365305766E-2</v>
      </c>
      <c r="O30" s="43">
        <v>-2.9100000000000003E-4</v>
      </c>
      <c r="P30" s="43">
        <v>-2.7300000000000002E-4</v>
      </c>
      <c r="Q30" s="43">
        <v>-7.2000000000000002E-5</v>
      </c>
      <c r="R30" s="30">
        <v>1.6398706231972433E-2</v>
      </c>
      <c r="S30" s="43">
        <v>-2.9799999999999998E-4</v>
      </c>
      <c r="T30" s="43">
        <v>-2.7900000000000001E-4</v>
      </c>
      <c r="U30" s="43">
        <v>-6.4999999999999994E-5</v>
      </c>
      <c r="W30" s="30">
        <v>1.5032238365305766E-2</v>
      </c>
      <c r="X30" s="43">
        <v>-3.6600000000000001E-4</v>
      </c>
      <c r="Y30" s="43">
        <v>-3.3599999999999998E-4</v>
      </c>
      <c r="Z30" s="43">
        <v>-6.0000000000000002E-6</v>
      </c>
      <c r="AA30" s="30">
        <v>1.6398706231972433E-2</v>
      </c>
      <c r="AB30" s="43">
        <v>-3.6499999999999998E-4</v>
      </c>
      <c r="AC30" s="43">
        <v>-3.3500000000000001E-4</v>
      </c>
      <c r="AD30" s="43">
        <v>-5.0000000000000004E-6</v>
      </c>
      <c r="AF30" s="30">
        <v>1.5032238365305766E-2</v>
      </c>
      <c r="AG30" s="43">
        <v>-4.0099999999999999E-4</v>
      </c>
      <c r="AH30" s="43">
        <v>-4.0299999999999998E-4</v>
      </c>
      <c r="AI30" s="43">
        <v>-4.6999999999999997E-5</v>
      </c>
      <c r="AJ30" s="30">
        <v>1.6398706231972433E-2</v>
      </c>
      <c r="AK30" s="43">
        <v>-4.17E-4</v>
      </c>
      <c r="AL30" s="43">
        <v>-4.1899999999999999E-4</v>
      </c>
      <c r="AM30" s="43">
        <v>-3.1000000000000001E-5</v>
      </c>
      <c r="AO30" s="30">
        <v>1.5032238365305766E-2</v>
      </c>
      <c r="AP30" s="43">
        <v>-2.8200000000000002E-4</v>
      </c>
      <c r="AQ30" s="43">
        <v>-2.8299999999999999E-4</v>
      </c>
      <c r="AR30" s="43">
        <v>-1.5899999999999999E-4</v>
      </c>
      <c r="AS30" s="30">
        <v>1.6398706231972433E-2</v>
      </c>
      <c r="AT30" s="43">
        <v>-2.8699999999999998E-4</v>
      </c>
      <c r="AU30" s="43">
        <v>-2.8800000000000001E-4</v>
      </c>
      <c r="AV30" s="43">
        <v>-1.54E-4</v>
      </c>
      <c r="AX30" s="30">
        <v>1.5032238365305766E-2</v>
      </c>
      <c r="AY30" s="43">
        <v>-4.0299999999999998E-4</v>
      </c>
      <c r="AZ30" s="43">
        <v>-4.0499999999999998E-4</v>
      </c>
      <c r="BA30" s="43">
        <v>-4.6E-5</v>
      </c>
      <c r="BB30" s="30">
        <v>1.6398706231972433E-2</v>
      </c>
      <c r="BC30" s="43">
        <v>-4.1899999999999999E-4</v>
      </c>
      <c r="BD30" s="43">
        <v>-4.2099999999999999E-4</v>
      </c>
      <c r="BE30" s="43">
        <v>-3.0000000000000001E-5</v>
      </c>
      <c r="BG30" s="30">
        <v>1.5032238365305766E-2</v>
      </c>
      <c r="BH30" s="43">
        <v>-2.7999999999999998E-4</v>
      </c>
      <c r="BI30" s="43">
        <v>-2.7999999999999998E-4</v>
      </c>
      <c r="BJ30" s="43">
        <v>-1.63E-4</v>
      </c>
      <c r="BK30" s="30">
        <v>1.6398706231972433E-2</v>
      </c>
      <c r="BL30" s="43">
        <v>-2.8499999999999999E-4</v>
      </c>
      <c r="BM30" s="43">
        <v>-2.8600000000000001E-4</v>
      </c>
      <c r="BN30" s="43">
        <v>-1.5799999999999999E-4</v>
      </c>
      <c r="BP30" s="30">
        <v>1.5032238365305766E-2</v>
      </c>
      <c r="BQ30" s="43">
        <v>-3.5799999999999997E-4</v>
      </c>
      <c r="BR30" s="43">
        <v>-3.5199999999999999E-4</v>
      </c>
      <c r="BS30" s="43">
        <v>7.7000000000000001E-5</v>
      </c>
      <c r="BT30" s="30">
        <v>1.6398706231972433E-2</v>
      </c>
      <c r="BU30" s="43">
        <v>-3.7399999999999998E-4</v>
      </c>
      <c r="BV30" s="43">
        <v>-3.6900000000000002E-4</v>
      </c>
      <c r="BW30" s="43">
        <v>9.2999999999999997E-5</v>
      </c>
      <c r="BY30" s="30">
        <v>1.5032238365305766E-2</v>
      </c>
      <c r="BZ30" s="43">
        <v>-2.8200000000000002E-4</v>
      </c>
      <c r="CA30" s="43">
        <v>-2.6800000000000001E-4</v>
      </c>
      <c r="CB30" s="43">
        <v>-9.9999999999999995E-7</v>
      </c>
      <c r="CC30" s="30">
        <v>1.6398706231972433E-2</v>
      </c>
      <c r="CD30" s="43">
        <v>-2.8800000000000001E-4</v>
      </c>
      <c r="CE30" s="43">
        <v>-2.7399999999999999E-4</v>
      </c>
      <c r="CF30" s="43">
        <v>5.0000000000000004E-6</v>
      </c>
      <c r="CH30" s="30">
        <v>1.5032238365305766E-2</v>
      </c>
      <c r="CI30" s="43">
        <v>-3.19E-4</v>
      </c>
      <c r="CJ30" s="43">
        <v>-3.0299999999999999E-4</v>
      </c>
      <c r="CK30" s="43">
        <v>-1.46E-4</v>
      </c>
      <c r="CL30" s="30">
        <v>1.6398706231972433E-2</v>
      </c>
      <c r="CM30" s="43">
        <v>-3.2699999999999998E-4</v>
      </c>
      <c r="CN30" s="43">
        <v>-3.1E-4</v>
      </c>
      <c r="CO30" s="43">
        <v>-1.3899999999999999E-4</v>
      </c>
      <c r="CQ30" s="30">
        <v>1.5032238365305766E-2</v>
      </c>
      <c r="CR30" s="43">
        <v>-2.24E-4</v>
      </c>
      <c r="CS30" s="43">
        <v>-2.23E-4</v>
      </c>
      <c r="CT30" s="43">
        <v>-2.1800000000000001E-4</v>
      </c>
      <c r="CU30" s="30">
        <v>1.6398706231972433E-2</v>
      </c>
      <c r="CV30" s="43">
        <v>-2.24E-4</v>
      </c>
      <c r="CW30" s="43">
        <v>-2.23E-4</v>
      </c>
      <c r="CX30" s="43">
        <v>-2.1800000000000001E-4</v>
      </c>
    </row>
    <row r="31" spans="2:102" x14ac:dyDescent="0.25">
      <c r="N31" s="30">
        <v>1.5715472098639098E-2</v>
      </c>
      <c r="O31" s="43">
        <v>-2.9500000000000001E-4</v>
      </c>
      <c r="P31" s="43">
        <v>-2.7599999999999999E-4</v>
      </c>
      <c r="Q31" s="43">
        <v>-6.7999999999999999E-5</v>
      </c>
      <c r="R31" s="30">
        <v>1.7218586731972435E-2</v>
      </c>
      <c r="S31" s="43">
        <v>-3.0200000000000002E-4</v>
      </c>
      <c r="T31" s="43">
        <v>-2.8200000000000002E-4</v>
      </c>
      <c r="U31" s="43">
        <v>-6.0000000000000002E-5</v>
      </c>
      <c r="W31" s="30">
        <v>1.5715472098639098E-2</v>
      </c>
      <c r="X31" s="43">
        <v>-3.6499999999999998E-4</v>
      </c>
      <c r="Y31" s="43">
        <v>-3.3599999999999998E-4</v>
      </c>
      <c r="Z31" s="43">
        <v>-6.0000000000000002E-6</v>
      </c>
      <c r="AA31" s="30">
        <v>1.7218586731972435E-2</v>
      </c>
      <c r="AB31" s="43">
        <v>-3.6400000000000001E-4</v>
      </c>
      <c r="AC31" s="43">
        <v>-3.3500000000000001E-4</v>
      </c>
      <c r="AD31" s="43">
        <v>-3.9999999999999998E-6</v>
      </c>
      <c r="AF31" s="30">
        <v>1.5715472098639098E-2</v>
      </c>
      <c r="AG31" s="43">
        <v>-4.0900000000000002E-4</v>
      </c>
      <c r="AH31" s="43">
        <v>-4.1100000000000002E-4</v>
      </c>
      <c r="AI31" s="43">
        <v>-3.8999999999999999E-5</v>
      </c>
      <c r="AJ31" s="30">
        <v>1.7218586731972435E-2</v>
      </c>
      <c r="AK31" s="43">
        <v>-4.2700000000000002E-4</v>
      </c>
      <c r="AL31" s="43">
        <v>-4.2900000000000002E-4</v>
      </c>
      <c r="AM31" s="43">
        <v>-2.0999999999999999E-5</v>
      </c>
      <c r="AO31" s="30">
        <v>1.5715472098639098E-2</v>
      </c>
      <c r="AP31" s="43">
        <v>-2.8499999999999999E-4</v>
      </c>
      <c r="AQ31" s="43">
        <v>-2.8499999999999999E-4</v>
      </c>
      <c r="AR31" s="43">
        <v>-1.5699999999999999E-4</v>
      </c>
      <c r="AS31" s="30">
        <v>1.7218586731972435E-2</v>
      </c>
      <c r="AT31" s="43">
        <v>-2.9100000000000003E-4</v>
      </c>
      <c r="AU31" s="43">
        <v>-2.9100000000000003E-4</v>
      </c>
      <c r="AV31" s="43">
        <v>-1.5100000000000001E-4</v>
      </c>
      <c r="AX31" s="30">
        <v>1.5715472098639098E-2</v>
      </c>
      <c r="AY31" s="43">
        <v>-4.1100000000000002E-4</v>
      </c>
      <c r="AZ31" s="43">
        <v>-4.1300000000000001E-4</v>
      </c>
      <c r="BA31" s="43">
        <v>-3.8000000000000002E-5</v>
      </c>
      <c r="BB31" s="30">
        <v>1.7218586731972435E-2</v>
      </c>
      <c r="BC31" s="43">
        <v>-4.2900000000000002E-4</v>
      </c>
      <c r="BD31" s="43">
        <v>-4.3100000000000001E-4</v>
      </c>
      <c r="BE31" s="43">
        <v>-2.0000000000000002E-5</v>
      </c>
      <c r="BG31" s="30">
        <v>1.5715472098639098E-2</v>
      </c>
      <c r="BH31" s="43">
        <v>-2.8200000000000002E-4</v>
      </c>
      <c r="BI31" s="43">
        <v>-2.8299999999999999E-4</v>
      </c>
      <c r="BJ31" s="43">
        <v>-1.6000000000000001E-4</v>
      </c>
      <c r="BK31" s="30">
        <v>1.7218586731972435E-2</v>
      </c>
      <c r="BL31" s="43">
        <v>-2.8800000000000001E-4</v>
      </c>
      <c r="BM31" s="43">
        <v>-2.8899999999999998E-4</v>
      </c>
      <c r="BN31" s="43">
        <v>-1.55E-4</v>
      </c>
      <c r="BP31" s="30">
        <v>1.5715472098639098E-2</v>
      </c>
      <c r="BQ31" s="43">
        <v>-3.6600000000000001E-4</v>
      </c>
      <c r="BR31" s="43">
        <v>-3.6000000000000002E-4</v>
      </c>
      <c r="BS31" s="43">
        <v>8.5000000000000006E-5</v>
      </c>
      <c r="BT31" s="30">
        <v>1.7218586731972435E-2</v>
      </c>
      <c r="BU31" s="43">
        <v>-3.8400000000000001E-4</v>
      </c>
      <c r="BV31" s="43">
        <v>-3.7800000000000003E-4</v>
      </c>
      <c r="BW31" s="43">
        <v>1.02E-4</v>
      </c>
      <c r="BY31" s="30">
        <v>1.5715472098639098E-2</v>
      </c>
      <c r="BZ31" s="43">
        <v>-2.8499999999999999E-4</v>
      </c>
      <c r="CA31" s="43">
        <v>-2.7099999999999997E-4</v>
      </c>
      <c r="CB31" s="43">
        <v>1.9999999999999999E-6</v>
      </c>
      <c r="CC31" s="30">
        <v>1.7218586731972435E-2</v>
      </c>
      <c r="CD31" s="43">
        <v>-2.9100000000000003E-4</v>
      </c>
      <c r="CE31" s="43">
        <v>-2.7700000000000001E-4</v>
      </c>
      <c r="CF31" s="43">
        <v>7.9999999999999996E-6</v>
      </c>
      <c r="CH31" s="30">
        <v>1.5715472098639098E-2</v>
      </c>
      <c r="CI31" s="43">
        <v>-3.2299999999999999E-4</v>
      </c>
      <c r="CJ31" s="43">
        <v>-3.0600000000000001E-4</v>
      </c>
      <c r="CK31" s="43">
        <v>-1.4300000000000001E-4</v>
      </c>
      <c r="CL31" s="30">
        <v>1.7218586731972435E-2</v>
      </c>
      <c r="CM31" s="43">
        <v>-3.3199999999999999E-4</v>
      </c>
      <c r="CN31" s="43">
        <v>-3.1399999999999999E-4</v>
      </c>
      <c r="CO31" s="43">
        <v>-1.35E-4</v>
      </c>
      <c r="CQ31" s="30">
        <v>1.5715472098639098E-2</v>
      </c>
      <c r="CR31" s="43">
        <v>-2.24E-4</v>
      </c>
      <c r="CS31" s="43">
        <v>-2.23E-4</v>
      </c>
      <c r="CT31" s="43">
        <v>-2.1800000000000001E-4</v>
      </c>
      <c r="CU31" s="30">
        <v>1.7218586731972435E-2</v>
      </c>
      <c r="CV31" s="43">
        <v>-2.24E-4</v>
      </c>
      <c r="CW31" s="43">
        <v>-2.23E-4</v>
      </c>
      <c r="CX31" s="43">
        <v>-2.1800000000000001E-4</v>
      </c>
    </row>
    <row r="32" spans="2:102" x14ac:dyDescent="0.25">
      <c r="H32" s="1"/>
      <c r="I32" s="1"/>
      <c r="N32" s="30">
        <v>1.6398705831972431E-2</v>
      </c>
      <c r="O32" s="43">
        <v>-2.9799999999999998E-4</v>
      </c>
      <c r="P32" s="43">
        <v>-2.7900000000000001E-4</v>
      </c>
      <c r="Q32" s="43">
        <v>-6.4999999999999994E-5</v>
      </c>
      <c r="R32" s="30">
        <v>1.8038467231972433E-2</v>
      </c>
      <c r="S32" s="43">
        <v>-3.0600000000000001E-4</v>
      </c>
      <c r="T32" s="43">
        <v>-2.8600000000000001E-4</v>
      </c>
      <c r="U32" s="43">
        <v>-5.5000000000000002E-5</v>
      </c>
      <c r="W32" s="30">
        <v>1.6398705831972431E-2</v>
      </c>
      <c r="X32" s="43">
        <v>-3.6499999999999998E-4</v>
      </c>
      <c r="Y32" s="43">
        <v>-3.3500000000000001E-4</v>
      </c>
      <c r="Z32" s="43">
        <v>-5.0000000000000004E-6</v>
      </c>
      <c r="AA32" s="30">
        <v>1.8038467231972433E-2</v>
      </c>
      <c r="AB32" s="43">
        <v>-3.6400000000000001E-4</v>
      </c>
      <c r="AC32" s="43">
        <v>-3.3399999999999999E-4</v>
      </c>
      <c r="AD32" s="43">
        <v>-3.9999999999999998E-6</v>
      </c>
      <c r="AF32" s="30">
        <v>1.6398705831972431E-2</v>
      </c>
      <c r="AG32" s="43">
        <v>-4.17E-4</v>
      </c>
      <c r="AH32" s="43">
        <v>-4.1899999999999999E-4</v>
      </c>
      <c r="AI32" s="43">
        <v>-3.1000000000000001E-5</v>
      </c>
      <c r="AJ32" s="30">
        <v>1.8038467231972433E-2</v>
      </c>
      <c r="AK32" s="43">
        <v>-4.3600000000000003E-4</v>
      </c>
      <c r="AL32" s="43">
        <v>-4.3899999999999999E-4</v>
      </c>
      <c r="AM32" s="43">
        <v>-1.1E-5</v>
      </c>
      <c r="AO32" s="30">
        <v>1.6398705831972431E-2</v>
      </c>
      <c r="AP32" s="43">
        <v>-2.8699999999999998E-4</v>
      </c>
      <c r="AQ32" s="43">
        <v>-2.8800000000000001E-4</v>
      </c>
      <c r="AR32" s="43">
        <v>-1.54E-4</v>
      </c>
      <c r="AS32" s="30">
        <v>1.8038467231972433E-2</v>
      </c>
      <c r="AT32" s="43">
        <v>-2.9399999999999999E-4</v>
      </c>
      <c r="AU32" s="43">
        <v>-2.9500000000000001E-4</v>
      </c>
      <c r="AV32" s="43">
        <v>-1.4799999999999999E-4</v>
      </c>
      <c r="AX32" s="30">
        <v>1.6398705831972431E-2</v>
      </c>
      <c r="AY32" s="43">
        <v>-4.1899999999999999E-4</v>
      </c>
      <c r="AZ32" s="43">
        <v>-4.2099999999999999E-4</v>
      </c>
      <c r="BA32" s="43">
        <v>-3.0000000000000001E-5</v>
      </c>
      <c r="BB32" s="30">
        <v>1.8038467231972433E-2</v>
      </c>
      <c r="BC32" s="43">
        <v>-4.3899999999999999E-4</v>
      </c>
      <c r="BD32" s="43">
        <v>-4.4099999999999999E-4</v>
      </c>
      <c r="BE32" s="43">
        <v>-1.1E-5</v>
      </c>
      <c r="BG32" s="30">
        <v>1.6398705831972431E-2</v>
      </c>
      <c r="BH32" s="43">
        <v>-2.8499999999999999E-4</v>
      </c>
      <c r="BI32" s="43">
        <v>-2.8600000000000001E-4</v>
      </c>
      <c r="BJ32" s="43">
        <v>-1.5799999999999999E-4</v>
      </c>
      <c r="BK32" s="30">
        <v>1.8038467231972433E-2</v>
      </c>
      <c r="BL32" s="43">
        <v>-2.92E-4</v>
      </c>
      <c r="BM32" s="43">
        <v>-2.92E-4</v>
      </c>
      <c r="BN32" s="43">
        <v>-1.5200000000000001E-4</v>
      </c>
      <c r="BP32" s="30">
        <v>1.6398705831972431E-2</v>
      </c>
      <c r="BQ32" s="43">
        <v>-3.7399999999999998E-4</v>
      </c>
      <c r="BR32" s="43">
        <v>-3.6900000000000002E-4</v>
      </c>
      <c r="BS32" s="43">
        <v>9.2999999999999997E-5</v>
      </c>
      <c r="BT32" s="30">
        <v>1.8038467231972433E-2</v>
      </c>
      <c r="BU32" s="43">
        <v>-3.9399999999999998E-4</v>
      </c>
      <c r="BV32" s="43">
        <v>-3.88E-4</v>
      </c>
      <c r="BW32" s="43">
        <v>1.11E-4</v>
      </c>
      <c r="BY32" s="30">
        <v>1.6398705831972431E-2</v>
      </c>
      <c r="BZ32" s="43">
        <v>-2.8800000000000001E-4</v>
      </c>
      <c r="CA32" s="43">
        <v>-2.7399999999999999E-4</v>
      </c>
      <c r="CB32" s="43">
        <v>5.0000000000000004E-6</v>
      </c>
      <c r="CC32" s="30">
        <v>1.8038467231972433E-2</v>
      </c>
      <c r="CD32" s="43">
        <v>-2.9399999999999999E-4</v>
      </c>
      <c r="CE32" s="43">
        <v>-2.81E-4</v>
      </c>
      <c r="CF32" s="43">
        <v>1.2E-5</v>
      </c>
      <c r="CH32" s="30">
        <v>1.6398705831972431E-2</v>
      </c>
      <c r="CI32" s="43">
        <v>-3.2699999999999998E-4</v>
      </c>
      <c r="CJ32" s="43">
        <v>-3.1E-4</v>
      </c>
      <c r="CK32" s="43">
        <v>-1.3899999999999999E-4</v>
      </c>
      <c r="CL32" s="30">
        <v>1.8038467231972433E-2</v>
      </c>
      <c r="CM32" s="43">
        <v>-3.3700000000000001E-4</v>
      </c>
      <c r="CN32" s="43">
        <v>-3.19E-4</v>
      </c>
      <c r="CO32" s="43">
        <v>-1.3100000000000001E-4</v>
      </c>
      <c r="CQ32" s="30">
        <v>1.6398705831972431E-2</v>
      </c>
      <c r="CR32" s="43">
        <v>-2.24E-4</v>
      </c>
      <c r="CS32" s="43">
        <v>-2.23E-4</v>
      </c>
      <c r="CT32" s="43">
        <v>-2.1800000000000001E-4</v>
      </c>
      <c r="CU32" s="30">
        <v>1.8038467231972433E-2</v>
      </c>
      <c r="CV32" s="43">
        <v>-2.24E-4</v>
      </c>
      <c r="CW32" s="43">
        <v>-2.23E-4</v>
      </c>
      <c r="CX32" s="43">
        <v>-2.1800000000000001E-4</v>
      </c>
    </row>
    <row r="33" spans="2:102" x14ac:dyDescent="0.25">
      <c r="H33" s="71"/>
      <c r="I33" s="71"/>
      <c r="N33" s="30">
        <v>1.7081939565305768E-2</v>
      </c>
      <c r="O33" s="43">
        <v>-3.0200000000000002E-4</v>
      </c>
      <c r="P33" s="43">
        <v>-2.8200000000000002E-4</v>
      </c>
      <c r="Q33" s="43">
        <v>-6.0999999999999999E-5</v>
      </c>
      <c r="R33" s="30">
        <v>1.8858347731972435E-2</v>
      </c>
      <c r="S33" s="43">
        <v>-3.1100000000000002E-4</v>
      </c>
      <c r="T33" s="43">
        <v>-2.8899999999999998E-4</v>
      </c>
      <c r="U33" s="43">
        <v>-5.1E-5</v>
      </c>
      <c r="W33" s="30">
        <v>1.7081939565305768E-2</v>
      </c>
      <c r="X33" s="43">
        <v>-3.6400000000000001E-4</v>
      </c>
      <c r="Y33" s="43">
        <v>-3.3500000000000001E-4</v>
      </c>
      <c r="Z33" s="43">
        <v>-5.0000000000000004E-6</v>
      </c>
      <c r="AA33" s="30">
        <v>1.8858347731972435E-2</v>
      </c>
      <c r="AB33" s="43">
        <v>-3.6299999999999999E-4</v>
      </c>
      <c r="AC33" s="43">
        <v>-3.3399999999999999E-4</v>
      </c>
      <c r="AD33" s="43">
        <v>-3.0000000000000001E-6</v>
      </c>
      <c r="AF33" s="30">
        <v>1.7081939565305768E-2</v>
      </c>
      <c r="AG33" s="43">
        <v>-4.2499999999999998E-4</v>
      </c>
      <c r="AH33" s="43">
        <v>-4.2700000000000002E-4</v>
      </c>
      <c r="AI33" s="43">
        <v>-2.3E-5</v>
      </c>
      <c r="AJ33" s="30">
        <v>1.8858347731972435E-2</v>
      </c>
      <c r="AK33" s="43">
        <v>-4.46E-4</v>
      </c>
      <c r="AL33" s="43">
        <v>-4.4900000000000002E-4</v>
      </c>
      <c r="AM33" s="43">
        <v>-1.9999999999999999E-6</v>
      </c>
      <c r="AO33" s="30">
        <v>1.7081939565305768E-2</v>
      </c>
      <c r="AP33" s="43">
        <v>-2.9E-4</v>
      </c>
      <c r="AQ33" s="43">
        <v>-2.9100000000000003E-4</v>
      </c>
      <c r="AR33" s="43">
        <v>-1.5100000000000001E-4</v>
      </c>
      <c r="AS33" s="30">
        <v>1.8858347731972435E-2</v>
      </c>
      <c r="AT33" s="43">
        <v>-2.9700000000000001E-4</v>
      </c>
      <c r="AU33" s="43">
        <v>-2.9799999999999998E-4</v>
      </c>
      <c r="AV33" s="43">
        <v>-1.44E-4</v>
      </c>
      <c r="AX33" s="30">
        <v>1.7081939565305768E-2</v>
      </c>
      <c r="AY33" s="43">
        <v>-4.2700000000000002E-4</v>
      </c>
      <c r="AZ33" s="43">
        <v>-4.2999999999999999E-4</v>
      </c>
      <c r="BA33" s="43">
        <v>-2.1999999999999999E-5</v>
      </c>
      <c r="BB33" s="30">
        <v>1.8858347731972435E-2</v>
      </c>
      <c r="BC33" s="43">
        <v>-4.4799999999999999E-4</v>
      </c>
      <c r="BD33" s="43">
        <v>-4.5100000000000001E-4</v>
      </c>
      <c r="BE33" s="43">
        <v>-9.9999999999999995E-7</v>
      </c>
      <c r="BG33" s="30">
        <v>1.7081939565305768E-2</v>
      </c>
      <c r="BH33" s="43">
        <v>-2.8800000000000001E-4</v>
      </c>
      <c r="BI33" s="43">
        <v>-2.8800000000000001E-4</v>
      </c>
      <c r="BJ33" s="43">
        <v>-1.55E-4</v>
      </c>
      <c r="BK33" s="30">
        <v>1.8858347731972435E-2</v>
      </c>
      <c r="BL33" s="43">
        <v>-2.9500000000000001E-4</v>
      </c>
      <c r="BM33" s="43">
        <v>-2.9599999999999998E-4</v>
      </c>
      <c r="BN33" s="43">
        <v>-1.4799999999999999E-4</v>
      </c>
      <c r="BP33" s="30">
        <v>1.7081939565305768E-2</v>
      </c>
      <c r="BQ33" s="43">
        <v>-3.8200000000000002E-4</v>
      </c>
      <c r="BR33" s="43">
        <v>-3.77E-4</v>
      </c>
      <c r="BS33" s="43">
        <v>1E-4</v>
      </c>
      <c r="BT33" s="30">
        <v>1.8858347731972435E-2</v>
      </c>
      <c r="BU33" s="43">
        <v>-4.0299999999999998E-4</v>
      </c>
      <c r="BV33" s="43">
        <v>-3.9800000000000002E-4</v>
      </c>
      <c r="BW33" s="43">
        <v>1.2E-4</v>
      </c>
      <c r="BY33" s="30">
        <v>1.7081939565305768E-2</v>
      </c>
      <c r="BZ33" s="43">
        <v>-2.9E-4</v>
      </c>
      <c r="CA33" s="43">
        <v>-2.7700000000000001E-4</v>
      </c>
      <c r="CB33" s="43">
        <v>7.9999999999999996E-6</v>
      </c>
      <c r="CC33" s="30">
        <v>1.8858347731972435E-2</v>
      </c>
      <c r="CD33" s="43">
        <v>-2.9799999999999998E-4</v>
      </c>
      <c r="CE33" s="43">
        <v>-2.8400000000000002E-4</v>
      </c>
      <c r="CF33" s="43">
        <v>1.5E-5</v>
      </c>
      <c r="CH33" s="30">
        <v>1.7081939565305768E-2</v>
      </c>
      <c r="CI33" s="43">
        <v>-3.3100000000000002E-4</v>
      </c>
      <c r="CJ33" s="43">
        <v>-3.1399999999999999E-4</v>
      </c>
      <c r="CK33" s="43">
        <v>-1.36E-4</v>
      </c>
      <c r="CL33" s="30">
        <v>1.8858347731972435E-2</v>
      </c>
      <c r="CM33" s="43">
        <v>-3.4200000000000002E-4</v>
      </c>
      <c r="CN33" s="43">
        <v>-3.2299999999999999E-4</v>
      </c>
      <c r="CO33" s="43">
        <v>-1.27E-4</v>
      </c>
      <c r="CQ33" s="30">
        <v>1.7081939565305768E-2</v>
      </c>
      <c r="CR33" s="43">
        <v>-2.24E-4</v>
      </c>
      <c r="CS33" s="43">
        <v>-2.23E-4</v>
      </c>
      <c r="CT33" s="43">
        <v>-2.1800000000000001E-4</v>
      </c>
      <c r="CU33" s="30">
        <v>1.8858347731972435E-2</v>
      </c>
      <c r="CV33" s="43">
        <v>-2.24E-4</v>
      </c>
      <c r="CW33" s="43">
        <v>-2.23E-4</v>
      </c>
      <c r="CX33" s="43">
        <v>-2.1800000000000001E-4</v>
      </c>
    </row>
    <row r="34" spans="2:102" x14ac:dyDescent="0.25">
      <c r="B34" s="77" t="s">
        <v>80</v>
      </c>
      <c r="C34" s="77"/>
      <c r="H34" s="1"/>
      <c r="I34" s="1"/>
      <c r="N34" s="30">
        <v>1.7765173298639102E-2</v>
      </c>
      <c r="O34" s="43">
        <v>-3.0499999999999999E-4</v>
      </c>
      <c r="P34" s="43">
        <v>-2.8499999999999999E-4</v>
      </c>
      <c r="Q34" s="43">
        <v>-5.7000000000000003E-5</v>
      </c>
      <c r="R34" s="30">
        <v>1.9678228231972433E-2</v>
      </c>
      <c r="S34" s="43">
        <v>-3.1500000000000001E-4</v>
      </c>
      <c r="T34" s="43">
        <v>-2.9300000000000002E-4</v>
      </c>
      <c r="U34" s="43">
        <v>-4.6E-5</v>
      </c>
      <c r="W34" s="30">
        <v>1.7765173298639102E-2</v>
      </c>
      <c r="X34" s="43">
        <v>-3.6400000000000001E-4</v>
      </c>
      <c r="Y34" s="43">
        <v>-3.3399999999999999E-4</v>
      </c>
      <c r="Z34" s="43">
        <v>-3.9999999999999998E-6</v>
      </c>
      <c r="AA34" s="30">
        <v>1.9678228231972433E-2</v>
      </c>
      <c r="AB34" s="43">
        <v>-3.6299999999999999E-4</v>
      </c>
      <c r="AC34" s="43">
        <v>-3.3300000000000002E-4</v>
      </c>
      <c r="AD34" s="43">
        <v>-1.9999999999999999E-6</v>
      </c>
      <c r="AF34" s="30">
        <v>1.7765173298639102E-2</v>
      </c>
      <c r="AG34" s="43">
        <v>-4.3300000000000001E-4</v>
      </c>
      <c r="AH34" s="43">
        <v>-4.35E-4</v>
      </c>
      <c r="AI34" s="43">
        <v>-1.5E-5</v>
      </c>
      <c r="AJ34" s="30">
        <v>1.9678228231972433E-2</v>
      </c>
      <c r="AK34" s="43">
        <v>-4.5600000000000003E-4</v>
      </c>
      <c r="AL34" s="43">
        <v>-4.5899999999999999E-4</v>
      </c>
      <c r="AM34" s="43">
        <v>7.9999999999999996E-6</v>
      </c>
      <c r="AO34" s="30">
        <v>1.7765173298639102E-2</v>
      </c>
      <c r="AP34" s="43">
        <v>-2.9300000000000002E-4</v>
      </c>
      <c r="AQ34" s="43">
        <v>-2.9300000000000002E-4</v>
      </c>
      <c r="AR34" s="43">
        <v>-1.4899999999999999E-4</v>
      </c>
      <c r="AS34" s="30">
        <v>1.9678228231972433E-2</v>
      </c>
      <c r="AT34" s="43">
        <v>-2.9999999999999997E-4</v>
      </c>
      <c r="AU34" s="43">
        <v>-3.01E-4</v>
      </c>
      <c r="AV34" s="43">
        <v>-1.4100000000000001E-4</v>
      </c>
      <c r="AX34" s="30">
        <v>1.7765173298639102E-2</v>
      </c>
      <c r="AY34" s="43">
        <v>-4.35E-4</v>
      </c>
      <c r="AZ34" s="43">
        <v>-4.3800000000000002E-4</v>
      </c>
      <c r="BA34" s="43">
        <v>-1.4E-5</v>
      </c>
      <c r="BB34" s="30">
        <v>1.9678228231972433E-2</v>
      </c>
      <c r="BC34" s="43">
        <v>-4.5800000000000002E-4</v>
      </c>
      <c r="BD34" s="43">
        <v>-4.6099999999999998E-4</v>
      </c>
      <c r="BE34" s="43">
        <v>7.9999999999999996E-6</v>
      </c>
      <c r="BG34" s="30">
        <v>1.7765173298639102E-2</v>
      </c>
      <c r="BH34" s="43">
        <v>-2.9100000000000003E-4</v>
      </c>
      <c r="BI34" s="43">
        <v>-2.9100000000000003E-4</v>
      </c>
      <c r="BJ34" s="43">
        <v>-1.5300000000000001E-4</v>
      </c>
      <c r="BK34" s="30">
        <v>1.9678228231972433E-2</v>
      </c>
      <c r="BL34" s="43">
        <v>-2.9799999999999998E-4</v>
      </c>
      <c r="BM34" s="43">
        <v>-2.99E-4</v>
      </c>
      <c r="BN34" s="43">
        <v>-1.45E-4</v>
      </c>
      <c r="BP34" s="30">
        <v>1.7765173298639102E-2</v>
      </c>
      <c r="BQ34" s="43">
        <v>-3.8999999999999999E-4</v>
      </c>
      <c r="BR34" s="43">
        <v>-3.8499999999999998E-4</v>
      </c>
      <c r="BS34" s="43">
        <v>1.08E-4</v>
      </c>
      <c r="BT34" s="30">
        <v>1.9678228231972433E-2</v>
      </c>
      <c r="BU34" s="43">
        <v>-4.1399999999999998E-4</v>
      </c>
      <c r="BV34" s="43">
        <v>-4.0900000000000002E-4</v>
      </c>
      <c r="BW34" s="43">
        <v>1.3200000000000001E-4</v>
      </c>
      <c r="BY34" s="30">
        <v>1.7765173298639102E-2</v>
      </c>
      <c r="BZ34" s="43">
        <v>-2.9300000000000002E-4</v>
      </c>
      <c r="CA34" s="43">
        <v>-2.7999999999999998E-4</v>
      </c>
      <c r="CB34" s="43">
        <v>1.1E-5</v>
      </c>
      <c r="CC34" s="30">
        <v>1.9678228231972433E-2</v>
      </c>
      <c r="CD34" s="43">
        <v>-3.01E-4</v>
      </c>
      <c r="CE34" s="43">
        <v>-2.8800000000000001E-4</v>
      </c>
      <c r="CF34" s="43">
        <v>1.9000000000000001E-5</v>
      </c>
      <c r="CH34" s="30">
        <v>1.7765173298639102E-2</v>
      </c>
      <c r="CI34" s="43">
        <v>-3.3599999999999998E-4</v>
      </c>
      <c r="CJ34" s="43">
        <v>-3.1700000000000001E-4</v>
      </c>
      <c r="CK34" s="43">
        <v>-1.3200000000000001E-4</v>
      </c>
      <c r="CL34" s="30">
        <v>1.9678228231972433E-2</v>
      </c>
      <c r="CM34" s="43">
        <v>-3.48E-4</v>
      </c>
      <c r="CN34" s="43">
        <v>-3.2699999999999998E-4</v>
      </c>
      <c r="CO34" s="43">
        <v>-1.2300000000000001E-4</v>
      </c>
      <c r="CQ34" s="30">
        <v>1.7765173298639102E-2</v>
      </c>
      <c r="CR34" s="43">
        <v>-2.24E-4</v>
      </c>
      <c r="CS34" s="43">
        <v>-2.23E-4</v>
      </c>
      <c r="CT34" s="43">
        <v>-2.1800000000000001E-4</v>
      </c>
      <c r="CU34" s="30">
        <v>1.9678228231972433E-2</v>
      </c>
      <c r="CV34" s="43">
        <v>-2.24E-4</v>
      </c>
      <c r="CW34" s="43">
        <v>-2.23E-4</v>
      </c>
      <c r="CX34" s="43">
        <v>-2.1800000000000001E-4</v>
      </c>
    </row>
    <row r="35" spans="2:102" x14ac:dyDescent="0.25">
      <c r="B35" s="77" t="s">
        <v>45</v>
      </c>
      <c r="C35" s="77"/>
      <c r="H35" s="1"/>
      <c r="I35" s="1"/>
      <c r="N35" s="30">
        <v>1.8448407031972439E-2</v>
      </c>
      <c r="O35" s="43">
        <v>-3.0899999999999998E-4</v>
      </c>
      <c r="P35" s="43">
        <v>-2.8800000000000001E-4</v>
      </c>
      <c r="Q35" s="43">
        <v>-5.3000000000000001E-5</v>
      </c>
      <c r="R35" s="30">
        <v>2.0498108731972435E-2</v>
      </c>
      <c r="S35" s="43">
        <v>-3.19E-4</v>
      </c>
      <c r="T35" s="43">
        <v>-2.9599999999999998E-4</v>
      </c>
      <c r="U35" s="43">
        <v>-4.1E-5</v>
      </c>
      <c r="W35" s="30">
        <v>1.8448407031972439E-2</v>
      </c>
      <c r="X35" s="43">
        <v>-3.6299999999999999E-4</v>
      </c>
      <c r="Y35" s="43">
        <v>-3.3399999999999999E-4</v>
      </c>
      <c r="Z35" s="43">
        <v>-3.0000000000000001E-6</v>
      </c>
      <c r="AA35" s="30">
        <v>2.0498108731972435E-2</v>
      </c>
      <c r="AB35" s="43">
        <v>-3.6200000000000002E-4</v>
      </c>
      <c r="AC35" s="43">
        <v>-3.3199999999999999E-4</v>
      </c>
      <c r="AD35" s="43">
        <v>-9.9999999999999995E-7</v>
      </c>
      <c r="AF35" s="30">
        <v>1.8448407031972439E-2</v>
      </c>
      <c r="AG35" s="43">
        <v>-4.4099999999999999E-4</v>
      </c>
      <c r="AH35" s="43">
        <v>-4.44E-4</v>
      </c>
      <c r="AI35" s="43">
        <v>-6.9999999999999999E-6</v>
      </c>
      <c r="AJ35" s="30">
        <v>2.0498108731972435E-2</v>
      </c>
      <c r="AK35" s="43">
        <v>-4.66E-4</v>
      </c>
      <c r="AL35" s="43">
        <v>-4.6799999999999999E-4</v>
      </c>
      <c r="AM35" s="43">
        <v>1.8E-5</v>
      </c>
      <c r="AO35" s="30">
        <v>1.8448407031972439E-2</v>
      </c>
      <c r="AP35" s="43">
        <v>-2.9500000000000001E-4</v>
      </c>
      <c r="AQ35" s="43">
        <v>-2.9599999999999998E-4</v>
      </c>
      <c r="AR35" s="43">
        <v>-1.46E-4</v>
      </c>
      <c r="AS35" s="30">
        <v>2.0498108731972435E-2</v>
      </c>
      <c r="AT35" s="43">
        <v>-3.0299999999999999E-4</v>
      </c>
      <c r="AU35" s="43">
        <v>-3.0400000000000002E-4</v>
      </c>
      <c r="AV35" s="43">
        <v>-1.3799999999999999E-4</v>
      </c>
      <c r="AX35" s="30">
        <v>1.8448407031972439E-2</v>
      </c>
      <c r="AY35" s="43">
        <v>-4.4299999999999998E-4</v>
      </c>
      <c r="AZ35" s="43">
        <v>-4.46E-4</v>
      </c>
      <c r="BA35" s="43">
        <v>-6.0000000000000002E-6</v>
      </c>
      <c r="BB35" s="30">
        <v>2.0498108731972435E-2</v>
      </c>
      <c r="BC35" s="43">
        <v>-4.6799999999999999E-4</v>
      </c>
      <c r="BD35" s="43">
        <v>-4.7100000000000001E-4</v>
      </c>
      <c r="BE35" s="43">
        <v>1.8E-5</v>
      </c>
      <c r="BG35" s="30">
        <v>1.8448407031972439E-2</v>
      </c>
      <c r="BH35" s="43">
        <v>-2.9300000000000002E-4</v>
      </c>
      <c r="BI35" s="43">
        <v>-2.9399999999999999E-4</v>
      </c>
      <c r="BJ35" s="43">
        <v>-1.4999999999999999E-4</v>
      </c>
      <c r="BK35" s="30">
        <v>2.0498108731972435E-2</v>
      </c>
      <c r="BL35" s="43">
        <v>-3.01E-4</v>
      </c>
      <c r="BM35" s="43">
        <v>-3.0200000000000002E-4</v>
      </c>
      <c r="BN35" s="43">
        <v>-1.4200000000000001E-4</v>
      </c>
      <c r="BP35" s="30">
        <v>1.8448407031972439E-2</v>
      </c>
      <c r="BQ35" s="43">
        <v>-3.9800000000000002E-4</v>
      </c>
      <c r="BR35" s="43">
        <v>-3.9300000000000001E-4</v>
      </c>
      <c r="BS35" s="43">
        <v>1.16E-4</v>
      </c>
      <c r="BT35" s="30">
        <v>2.0498108731972435E-2</v>
      </c>
      <c r="BU35" s="43">
        <v>-4.2499999999999998E-4</v>
      </c>
      <c r="BV35" s="43">
        <v>-4.1899999999999999E-4</v>
      </c>
      <c r="BW35" s="43">
        <v>1.4300000000000001E-4</v>
      </c>
      <c r="BY35" s="30">
        <v>1.8448407031972439E-2</v>
      </c>
      <c r="BZ35" s="43">
        <v>-2.9599999999999998E-4</v>
      </c>
      <c r="CA35" s="43">
        <v>-2.8299999999999999E-4</v>
      </c>
      <c r="CB35" s="43">
        <v>1.4E-5</v>
      </c>
      <c r="CC35" s="30">
        <v>2.0498108731972435E-2</v>
      </c>
      <c r="CD35" s="43">
        <v>-3.0499999999999999E-4</v>
      </c>
      <c r="CE35" s="43">
        <v>-2.9100000000000003E-4</v>
      </c>
      <c r="CF35" s="43">
        <v>2.1999999999999999E-5</v>
      </c>
      <c r="CH35" s="30">
        <v>1.8448407031972439E-2</v>
      </c>
      <c r="CI35" s="43">
        <v>-3.4000000000000002E-4</v>
      </c>
      <c r="CJ35" s="43">
        <v>-3.21E-4</v>
      </c>
      <c r="CK35" s="43">
        <v>-1.2899999999999999E-4</v>
      </c>
      <c r="CL35" s="30">
        <v>2.0498108731972435E-2</v>
      </c>
      <c r="CM35" s="43">
        <v>-3.5300000000000002E-4</v>
      </c>
      <c r="CN35" s="43">
        <v>-3.3100000000000002E-4</v>
      </c>
      <c r="CO35" s="43">
        <v>-1.18E-4</v>
      </c>
      <c r="CQ35" s="30">
        <v>1.8448407031972439E-2</v>
      </c>
      <c r="CR35" s="43">
        <v>-2.24E-4</v>
      </c>
      <c r="CS35" s="43">
        <v>-2.23E-4</v>
      </c>
      <c r="CT35" s="43">
        <v>-2.1800000000000001E-4</v>
      </c>
      <c r="CU35" s="30">
        <v>2.0498108731972435E-2</v>
      </c>
      <c r="CV35" s="43">
        <v>-2.24E-4</v>
      </c>
      <c r="CW35" s="43">
        <v>-2.23E-4</v>
      </c>
      <c r="CX35" s="43">
        <v>-2.1800000000000001E-4</v>
      </c>
    </row>
    <row r="36" spans="2:102" x14ac:dyDescent="0.25">
      <c r="B36" s="77" t="s">
        <v>81</v>
      </c>
      <c r="C36" s="77"/>
      <c r="H36" s="71"/>
      <c r="I36" s="71"/>
      <c r="N36" s="30">
        <v>1.9131640765305772E-2</v>
      </c>
      <c r="O36" s="43">
        <v>-3.1199999999999999E-4</v>
      </c>
      <c r="P36" s="43">
        <v>-2.9E-4</v>
      </c>
      <c r="Q36" s="43">
        <v>-4.8999999999999998E-5</v>
      </c>
      <c r="R36" s="30">
        <v>2.1317989231972433E-2</v>
      </c>
      <c r="S36" s="43">
        <v>-3.2299999999999999E-4</v>
      </c>
      <c r="T36" s="43">
        <v>-2.9999999999999997E-4</v>
      </c>
      <c r="U36" s="43">
        <v>-3.6999999999999998E-5</v>
      </c>
      <c r="W36" s="30">
        <v>1.9131640765305772E-2</v>
      </c>
      <c r="X36" s="43">
        <v>-3.6299999999999999E-4</v>
      </c>
      <c r="Y36" s="43">
        <v>-3.3300000000000002E-4</v>
      </c>
      <c r="Z36" s="43">
        <v>-3.0000000000000001E-6</v>
      </c>
      <c r="AA36" s="30">
        <v>2.1317989231972433E-2</v>
      </c>
      <c r="AB36" s="43">
        <v>-3.6099999999999999E-4</v>
      </c>
      <c r="AC36" s="43">
        <v>-3.3199999999999999E-4</v>
      </c>
      <c r="AD36" s="43">
        <v>-9.9999999999999995E-7</v>
      </c>
      <c r="AF36" s="30">
        <v>1.9131640765305772E-2</v>
      </c>
      <c r="AG36" s="43">
        <v>-4.4900000000000002E-4</v>
      </c>
      <c r="AH36" s="43">
        <v>-4.5199999999999998E-4</v>
      </c>
      <c r="AI36" s="43">
        <v>9.9999999999999995E-7</v>
      </c>
      <c r="AJ36" s="30">
        <v>2.1317989231972433E-2</v>
      </c>
      <c r="AK36" s="43">
        <v>-4.75E-4</v>
      </c>
      <c r="AL36" s="43">
        <v>-4.7800000000000002E-4</v>
      </c>
      <c r="AM36" s="43">
        <v>2.6999999999999999E-5</v>
      </c>
      <c r="AO36" s="30">
        <v>1.9131640765305772E-2</v>
      </c>
      <c r="AP36" s="43">
        <v>-2.9799999999999998E-4</v>
      </c>
      <c r="AQ36" s="43">
        <v>-2.99E-4</v>
      </c>
      <c r="AR36" s="43">
        <v>-1.4300000000000001E-4</v>
      </c>
      <c r="AS36" s="30">
        <v>2.1317989231972433E-2</v>
      </c>
      <c r="AT36" s="43">
        <v>-3.0699999999999998E-4</v>
      </c>
      <c r="AU36" s="43">
        <v>-3.0699999999999998E-4</v>
      </c>
      <c r="AV36" s="43">
        <v>-1.35E-4</v>
      </c>
      <c r="AX36" s="30">
        <v>1.9131640765305772E-2</v>
      </c>
      <c r="AY36" s="43">
        <v>-4.5199999999999998E-4</v>
      </c>
      <c r="AZ36" s="43">
        <v>-4.5399999999999998E-4</v>
      </c>
      <c r="BA36" s="43">
        <v>1.9999999999999999E-6</v>
      </c>
      <c r="BB36" s="30">
        <v>2.1317989231972433E-2</v>
      </c>
      <c r="BC36" s="43">
        <v>-4.7800000000000002E-4</v>
      </c>
      <c r="BD36" s="43">
        <v>-4.8099999999999998E-4</v>
      </c>
      <c r="BE36" s="43">
        <v>2.8E-5</v>
      </c>
      <c r="BG36" s="30">
        <v>1.9131640765305772E-2</v>
      </c>
      <c r="BH36" s="43">
        <v>-2.9599999999999998E-4</v>
      </c>
      <c r="BI36" s="43">
        <v>-2.9700000000000001E-4</v>
      </c>
      <c r="BJ36" s="43">
        <v>-1.47E-4</v>
      </c>
      <c r="BK36" s="30">
        <v>2.1317989231972433E-2</v>
      </c>
      <c r="BL36" s="43">
        <v>-3.0499999999999999E-4</v>
      </c>
      <c r="BM36" s="43">
        <v>-3.0499999999999999E-4</v>
      </c>
      <c r="BN36" s="43">
        <v>-1.3899999999999999E-4</v>
      </c>
      <c r="BP36" s="30">
        <v>1.9131640765305772E-2</v>
      </c>
      <c r="BQ36" s="43">
        <v>-4.0700000000000003E-4</v>
      </c>
      <c r="BR36" s="43">
        <v>-4.0200000000000001E-4</v>
      </c>
      <c r="BS36" s="43">
        <v>1.25E-4</v>
      </c>
      <c r="BT36" s="30">
        <v>2.1317989231972433E-2</v>
      </c>
      <c r="BU36" s="43">
        <v>-4.35E-4</v>
      </c>
      <c r="BV36" s="43">
        <v>-4.2999999999999999E-4</v>
      </c>
      <c r="BW36" s="43">
        <v>1.5300000000000001E-4</v>
      </c>
      <c r="BY36" s="30">
        <v>1.9131640765305772E-2</v>
      </c>
      <c r="BZ36" s="43">
        <v>-2.99E-4</v>
      </c>
      <c r="CA36" s="43">
        <v>-2.8499999999999999E-4</v>
      </c>
      <c r="CB36" s="43">
        <v>1.5999999999999999E-5</v>
      </c>
      <c r="CC36" s="30">
        <v>2.1317989231972433E-2</v>
      </c>
      <c r="CD36" s="43">
        <v>-3.0800000000000001E-4</v>
      </c>
      <c r="CE36" s="43">
        <v>-2.9500000000000001E-4</v>
      </c>
      <c r="CF36" s="43">
        <v>2.5000000000000001E-5</v>
      </c>
      <c r="CH36" s="30">
        <v>1.9131640765305772E-2</v>
      </c>
      <c r="CI36" s="43">
        <v>-3.4400000000000001E-4</v>
      </c>
      <c r="CJ36" s="43">
        <v>-3.2400000000000001E-4</v>
      </c>
      <c r="CK36" s="43">
        <v>-1.25E-4</v>
      </c>
      <c r="CL36" s="30">
        <v>2.1317989231972433E-2</v>
      </c>
      <c r="CM36" s="43">
        <v>-3.5799999999999997E-4</v>
      </c>
      <c r="CN36" s="43">
        <v>-3.3599999999999998E-4</v>
      </c>
      <c r="CO36" s="43">
        <v>-1.1400000000000001E-4</v>
      </c>
      <c r="CQ36" s="30">
        <v>1.9131640765305772E-2</v>
      </c>
      <c r="CR36" s="43">
        <v>-2.24E-4</v>
      </c>
      <c r="CS36" s="43">
        <v>-2.23E-4</v>
      </c>
      <c r="CT36" s="43">
        <v>-2.1800000000000001E-4</v>
      </c>
      <c r="CU36" s="30">
        <v>2.1317989231972433E-2</v>
      </c>
      <c r="CV36" s="43">
        <v>-2.24E-4</v>
      </c>
      <c r="CW36" s="43">
        <v>-2.23E-4</v>
      </c>
      <c r="CX36" s="43">
        <v>-2.1800000000000001E-4</v>
      </c>
    </row>
    <row r="37" spans="2:102" x14ac:dyDescent="0.25">
      <c r="B37" s="77" t="s">
        <v>90</v>
      </c>
      <c r="C37" s="77"/>
      <c r="D37" s="77"/>
      <c r="E37" s="3"/>
      <c r="H37" s="1"/>
      <c r="I37" s="1"/>
      <c r="N37" s="30">
        <v>1.9814874498639105E-2</v>
      </c>
      <c r="O37" s="43">
        <v>-3.1599999999999998E-4</v>
      </c>
      <c r="P37" s="43">
        <v>-2.9300000000000002E-4</v>
      </c>
      <c r="Q37" s="43">
        <v>-4.5000000000000003E-5</v>
      </c>
      <c r="R37" s="30">
        <v>2.2137869731972435E-2</v>
      </c>
      <c r="S37" s="43">
        <v>-3.2699999999999998E-4</v>
      </c>
      <c r="T37" s="43">
        <v>-3.0299999999999999E-4</v>
      </c>
      <c r="U37" s="43">
        <v>-3.1999999999999999E-5</v>
      </c>
      <c r="W37" s="30">
        <v>1.9814874498639105E-2</v>
      </c>
      <c r="X37" s="43">
        <v>-3.6200000000000002E-4</v>
      </c>
      <c r="Y37" s="43">
        <v>-3.3300000000000002E-4</v>
      </c>
      <c r="Z37" s="43">
        <v>-1.9999999999999999E-6</v>
      </c>
      <c r="AA37" s="30">
        <v>2.2137869731972435E-2</v>
      </c>
      <c r="AB37" s="43">
        <v>-3.6099999999999999E-4</v>
      </c>
      <c r="AC37" s="43">
        <v>-3.3100000000000002E-4</v>
      </c>
      <c r="AD37" s="43">
        <v>3.889E-8</v>
      </c>
      <c r="AF37" s="30">
        <v>1.9814874498639105E-2</v>
      </c>
      <c r="AG37" s="43">
        <v>-4.57E-4</v>
      </c>
      <c r="AH37" s="43">
        <v>-4.6000000000000001E-4</v>
      </c>
      <c r="AI37" s="43">
        <v>9.0000000000000002E-6</v>
      </c>
      <c r="AJ37" s="30">
        <v>2.2137869731972435E-2</v>
      </c>
      <c r="AK37" s="43">
        <v>-4.8500000000000003E-4</v>
      </c>
      <c r="AL37" s="43">
        <v>-4.8799999999999999E-4</v>
      </c>
      <c r="AM37" s="43">
        <v>3.6999999999999998E-5</v>
      </c>
      <c r="AO37" s="30">
        <v>1.9814874498639105E-2</v>
      </c>
      <c r="AP37" s="43">
        <v>-3.01E-4</v>
      </c>
      <c r="AQ37" s="43">
        <v>-3.0200000000000002E-4</v>
      </c>
      <c r="AR37" s="43">
        <v>-1.4100000000000001E-4</v>
      </c>
      <c r="AS37" s="30">
        <v>2.2137869731972435E-2</v>
      </c>
      <c r="AT37" s="43">
        <v>-3.1E-4</v>
      </c>
      <c r="AU37" s="43">
        <v>-3.1100000000000002E-4</v>
      </c>
      <c r="AV37" s="43">
        <v>-1.3200000000000001E-4</v>
      </c>
      <c r="AX37" s="30">
        <v>1.9814874498639105E-2</v>
      </c>
      <c r="AY37" s="43">
        <v>-4.6000000000000001E-4</v>
      </c>
      <c r="AZ37" s="43">
        <v>-4.6299999999999998E-4</v>
      </c>
      <c r="BA37" s="43">
        <v>1.0000000000000001E-5</v>
      </c>
      <c r="BB37" s="30">
        <v>2.2137869731972435E-2</v>
      </c>
      <c r="BC37" s="43">
        <v>-4.8799999999999999E-4</v>
      </c>
      <c r="BD37" s="43">
        <v>-4.9100000000000001E-4</v>
      </c>
      <c r="BE37" s="43">
        <v>3.8000000000000002E-5</v>
      </c>
      <c r="BG37" s="30">
        <v>1.9814874498639105E-2</v>
      </c>
      <c r="BH37" s="43">
        <v>-2.99E-4</v>
      </c>
      <c r="BI37" s="43">
        <v>-2.99E-4</v>
      </c>
      <c r="BJ37" s="43">
        <v>-1.45E-4</v>
      </c>
      <c r="BK37" s="30">
        <v>2.2137869731972435E-2</v>
      </c>
      <c r="BL37" s="43">
        <v>-3.0800000000000001E-4</v>
      </c>
      <c r="BM37" s="43">
        <v>-3.0899999999999998E-4</v>
      </c>
      <c r="BN37" s="43">
        <v>-1.36E-4</v>
      </c>
      <c r="BP37" s="30">
        <v>1.9814874498639105E-2</v>
      </c>
      <c r="BQ37" s="43">
        <v>-4.1599999999999997E-4</v>
      </c>
      <c r="BR37" s="43">
        <v>-4.0999999999999999E-4</v>
      </c>
      <c r="BS37" s="43">
        <v>1.34E-4</v>
      </c>
      <c r="BT37" s="30">
        <v>2.2137869731972435E-2</v>
      </c>
      <c r="BU37" s="43">
        <v>-4.4499999999999997E-4</v>
      </c>
      <c r="BV37" s="43">
        <v>-4.4000000000000002E-4</v>
      </c>
      <c r="BW37" s="43">
        <v>1.64E-4</v>
      </c>
      <c r="BY37" s="30">
        <v>1.9814874498639105E-2</v>
      </c>
      <c r="BZ37" s="43">
        <v>-3.0200000000000002E-4</v>
      </c>
      <c r="CA37" s="43">
        <v>-2.8800000000000001E-4</v>
      </c>
      <c r="CB37" s="43">
        <v>1.9000000000000001E-5</v>
      </c>
      <c r="CC37" s="30">
        <v>2.2137869731972435E-2</v>
      </c>
      <c r="CD37" s="43">
        <v>-3.1100000000000002E-4</v>
      </c>
      <c r="CE37" s="43">
        <v>-2.9799999999999998E-4</v>
      </c>
      <c r="CF37" s="43">
        <v>2.9E-5</v>
      </c>
      <c r="CH37" s="30">
        <v>1.9814874498639105E-2</v>
      </c>
      <c r="CI37" s="43">
        <v>-3.48E-4</v>
      </c>
      <c r="CJ37" s="43">
        <v>-3.28E-4</v>
      </c>
      <c r="CK37" s="43">
        <v>-1.22E-4</v>
      </c>
      <c r="CL37" s="30">
        <v>2.2137869731972435E-2</v>
      </c>
      <c r="CM37" s="43">
        <v>-3.6299999999999999E-4</v>
      </c>
      <c r="CN37" s="43">
        <v>-3.4000000000000002E-4</v>
      </c>
      <c r="CO37" s="43">
        <v>-1.1E-4</v>
      </c>
      <c r="CQ37" s="30">
        <v>1.9814874498639105E-2</v>
      </c>
      <c r="CR37" s="43">
        <v>-2.24E-4</v>
      </c>
      <c r="CS37" s="43">
        <v>-2.23E-4</v>
      </c>
      <c r="CT37" s="43">
        <v>-2.1800000000000001E-4</v>
      </c>
      <c r="CU37" s="30">
        <v>2.2137869731972435E-2</v>
      </c>
      <c r="CV37" s="43">
        <v>-2.24E-4</v>
      </c>
      <c r="CW37" s="43">
        <v>-2.23E-4</v>
      </c>
      <c r="CX37" s="43">
        <v>-2.1800000000000001E-4</v>
      </c>
    </row>
    <row r="38" spans="2:102" x14ac:dyDescent="0.25">
      <c r="H38" s="1"/>
      <c r="I38" s="1"/>
      <c r="N38" s="30">
        <v>2.0498108231972442E-2</v>
      </c>
      <c r="O38" s="43">
        <v>-3.19E-4</v>
      </c>
      <c r="P38" s="43">
        <v>-2.9599999999999998E-4</v>
      </c>
      <c r="Q38" s="43">
        <v>-4.1E-5</v>
      </c>
      <c r="R38" s="30">
        <v>2.2957750231972433E-2</v>
      </c>
      <c r="S38" s="43">
        <v>-3.3199999999999999E-4</v>
      </c>
      <c r="T38" s="43">
        <v>-3.0699999999999998E-4</v>
      </c>
      <c r="U38" s="43">
        <v>-2.6999999999999999E-5</v>
      </c>
      <c r="W38" s="30">
        <v>2.0498108231972442E-2</v>
      </c>
      <c r="X38" s="43">
        <v>-3.6200000000000002E-4</v>
      </c>
      <c r="Y38" s="43">
        <v>-3.3199999999999999E-4</v>
      </c>
      <c r="Z38" s="43">
        <v>-9.9999999999999995E-7</v>
      </c>
      <c r="AA38" s="30">
        <v>2.2957750231972433E-2</v>
      </c>
      <c r="AB38" s="43">
        <v>-3.6000000000000002E-4</v>
      </c>
      <c r="AC38" s="43">
        <v>-3.3100000000000002E-4</v>
      </c>
      <c r="AD38" s="43">
        <v>9.9999999999999995E-7</v>
      </c>
      <c r="AF38" s="30">
        <v>2.0498108231972442E-2</v>
      </c>
      <c r="AG38" s="43">
        <v>-4.66E-4</v>
      </c>
      <c r="AH38" s="43">
        <v>-4.6799999999999999E-4</v>
      </c>
      <c r="AI38" s="43">
        <v>1.8E-5</v>
      </c>
      <c r="AJ38" s="30">
        <v>2.2957750231972433E-2</v>
      </c>
      <c r="AK38" s="43">
        <v>-4.95E-4</v>
      </c>
      <c r="AL38" s="43">
        <v>-4.9799999999999996E-4</v>
      </c>
      <c r="AM38" s="43">
        <v>4.6999999999999997E-5</v>
      </c>
      <c r="AO38" s="30">
        <v>2.0498108231972442E-2</v>
      </c>
      <c r="AP38" s="43">
        <v>-3.0299999999999999E-4</v>
      </c>
      <c r="AQ38" s="43">
        <v>-3.0400000000000002E-4</v>
      </c>
      <c r="AR38" s="43">
        <v>-1.3799999999999999E-4</v>
      </c>
      <c r="AS38" s="30">
        <v>2.2957750231972433E-2</v>
      </c>
      <c r="AT38" s="43">
        <v>-3.1300000000000002E-4</v>
      </c>
      <c r="AU38" s="43">
        <v>-3.1399999999999999E-4</v>
      </c>
      <c r="AV38" s="43">
        <v>-1.2799999999999999E-4</v>
      </c>
      <c r="AX38" s="30">
        <v>2.0498108231972442E-2</v>
      </c>
      <c r="AY38" s="43">
        <v>-4.6799999999999999E-4</v>
      </c>
      <c r="AZ38" s="43">
        <v>-4.7100000000000001E-4</v>
      </c>
      <c r="BA38" s="43">
        <v>1.8E-5</v>
      </c>
      <c r="BB38" s="30">
        <v>2.2957750231972433E-2</v>
      </c>
      <c r="BC38" s="43">
        <v>-4.9700000000000005E-4</v>
      </c>
      <c r="BD38" s="43">
        <v>-5.0100000000000003E-4</v>
      </c>
      <c r="BE38" s="43">
        <v>4.6999999999999997E-5</v>
      </c>
      <c r="BG38" s="30">
        <v>2.0498108231972442E-2</v>
      </c>
      <c r="BH38" s="43">
        <v>-3.01E-4</v>
      </c>
      <c r="BI38" s="43">
        <v>-3.0200000000000002E-4</v>
      </c>
      <c r="BJ38" s="43">
        <v>-1.4200000000000001E-4</v>
      </c>
      <c r="BK38" s="30">
        <v>2.2957750231972433E-2</v>
      </c>
      <c r="BL38" s="43">
        <v>-3.1100000000000002E-4</v>
      </c>
      <c r="BM38" s="43">
        <v>-3.1199999999999999E-4</v>
      </c>
      <c r="BN38" s="43">
        <v>-1.3300000000000001E-4</v>
      </c>
      <c r="BP38" s="30">
        <v>2.0498108231972442E-2</v>
      </c>
      <c r="BQ38" s="43">
        <v>-4.2499999999999998E-4</v>
      </c>
      <c r="BR38" s="43">
        <v>-4.1899999999999999E-4</v>
      </c>
      <c r="BS38" s="43">
        <v>1.4300000000000001E-4</v>
      </c>
      <c r="BT38" s="30">
        <v>2.2957750231972433E-2</v>
      </c>
      <c r="BU38" s="43">
        <v>-4.5600000000000003E-4</v>
      </c>
      <c r="BV38" s="43">
        <v>-4.5100000000000001E-4</v>
      </c>
      <c r="BW38" s="43">
        <v>1.74E-4</v>
      </c>
      <c r="BY38" s="30">
        <v>2.0498108231972442E-2</v>
      </c>
      <c r="BZ38" s="43">
        <v>-3.0499999999999999E-4</v>
      </c>
      <c r="CA38" s="43">
        <v>-2.9100000000000003E-4</v>
      </c>
      <c r="CB38" s="43">
        <v>2.1999999999999999E-5</v>
      </c>
      <c r="CC38" s="30">
        <v>2.2957750231972433E-2</v>
      </c>
      <c r="CD38" s="43">
        <v>-3.1500000000000001E-4</v>
      </c>
      <c r="CE38" s="43">
        <v>-3.01E-4</v>
      </c>
      <c r="CF38" s="43">
        <v>3.1999999999999999E-5</v>
      </c>
      <c r="CH38" s="30">
        <v>2.0498108231972442E-2</v>
      </c>
      <c r="CI38" s="43">
        <v>-3.5300000000000002E-4</v>
      </c>
      <c r="CJ38" s="43">
        <v>-3.3100000000000002E-4</v>
      </c>
      <c r="CK38" s="43">
        <v>-1.1900000000000001E-4</v>
      </c>
      <c r="CL38" s="30">
        <v>2.2957750231972433E-2</v>
      </c>
      <c r="CM38" s="43">
        <v>-3.68E-4</v>
      </c>
      <c r="CN38" s="43">
        <v>-3.4400000000000001E-4</v>
      </c>
      <c r="CO38" s="43">
        <v>-1.06E-4</v>
      </c>
      <c r="CQ38" s="30">
        <v>2.0498108231972442E-2</v>
      </c>
      <c r="CR38" s="43">
        <v>-2.24E-4</v>
      </c>
      <c r="CS38" s="43">
        <v>-2.23E-4</v>
      </c>
      <c r="CT38" s="43">
        <v>-2.1800000000000001E-4</v>
      </c>
      <c r="CU38" s="30">
        <v>2.2957750231972433E-2</v>
      </c>
      <c r="CV38" s="43">
        <v>-2.24E-4</v>
      </c>
      <c r="CW38" s="43">
        <v>-2.23E-4</v>
      </c>
      <c r="CX38" s="43">
        <v>-2.1800000000000001E-4</v>
      </c>
    </row>
    <row r="39" spans="2:102" x14ac:dyDescent="0.25">
      <c r="H39" s="71"/>
      <c r="I39" s="71"/>
      <c r="N39" s="30">
        <v>2.1181341965305776E-2</v>
      </c>
      <c r="O39" s="43">
        <v>-3.2299999999999999E-4</v>
      </c>
      <c r="P39" s="43">
        <v>-2.99E-4</v>
      </c>
      <c r="Q39" s="43">
        <v>-3.6999999999999998E-5</v>
      </c>
      <c r="R39" s="30">
        <v>2.3777630731972435E-2</v>
      </c>
      <c r="S39" s="43">
        <v>-3.3599999999999998E-4</v>
      </c>
      <c r="T39" s="43">
        <v>-3.1E-4</v>
      </c>
      <c r="U39" s="43">
        <v>-2.1999999999999999E-5</v>
      </c>
      <c r="W39" s="30">
        <v>2.1181341965305776E-2</v>
      </c>
      <c r="X39" s="43">
        <v>-3.6200000000000002E-4</v>
      </c>
      <c r="Y39" s="43">
        <v>-3.3199999999999999E-4</v>
      </c>
      <c r="Z39" s="43">
        <v>-9.9999999999999995E-7</v>
      </c>
      <c r="AA39" s="30">
        <v>2.3777630731972435E-2</v>
      </c>
      <c r="AB39" s="43">
        <v>-3.6000000000000002E-4</v>
      </c>
      <c r="AC39" s="43">
        <v>-3.3E-4</v>
      </c>
      <c r="AD39" s="43">
        <v>1.9999999999999999E-6</v>
      </c>
      <c r="AF39" s="30">
        <v>2.1181341965305776E-2</v>
      </c>
      <c r="AG39" s="43">
        <v>-4.7399999999999997E-4</v>
      </c>
      <c r="AH39" s="43">
        <v>-4.7699999999999999E-4</v>
      </c>
      <c r="AI39" s="43">
        <v>2.5999999999999998E-5</v>
      </c>
      <c r="AJ39" s="30">
        <v>2.3777630731972435E-2</v>
      </c>
      <c r="AK39" s="43">
        <v>-5.0500000000000002E-4</v>
      </c>
      <c r="AL39" s="43">
        <v>-5.0799999999999999E-4</v>
      </c>
      <c r="AM39" s="43">
        <v>5.7000000000000003E-5</v>
      </c>
      <c r="AO39" s="30">
        <v>2.1181341965305776E-2</v>
      </c>
      <c r="AP39" s="43">
        <v>-3.0600000000000001E-4</v>
      </c>
      <c r="AQ39" s="43">
        <v>-3.0699999999999998E-4</v>
      </c>
      <c r="AR39" s="43">
        <v>-1.35E-4</v>
      </c>
      <c r="AS39" s="30">
        <v>2.3777630731972435E-2</v>
      </c>
      <c r="AT39" s="43">
        <v>-3.1599999999999998E-4</v>
      </c>
      <c r="AU39" s="43">
        <v>-3.1700000000000001E-4</v>
      </c>
      <c r="AV39" s="43">
        <v>-1.25E-4</v>
      </c>
      <c r="AX39" s="30">
        <v>2.1181341965305776E-2</v>
      </c>
      <c r="AY39" s="43">
        <v>-4.7600000000000002E-4</v>
      </c>
      <c r="AZ39" s="43">
        <v>-4.7899999999999999E-4</v>
      </c>
      <c r="BA39" s="43">
        <v>2.5999999999999998E-5</v>
      </c>
      <c r="BB39" s="30">
        <v>2.3777630731972435E-2</v>
      </c>
      <c r="BC39" s="43">
        <v>-5.0699999999999996E-4</v>
      </c>
      <c r="BD39" s="43">
        <v>-5.1099999999999995E-4</v>
      </c>
      <c r="BE39" s="43">
        <v>5.7000000000000003E-5</v>
      </c>
      <c r="BG39" s="30">
        <v>2.1181341965305776E-2</v>
      </c>
      <c r="BH39" s="43">
        <v>-3.0400000000000002E-4</v>
      </c>
      <c r="BI39" s="43">
        <v>-3.0499999999999999E-4</v>
      </c>
      <c r="BJ39" s="43">
        <v>-1.3899999999999999E-4</v>
      </c>
      <c r="BK39" s="30">
        <v>2.3777630731972435E-2</v>
      </c>
      <c r="BL39" s="43">
        <v>-3.1399999999999999E-4</v>
      </c>
      <c r="BM39" s="43">
        <v>-3.1500000000000001E-4</v>
      </c>
      <c r="BN39" s="43">
        <v>-1.2999999999999999E-4</v>
      </c>
      <c r="BP39" s="30">
        <v>2.1181341965305776E-2</v>
      </c>
      <c r="BQ39" s="43">
        <v>-4.3300000000000001E-4</v>
      </c>
      <c r="BR39" s="43">
        <v>-4.28E-4</v>
      </c>
      <c r="BS39" s="43">
        <v>1.5100000000000001E-4</v>
      </c>
      <c r="BT39" s="30">
        <v>2.3777630731972435E-2</v>
      </c>
      <c r="BU39" s="43">
        <v>-4.6700000000000002E-4</v>
      </c>
      <c r="BV39" s="43">
        <v>-4.6099999999999998E-4</v>
      </c>
      <c r="BW39" s="43">
        <v>1.8599999999999999E-4</v>
      </c>
      <c r="BY39" s="30">
        <v>2.1181341965305776E-2</v>
      </c>
      <c r="BZ39" s="43">
        <v>-3.0699999999999998E-4</v>
      </c>
      <c r="CA39" s="43">
        <v>-2.9399999999999999E-4</v>
      </c>
      <c r="CB39" s="43">
        <v>2.5000000000000001E-5</v>
      </c>
      <c r="CC39" s="30">
        <v>2.3777630731972435E-2</v>
      </c>
      <c r="CD39" s="43">
        <v>-3.1799999999999998E-4</v>
      </c>
      <c r="CE39" s="43">
        <v>-3.0499999999999999E-4</v>
      </c>
      <c r="CF39" s="43">
        <v>3.4999999999999997E-5</v>
      </c>
      <c r="CH39" s="30">
        <v>2.1181341965305776E-2</v>
      </c>
      <c r="CI39" s="43">
        <v>-3.57E-4</v>
      </c>
      <c r="CJ39" s="43">
        <v>-3.3500000000000001E-4</v>
      </c>
      <c r="CK39" s="43">
        <v>-1.15E-4</v>
      </c>
      <c r="CL39" s="30">
        <v>2.3777630731972435E-2</v>
      </c>
      <c r="CM39" s="43">
        <v>-3.7300000000000001E-4</v>
      </c>
      <c r="CN39" s="43">
        <v>-3.4900000000000003E-4</v>
      </c>
      <c r="CO39" s="43">
        <v>-1.02E-4</v>
      </c>
      <c r="CQ39" s="30">
        <v>2.1181341965305776E-2</v>
      </c>
      <c r="CR39" s="43">
        <v>-2.24E-4</v>
      </c>
      <c r="CS39" s="43">
        <v>-2.23E-4</v>
      </c>
      <c r="CT39" s="43">
        <v>-2.1800000000000001E-4</v>
      </c>
      <c r="CU39" s="30">
        <v>2.3777630731972435E-2</v>
      </c>
      <c r="CV39" s="43">
        <v>-2.24E-4</v>
      </c>
      <c r="CW39" s="43">
        <v>-2.23E-4</v>
      </c>
      <c r="CX39" s="43">
        <v>-2.1699999999999999E-4</v>
      </c>
    </row>
    <row r="40" spans="2:102" x14ac:dyDescent="0.25">
      <c r="H40" s="1"/>
      <c r="I40" s="1"/>
      <c r="N40" s="30">
        <v>2.1864575698639113E-2</v>
      </c>
      <c r="O40" s="43">
        <v>-3.2600000000000001E-4</v>
      </c>
      <c r="P40" s="43">
        <v>-3.0200000000000002E-4</v>
      </c>
      <c r="Q40" s="43">
        <v>-3.3000000000000003E-5</v>
      </c>
      <c r="R40" s="30">
        <v>2.4597511231972433E-2</v>
      </c>
      <c r="S40" s="43">
        <v>-3.4000000000000002E-4</v>
      </c>
      <c r="T40" s="43">
        <v>-3.1399999999999999E-4</v>
      </c>
      <c r="U40" s="43">
        <v>-1.8E-5</v>
      </c>
      <c r="W40" s="30">
        <v>2.1864575698639113E-2</v>
      </c>
      <c r="X40" s="43">
        <v>-3.6099999999999999E-4</v>
      </c>
      <c r="Y40" s="43">
        <v>-3.3199999999999999E-4</v>
      </c>
      <c r="Z40" s="43">
        <v>-2.0970000000000001E-7</v>
      </c>
      <c r="AA40" s="30">
        <v>2.4597511231972433E-2</v>
      </c>
      <c r="AB40" s="43">
        <v>-3.59E-4</v>
      </c>
      <c r="AC40" s="43">
        <v>-3.3E-4</v>
      </c>
      <c r="AD40" s="43">
        <v>1.9999999999999999E-6</v>
      </c>
      <c r="AF40" s="30">
        <v>2.1864575698639113E-2</v>
      </c>
      <c r="AG40" s="43">
        <v>-4.8200000000000001E-4</v>
      </c>
      <c r="AH40" s="43">
        <v>-4.8500000000000003E-4</v>
      </c>
      <c r="AI40" s="43">
        <v>3.4E-5</v>
      </c>
      <c r="AJ40" s="30">
        <v>2.4597511231972433E-2</v>
      </c>
      <c r="AK40" s="43">
        <v>-5.1500000000000005E-4</v>
      </c>
      <c r="AL40" s="43">
        <v>-5.1800000000000001E-4</v>
      </c>
      <c r="AM40" s="43">
        <v>6.6000000000000005E-5</v>
      </c>
      <c r="AO40" s="30">
        <v>2.1864575698639113E-2</v>
      </c>
      <c r="AP40" s="43">
        <v>-3.0899999999999998E-4</v>
      </c>
      <c r="AQ40" s="43">
        <v>-3.1E-4</v>
      </c>
      <c r="AR40" s="43">
        <v>-1.3300000000000001E-4</v>
      </c>
      <c r="AS40" s="30">
        <v>2.4597511231972433E-2</v>
      </c>
      <c r="AT40" s="43">
        <v>-3.19E-4</v>
      </c>
      <c r="AU40" s="43">
        <v>-3.2000000000000003E-4</v>
      </c>
      <c r="AV40" s="43">
        <v>-1.22E-4</v>
      </c>
      <c r="AX40" s="30">
        <v>2.1864575698639113E-2</v>
      </c>
      <c r="AY40" s="43">
        <v>-4.84E-4</v>
      </c>
      <c r="AZ40" s="43">
        <v>-4.8700000000000002E-4</v>
      </c>
      <c r="BA40" s="43">
        <v>3.4E-5</v>
      </c>
      <c r="BB40" s="30">
        <v>2.4597511231972433E-2</v>
      </c>
      <c r="BC40" s="43">
        <v>-5.1699999999999999E-4</v>
      </c>
      <c r="BD40" s="43">
        <v>-5.2099999999999998E-4</v>
      </c>
      <c r="BE40" s="43">
        <v>6.7000000000000002E-5</v>
      </c>
      <c r="BG40" s="30">
        <v>2.1864575698639113E-2</v>
      </c>
      <c r="BH40" s="43">
        <v>-3.0699999999999998E-4</v>
      </c>
      <c r="BI40" s="43">
        <v>-3.0800000000000001E-4</v>
      </c>
      <c r="BJ40" s="43">
        <v>-1.37E-4</v>
      </c>
      <c r="BK40" s="30">
        <v>2.4597511231972433E-2</v>
      </c>
      <c r="BL40" s="43">
        <v>-3.1700000000000001E-4</v>
      </c>
      <c r="BM40" s="43">
        <v>-3.1799999999999998E-4</v>
      </c>
      <c r="BN40" s="43">
        <v>-1.26E-4</v>
      </c>
      <c r="BP40" s="30">
        <v>2.1864575698639113E-2</v>
      </c>
      <c r="BQ40" s="43">
        <v>-4.4200000000000001E-4</v>
      </c>
      <c r="BR40" s="43">
        <v>-4.3600000000000003E-4</v>
      </c>
      <c r="BS40" s="43">
        <v>1.6000000000000001E-4</v>
      </c>
      <c r="BT40" s="30">
        <v>2.4597511231972433E-2</v>
      </c>
      <c r="BU40" s="43">
        <v>-4.7699999999999999E-4</v>
      </c>
      <c r="BV40" s="43">
        <v>-4.7199999999999998E-4</v>
      </c>
      <c r="BW40" s="43">
        <v>1.9799999999999999E-4</v>
      </c>
      <c r="BY40" s="30">
        <v>2.1864575698639113E-2</v>
      </c>
      <c r="BZ40" s="43">
        <v>-3.1E-4</v>
      </c>
      <c r="CA40" s="43">
        <v>-2.9700000000000001E-4</v>
      </c>
      <c r="CB40" s="43">
        <v>2.8E-5</v>
      </c>
      <c r="CC40" s="30">
        <v>2.4597511231972433E-2</v>
      </c>
      <c r="CD40" s="43">
        <v>-3.2200000000000002E-4</v>
      </c>
      <c r="CE40" s="43">
        <v>-3.0800000000000001E-4</v>
      </c>
      <c r="CF40" s="43">
        <v>3.8999999999999999E-5</v>
      </c>
      <c r="CH40" s="30">
        <v>2.1864575698639113E-2</v>
      </c>
      <c r="CI40" s="43">
        <v>-3.6099999999999999E-4</v>
      </c>
      <c r="CJ40" s="43">
        <v>-3.3799999999999998E-4</v>
      </c>
      <c r="CK40" s="43">
        <v>-1.12E-4</v>
      </c>
      <c r="CL40" s="30">
        <v>2.4597511231972433E-2</v>
      </c>
      <c r="CM40" s="43">
        <v>-3.7800000000000003E-4</v>
      </c>
      <c r="CN40" s="43">
        <v>-3.5300000000000002E-4</v>
      </c>
      <c r="CO40" s="43">
        <v>-9.7E-5</v>
      </c>
      <c r="CQ40" s="30">
        <v>2.1864575698639113E-2</v>
      </c>
      <c r="CR40" s="43">
        <v>-2.24E-4</v>
      </c>
      <c r="CS40" s="43">
        <v>-2.23E-4</v>
      </c>
      <c r="CT40" s="43">
        <v>-2.1800000000000001E-4</v>
      </c>
      <c r="CU40" s="30">
        <v>2.4597511231972433E-2</v>
      </c>
      <c r="CV40" s="43">
        <v>-2.24E-4</v>
      </c>
      <c r="CW40" s="43">
        <v>-2.23E-4</v>
      </c>
      <c r="CX40" s="43">
        <v>-2.1699999999999999E-4</v>
      </c>
    </row>
    <row r="41" spans="2:102" x14ac:dyDescent="0.25">
      <c r="H41" s="1"/>
      <c r="I41" s="1"/>
      <c r="N41" s="30">
        <v>2.2547809431972446E-2</v>
      </c>
      <c r="O41" s="43">
        <v>-3.3E-4</v>
      </c>
      <c r="P41" s="43">
        <v>-3.0499999999999999E-4</v>
      </c>
      <c r="Q41" s="43">
        <v>-3.0000000000000001E-5</v>
      </c>
      <c r="R41" s="30">
        <v>2.4597511231972433E-2</v>
      </c>
      <c r="S41" s="43">
        <v>-3.4000000000000002E-4</v>
      </c>
      <c r="T41" s="43">
        <v>-3.1399999999999999E-4</v>
      </c>
      <c r="U41" s="43">
        <v>-1.8E-5</v>
      </c>
      <c r="W41" s="30">
        <v>2.2547809431972446E-2</v>
      </c>
      <c r="X41" s="43">
        <v>-3.6099999999999999E-4</v>
      </c>
      <c r="Y41" s="43">
        <v>-3.3100000000000002E-4</v>
      </c>
      <c r="Z41" s="43">
        <v>4.1049999999999998E-7</v>
      </c>
      <c r="AA41" s="30">
        <v>2.4597511231972433E-2</v>
      </c>
      <c r="AB41" s="43">
        <v>-3.59E-4</v>
      </c>
      <c r="AC41" s="43">
        <v>-3.3E-4</v>
      </c>
      <c r="AD41" s="43">
        <v>1.9999999999999999E-6</v>
      </c>
      <c r="AF41" s="30">
        <v>2.2547809431972446E-2</v>
      </c>
      <c r="AG41" s="43">
        <v>-4.8999999999999998E-4</v>
      </c>
      <c r="AH41" s="43">
        <v>-4.9299999999999995E-4</v>
      </c>
      <c r="AI41" s="43">
        <v>4.1999999999999998E-5</v>
      </c>
      <c r="AJ41" s="30">
        <v>2.4597511231972433E-2</v>
      </c>
      <c r="AK41" s="43">
        <v>-5.1500000000000005E-4</v>
      </c>
      <c r="AL41" s="43">
        <v>-5.1800000000000001E-4</v>
      </c>
      <c r="AM41" s="43">
        <v>6.6000000000000005E-5</v>
      </c>
      <c r="AO41" s="30">
        <v>2.2547809431972446E-2</v>
      </c>
      <c r="AP41" s="43">
        <v>-3.1100000000000002E-4</v>
      </c>
      <c r="AQ41" s="43">
        <v>-3.1199999999999999E-4</v>
      </c>
      <c r="AR41" s="43">
        <v>-1.2999999999999999E-4</v>
      </c>
      <c r="AS41" s="30">
        <v>2.4597511231972433E-2</v>
      </c>
      <c r="AT41" s="43">
        <v>-3.19E-4</v>
      </c>
      <c r="AU41" s="43">
        <v>-3.2000000000000003E-4</v>
      </c>
      <c r="AV41" s="43">
        <v>-1.22E-4</v>
      </c>
      <c r="AX41" s="30">
        <v>2.2547809431972446E-2</v>
      </c>
      <c r="AY41" s="43">
        <v>-4.9200000000000003E-4</v>
      </c>
      <c r="AZ41" s="43">
        <v>-4.9600000000000002E-4</v>
      </c>
      <c r="BA41" s="43">
        <v>4.1999999999999998E-5</v>
      </c>
      <c r="BB41" s="30">
        <v>2.4597511231972433E-2</v>
      </c>
      <c r="BC41" s="43">
        <v>-5.1699999999999999E-4</v>
      </c>
      <c r="BD41" s="43">
        <v>-5.2099999999999998E-4</v>
      </c>
      <c r="BE41" s="43">
        <v>6.7000000000000002E-5</v>
      </c>
      <c r="BG41" s="30">
        <v>2.2547809431972446E-2</v>
      </c>
      <c r="BH41" s="43">
        <v>-3.0899999999999998E-4</v>
      </c>
      <c r="BI41" s="43">
        <v>-3.1E-4</v>
      </c>
      <c r="BJ41" s="43">
        <v>-1.34E-4</v>
      </c>
      <c r="BK41" s="30">
        <v>2.4597511231972433E-2</v>
      </c>
      <c r="BL41" s="43">
        <v>-3.1700000000000001E-4</v>
      </c>
      <c r="BM41" s="43">
        <v>-3.1799999999999998E-4</v>
      </c>
      <c r="BN41" s="43">
        <v>-1.26E-4</v>
      </c>
      <c r="BP41" s="30">
        <v>2.2547809431972446E-2</v>
      </c>
      <c r="BQ41" s="43">
        <v>-4.5100000000000001E-4</v>
      </c>
      <c r="BR41" s="43">
        <v>-4.4499999999999997E-4</v>
      </c>
      <c r="BS41" s="43">
        <v>1.6899999999999999E-4</v>
      </c>
      <c r="BT41" s="30">
        <v>2.4597511231972433E-2</v>
      </c>
      <c r="BU41" s="43">
        <v>-4.7699999999999999E-4</v>
      </c>
      <c r="BV41" s="43">
        <v>-4.7199999999999998E-4</v>
      </c>
      <c r="BW41" s="43">
        <v>1.9799999999999999E-4</v>
      </c>
      <c r="BY41" s="30">
        <v>2.2547809431972446E-2</v>
      </c>
      <c r="BZ41" s="43">
        <v>-3.1300000000000002E-4</v>
      </c>
      <c r="CA41" s="43">
        <v>-2.9999999999999997E-4</v>
      </c>
      <c r="CB41" s="43">
        <v>3.0000000000000001E-5</v>
      </c>
      <c r="CC41" s="30">
        <v>2.4597511231972433E-2</v>
      </c>
      <c r="CD41" s="43">
        <v>-3.2200000000000002E-4</v>
      </c>
      <c r="CE41" s="43">
        <v>-3.0800000000000001E-4</v>
      </c>
      <c r="CF41" s="43">
        <v>3.8999999999999999E-5</v>
      </c>
      <c r="CH41" s="30">
        <v>2.2547809431972446E-2</v>
      </c>
      <c r="CI41" s="43">
        <v>-3.6499999999999998E-4</v>
      </c>
      <c r="CJ41" s="43">
        <v>-3.4200000000000002E-4</v>
      </c>
      <c r="CK41" s="43">
        <v>-1.08E-4</v>
      </c>
      <c r="CL41" s="30">
        <v>2.4597511231972433E-2</v>
      </c>
      <c r="CM41" s="43">
        <v>-3.7800000000000003E-4</v>
      </c>
      <c r="CN41" s="43">
        <v>-3.5300000000000002E-4</v>
      </c>
      <c r="CO41" s="43">
        <v>-9.7E-5</v>
      </c>
      <c r="CQ41" s="30">
        <v>2.2547809431972446E-2</v>
      </c>
      <c r="CR41" s="43">
        <v>-2.24E-4</v>
      </c>
      <c r="CS41" s="43">
        <v>-2.23E-4</v>
      </c>
      <c r="CT41" s="43">
        <v>-2.1800000000000001E-4</v>
      </c>
      <c r="CU41" s="30">
        <v>2.4597511231972433E-2</v>
      </c>
      <c r="CV41" s="43">
        <v>-2.24E-4</v>
      </c>
      <c r="CW41" s="43">
        <v>-2.23E-4</v>
      </c>
      <c r="CX41" s="43">
        <v>-2.1699999999999999E-4</v>
      </c>
    </row>
    <row r="42" spans="2:102" x14ac:dyDescent="0.25">
      <c r="N42" s="30">
        <v>2.3231043165305783E-2</v>
      </c>
      <c r="O42" s="43">
        <v>-3.3300000000000002E-4</v>
      </c>
      <c r="P42" s="43">
        <v>-3.0800000000000001E-4</v>
      </c>
      <c r="Q42" s="43">
        <v>-2.5999999999999998E-5</v>
      </c>
      <c r="R42" s="30">
        <v>2.5417391731972435E-2</v>
      </c>
      <c r="S42" s="43">
        <v>-3.4499999999999998E-4</v>
      </c>
      <c r="T42" s="43">
        <v>-3.1700000000000001E-4</v>
      </c>
      <c r="U42" s="43">
        <v>-1.2999999999999999E-5</v>
      </c>
      <c r="W42" s="30">
        <v>2.3231043165305783E-2</v>
      </c>
      <c r="X42" s="43">
        <v>-3.6000000000000002E-4</v>
      </c>
      <c r="Y42" s="43">
        <v>-3.3100000000000002E-4</v>
      </c>
      <c r="Z42" s="43">
        <v>9.9999999999999995E-7</v>
      </c>
      <c r="AA42" s="30">
        <v>2.5417391731972435E-2</v>
      </c>
      <c r="AB42" s="43">
        <v>-3.59E-4</v>
      </c>
      <c r="AC42" s="43">
        <v>-3.2899999999999997E-4</v>
      </c>
      <c r="AD42" s="43">
        <v>3.0000000000000001E-6</v>
      </c>
      <c r="AF42" s="30">
        <v>2.3231043165305783E-2</v>
      </c>
      <c r="AG42" s="43">
        <v>-4.9799999999999996E-4</v>
      </c>
      <c r="AH42" s="43">
        <v>-5.0100000000000003E-4</v>
      </c>
      <c r="AI42" s="43">
        <v>5.0000000000000002E-5</v>
      </c>
      <c r="AJ42" s="30">
        <v>2.5417391731972435E-2</v>
      </c>
      <c r="AK42" s="43">
        <v>-5.2499999999999997E-4</v>
      </c>
      <c r="AL42" s="43">
        <v>-5.2800000000000004E-4</v>
      </c>
      <c r="AM42" s="43">
        <v>7.6000000000000004E-5</v>
      </c>
      <c r="AO42" s="30">
        <v>2.3231043165305783E-2</v>
      </c>
      <c r="AP42" s="43">
        <v>-3.1399999999999999E-4</v>
      </c>
      <c r="AQ42" s="43">
        <v>-3.1500000000000001E-4</v>
      </c>
      <c r="AR42" s="43">
        <v>-1.27E-4</v>
      </c>
      <c r="AS42" s="30">
        <v>2.5417391731972435E-2</v>
      </c>
      <c r="AT42" s="43">
        <v>-3.2200000000000002E-4</v>
      </c>
      <c r="AU42" s="43">
        <v>-3.2299999999999999E-4</v>
      </c>
      <c r="AV42" s="43">
        <v>-1.1900000000000001E-4</v>
      </c>
      <c r="AX42" s="30">
        <v>2.3231043165305783E-2</v>
      </c>
      <c r="AY42" s="43">
        <v>-5.0100000000000003E-4</v>
      </c>
      <c r="AZ42" s="43">
        <v>-5.04E-4</v>
      </c>
      <c r="BA42" s="43">
        <v>5.0000000000000002E-5</v>
      </c>
      <c r="BB42" s="30">
        <v>2.5417391731972435E-2</v>
      </c>
      <c r="BC42" s="43">
        <v>-5.2700000000000002E-4</v>
      </c>
      <c r="BD42" s="43">
        <v>-5.31E-4</v>
      </c>
      <c r="BE42" s="43">
        <v>7.6000000000000004E-5</v>
      </c>
      <c r="BG42" s="30">
        <v>2.3231043165305783E-2</v>
      </c>
      <c r="BH42" s="43">
        <v>-3.1199999999999999E-4</v>
      </c>
      <c r="BI42" s="43">
        <v>-3.1300000000000002E-4</v>
      </c>
      <c r="BJ42" s="43">
        <v>-1.3200000000000001E-4</v>
      </c>
      <c r="BK42" s="30">
        <v>2.5417391731972435E-2</v>
      </c>
      <c r="BL42" s="43">
        <v>-3.2000000000000003E-4</v>
      </c>
      <c r="BM42" s="43">
        <v>-3.2200000000000002E-4</v>
      </c>
      <c r="BN42" s="43">
        <v>-1.2300000000000001E-4</v>
      </c>
      <c r="BP42" s="30">
        <v>2.3231043165305783E-2</v>
      </c>
      <c r="BQ42" s="43">
        <v>-4.5899999999999999E-4</v>
      </c>
      <c r="BR42" s="43">
        <v>-4.5399999999999998E-4</v>
      </c>
      <c r="BS42" s="43">
        <v>1.7899999999999999E-4</v>
      </c>
      <c r="BT42" s="30">
        <v>2.5417391731972435E-2</v>
      </c>
      <c r="BU42" s="43">
        <v>-4.8999999999999998E-4</v>
      </c>
      <c r="BV42" s="43">
        <v>-4.84E-4</v>
      </c>
      <c r="BW42" s="43">
        <v>2.13E-4</v>
      </c>
      <c r="BY42" s="30">
        <v>2.3231043165305783E-2</v>
      </c>
      <c r="BZ42" s="43">
        <v>-3.1599999999999998E-4</v>
      </c>
      <c r="CA42" s="43">
        <v>-3.0299999999999999E-4</v>
      </c>
      <c r="CB42" s="43">
        <v>3.3000000000000003E-5</v>
      </c>
      <c r="CC42" s="30">
        <v>2.5417391731972435E-2</v>
      </c>
      <c r="CD42" s="43">
        <v>-3.2499999999999999E-4</v>
      </c>
      <c r="CE42" s="43">
        <v>-3.1199999999999999E-4</v>
      </c>
      <c r="CF42" s="43">
        <v>4.1999999999999998E-5</v>
      </c>
      <c r="CH42" s="30">
        <v>2.3231043165305783E-2</v>
      </c>
      <c r="CI42" s="43">
        <v>-3.6999999999999999E-4</v>
      </c>
      <c r="CJ42" s="43">
        <v>-3.4600000000000001E-4</v>
      </c>
      <c r="CK42" s="43">
        <v>-1.05E-4</v>
      </c>
      <c r="CL42" s="30">
        <v>2.5417391731972435E-2</v>
      </c>
      <c r="CM42" s="43">
        <v>-3.8400000000000001E-4</v>
      </c>
      <c r="CN42" s="43">
        <v>-3.57E-4</v>
      </c>
      <c r="CO42" s="43">
        <v>-9.2999999999999997E-5</v>
      </c>
      <c r="CQ42" s="30">
        <v>2.3231043165305783E-2</v>
      </c>
      <c r="CR42" s="43">
        <v>-2.24E-4</v>
      </c>
      <c r="CS42" s="43">
        <v>-2.23E-4</v>
      </c>
      <c r="CT42" s="43">
        <v>-2.1800000000000001E-4</v>
      </c>
      <c r="CU42" s="30">
        <v>2.5417391731972435E-2</v>
      </c>
      <c r="CV42" s="43">
        <v>-2.24E-4</v>
      </c>
      <c r="CW42" s="43">
        <v>-2.23E-4</v>
      </c>
      <c r="CX42" s="43">
        <v>-2.1699999999999999E-4</v>
      </c>
    </row>
    <row r="43" spans="2:102" x14ac:dyDescent="0.25">
      <c r="N43" s="30">
        <v>2.3914276898639116E-2</v>
      </c>
      <c r="O43" s="43">
        <v>-3.3700000000000001E-4</v>
      </c>
      <c r="P43" s="43">
        <v>-3.1100000000000002E-4</v>
      </c>
      <c r="Q43" s="43">
        <v>-2.1999999999999999E-5</v>
      </c>
      <c r="R43" s="30">
        <v>2.6237272231972433E-2</v>
      </c>
      <c r="S43" s="43">
        <v>-3.4900000000000003E-4</v>
      </c>
      <c r="T43" s="43">
        <v>-3.21E-4</v>
      </c>
      <c r="U43" s="43">
        <v>-7.9999999999999996E-6</v>
      </c>
      <c r="W43" s="30">
        <v>2.3914276898639116E-2</v>
      </c>
      <c r="X43" s="43">
        <v>-3.6000000000000002E-4</v>
      </c>
      <c r="Y43" s="43">
        <v>-3.3E-4</v>
      </c>
      <c r="Z43" s="43">
        <v>1.9999999999999999E-6</v>
      </c>
      <c r="AA43" s="30">
        <v>2.6237272231972433E-2</v>
      </c>
      <c r="AB43" s="43">
        <v>-3.5799999999999997E-4</v>
      </c>
      <c r="AC43" s="43">
        <v>-3.28E-4</v>
      </c>
      <c r="AD43" s="43">
        <v>3.9999999999999998E-6</v>
      </c>
      <c r="AF43" s="30">
        <v>2.3914276898639116E-2</v>
      </c>
      <c r="AG43" s="43">
        <v>-5.0600000000000005E-4</v>
      </c>
      <c r="AH43" s="43">
        <v>-5.1000000000000004E-4</v>
      </c>
      <c r="AI43" s="43">
        <v>5.8E-5</v>
      </c>
      <c r="AJ43" s="30">
        <v>2.6237272231972433E-2</v>
      </c>
      <c r="AK43" s="43">
        <v>-5.3499999999999999E-4</v>
      </c>
      <c r="AL43" s="43">
        <v>-5.3799999999999996E-4</v>
      </c>
      <c r="AM43" s="43">
        <v>8.6000000000000003E-5</v>
      </c>
      <c r="AO43" s="30">
        <v>2.3914276898639116E-2</v>
      </c>
      <c r="AP43" s="43">
        <v>-3.1700000000000001E-4</v>
      </c>
      <c r="AQ43" s="43">
        <v>-3.1799999999999998E-4</v>
      </c>
      <c r="AR43" s="43">
        <v>-1.25E-4</v>
      </c>
      <c r="AS43" s="30">
        <v>2.6237272231972433E-2</v>
      </c>
      <c r="AT43" s="43">
        <v>-3.2600000000000001E-4</v>
      </c>
      <c r="AU43" s="43">
        <v>-3.2699999999999998E-4</v>
      </c>
      <c r="AV43" s="43">
        <v>-1.16E-4</v>
      </c>
      <c r="AX43" s="30">
        <v>2.3914276898639116E-2</v>
      </c>
      <c r="AY43" s="43">
        <v>-5.0900000000000001E-4</v>
      </c>
      <c r="AZ43" s="43">
        <v>-5.1199999999999998E-4</v>
      </c>
      <c r="BA43" s="43">
        <v>5.8E-5</v>
      </c>
      <c r="BB43" s="30">
        <v>2.6237272231972433E-2</v>
      </c>
      <c r="BC43" s="43">
        <v>-5.3700000000000004E-4</v>
      </c>
      <c r="BD43" s="43">
        <v>-5.4100000000000003E-4</v>
      </c>
      <c r="BE43" s="43">
        <v>8.6000000000000003E-5</v>
      </c>
      <c r="BG43" s="30">
        <v>2.3914276898639116E-2</v>
      </c>
      <c r="BH43" s="43">
        <v>-3.1500000000000001E-4</v>
      </c>
      <c r="BI43" s="43">
        <v>-3.1599999999999998E-4</v>
      </c>
      <c r="BJ43" s="43">
        <v>-1.2899999999999999E-4</v>
      </c>
      <c r="BK43" s="30">
        <v>2.6237272231972433E-2</v>
      </c>
      <c r="BL43" s="43">
        <v>-3.2400000000000001E-4</v>
      </c>
      <c r="BM43" s="43">
        <v>-3.2499999999999999E-4</v>
      </c>
      <c r="BN43" s="43">
        <v>-1.2E-4</v>
      </c>
      <c r="BP43" s="30">
        <v>2.3914276898639116E-2</v>
      </c>
      <c r="BQ43" s="43">
        <v>-4.6799999999999999E-4</v>
      </c>
      <c r="BR43" s="43">
        <v>-4.6299999999999998E-4</v>
      </c>
      <c r="BS43" s="43">
        <v>1.8799999999999999E-4</v>
      </c>
      <c r="BT43" s="30">
        <v>2.6237272231972433E-2</v>
      </c>
      <c r="BU43" s="43">
        <v>-5.0199999999999995E-4</v>
      </c>
      <c r="BV43" s="43">
        <v>-4.9600000000000002E-4</v>
      </c>
      <c r="BW43" s="43">
        <v>2.2800000000000001E-4</v>
      </c>
      <c r="BY43" s="30">
        <v>2.3914276898639116E-2</v>
      </c>
      <c r="BZ43" s="43">
        <v>-3.19E-4</v>
      </c>
      <c r="CA43" s="43">
        <v>-3.0600000000000001E-4</v>
      </c>
      <c r="CB43" s="43">
        <v>3.6000000000000001E-5</v>
      </c>
      <c r="CC43" s="30">
        <v>2.6237272231972433E-2</v>
      </c>
      <c r="CD43" s="43">
        <v>-3.28E-4</v>
      </c>
      <c r="CE43" s="43">
        <v>-3.1500000000000001E-4</v>
      </c>
      <c r="CF43" s="43">
        <v>4.5000000000000003E-5</v>
      </c>
      <c r="CH43" s="30">
        <v>2.3914276898639116E-2</v>
      </c>
      <c r="CI43" s="43">
        <v>-3.7399999999999998E-4</v>
      </c>
      <c r="CJ43" s="43">
        <v>-3.4900000000000003E-4</v>
      </c>
      <c r="CK43" s="43">
        <v>-1.01E-4</v>
      </c>
      <c r="CL43" s="30">
        <v>2.6237272231972433E-2</v>
      </c>
      <c r="CM43" s="43">
        <v>-3.8900000000000002E-4</v>
      </c>
      <c r="CN43" s="43">
        <v>-3.6200000000000002E-4</v>
      </c>
      <c r="CO43" s="43">
        <v>-8.8999999999999995E-5</v>
      </c>
      <c r="CQ43" s="30">
        <v>2.3914276898639116E-2</v>
      </c>
      <c r="CR43" s="43">
        <v>-2.24E-4</v>
      </c>
      <c r="CS43" s="43">
        <v>-2.23E-4</v>
      </c>
      <c r="CT43" s="43">
        <v>-2.1699999999999999E-4</v>
      </c>
      <c r="CU43" s="30">
        <v>2.6237272231972433E-2</v>
      </c>
      <c r="CV43" s="43">
        <v>-2.24E-4</v>
      </c>
      <c r="CW43" s="43">
        <v>-2.23E-4</v>
      </c>
      <c r="CX43" s="43">
        <v>-2.1699999999999999E-4</v>
      </c>
    </row>
    <row r="44" spans="2:102" x14ac:dyDescent="0.25">
      <c r="N44" s="30">
        <v>2.4597510631972453E-2</v>
      </c>
      <c r="O44" s="43">
        <v>-3.4000000000000002E-4</v>
      </c>
      <c r="P44" s="43">
        <v>-3.1399999999999999E-4</v>
      </c>
      <c r="Q44" s="43">
        <v>-1.8E-5</v>
      </c>
      <c r="R44" s="30">
        <v>2.7057152731972435E-2</v>
      </c>
      <c r="S44" s="43">
        <v>-3.5300000000000002E-4</v>
      </c>
      <c r="T44" s="43">
        <v>-3.2499999999999999E-4</v>
      </c>
      <c r="U44" s="43">
        <v>-3.0000000000000001E-6</v>
      </c>
      <c r="W44" s="30">
        <v>2.4597510631972453E-2</v>
      </c>
      <c r="X44" s="43">
        <v>-3.59E-4</v>
      </c>
      <c r="Y44" s="43">
        <v>-3.3E-4</v>
      </c>
      <c r="Z44" s="43">
        <v>1.9999999999999999E-6</v>
      </c>
      <c r="AA44" s="30">
        <v>2.7057152731972435E-2</v>
      </c>
      <c r="AB44" s="43">
        <v>-3.57E-4</v>
      </c>
      <c r="AC44" s="43">
        <v>-3.28E-4</v>
      </c>
      <c r="AD44" s="43">
        <v>3.9999999999999998E-6</v>
      </c>
      <c r="AF44" s="30">
        <v>2.4597510631972453E-2</v>
      </c>
      <c r="AG44" s="43">
        <v>-5.1400000000000003E-4</v>
      </c>
      <c r="AH44" s="43">
        <v>-5.1800000000000001E-4</v>
      </c>
      <c r="AI44" s="43">
        <v>6.6000000000000005E-5</v>
      </c>
      <c r="AJ44" s="30">
        <v>2.7057152731972435E-2</v>
      </c>
      <c r="AK44" s="43">
        <v>-5.4500000000000002E-4</v>
      </c>
      <c r="AL44" s="43">
        <v>-5.4900000000000001E-4</v>
      </c>
      <c r="AM44" s="43">
        <v>9.5000000000000005E-5</v>
      </c>
      <c r="AO44" s="30">
        <v>2.4597510631972453E-2</v>
      </c>
      <c r="AP44" s="43">
        <v>-3.19E-4</v>
      </c>
      <c r="AQ44" s="43">
        <v>-3.2000000000000003E-4</v>
      </c>
      <c r="AR44" s="43">
        <v>-1.22E-4</v>
      </c>
      <c r="AS44" s="30">
        <v>2.7057152731972435E-2</v>
      </c>
      <c r="AT44" s="43">
        <v>-3.2899999999999997E-4</v>
      </c>
      <c r="AU44" s="43">
        <v>-3.3E-4</v>
      </c>
      <c r="AV44" s="43">
        <v>-1.13E-4</v>
      </c>
      <c r="AX44" s="30">
        <v>2.4597510631972453E-2</v>
      </c>
      <c r="AY44" s="43">
        <v>-5.1699999999999999E-4</v>
      </c>
      <c r="AZ44" s="43">
        <v>-5.2099999999999998E-4</v>
      </c>
      <c r="BA44" s="43">
        <v>6.6000000000000005E-5</v>
      </c>
      <c r="BB44" s="30">
        <v>2.7057152731972435E-2</v>
      </c>
      <c r="BC44" s="43">
        <v>-5.4699999999999996E-4</v>
      </c>
      <c r="BD44" s="43">
        <v>-5.5099999999999995E-4</v>
      </c>
      <c r="BE44" s="43">
        <v>9.5000000000000005E-5</v>
      </c>
      <c r="BG44" s="30">
        <v>2.4597510631972453E-2</v>
      </c>
      <c r="BH44" s="43">
        <v>-3.1700000000000001E-4</v>
      </c>
      <c r="BI44" s="43">
        <v>-3.1799999999999998E-4</v>
      </c>
      <c r="BJ44" s="43">
        <v>-1.26E-4</v>
      </c>
      <c r="BK44" s="30">
        <v>2.7057152731972435E-2</v>
      </c>
      <c r="BL44" s="43">
        <v>-3.2699999999999998E-4</v>
      </c>
      <c r="BM44" s="43">
        <v>-3.28E-4</v>
      </c>
      <c r="BN44" s="43">
        <v>-1.17E-4</v>
      </c>
      <c r="BP44" s="30">
        <v>2.4597510631972453E-2</v>
      </c>
      <c r="BQ44" s="43">
        <v>-4.7699999999999999E-4</v>
      </c>
      <c r="BR44" s="43">
        <v>-4.7199999999999998E-4</v>
      </c>
      <c r="BS44" s="43">
        <v>1.9799999999999999E-4</v>
      </c>
      <c r="BT44" s="30">
        <v>2.7057152731972435E-2</v>
      </c>
      <c r="BU44" s="43">
        <v>-5.1400000000000003E-4</v>
      </c>
      <c r="BV44" s="43">
        <v>-5.0799999999999999E-4</v>
      </c>
      <c r="BW44" s="43">
        <v>2.4399999999999999E-4</v>
      </c>
      <c r="BY44" s="30">
        <v>2.4597510631972453E-2</v>
      </c>
      <c r="BZ44" s="43">
        <v>-3.2200000000000002E-4</v>
      </c>
      <c r="CA44" s="43">
        <v>-3.0800000000000001E-4</v>
      </c>
      <c r="CB44" s="43">
        <v>3.8999999999999999E-5</v>
      </c>
      <c r="CC44" s="30">
        <v>2.7057152731972435E-2</v>
      </c>
      <c r="CD44" s="43">
        <v>-3.3199999999999999E-4</v>
      </c>
      <c r="CE44" s="43">
        <v>-3.1799999999999998E-4</v>
      </c>
      <c r="CF44" s="43">
        <v>4.8000000000000001E-5</v>
      </c>
      <c r="CH44" s="30">
        <v>2.4597510631972453E-2</v>
      </c>
      <c r="CI44" s="43">
        <v>-3.7800000000000003E-4</v>
      </c>
      <c r="CJ44" s="43">
        <v>-3.5300000000000002E-4</v>
      </c>
      <c r="CK44" s="43">
        <v>-9.7E-5</v>
      </c>
      <c r="CL44" s="30">
        <v>2.7057152731972435E-2</v>
      </c>
      <c r="CM44" s="43">
        <v>-3.9399999999999998E-4</v>
      </c>
      <c r="CN44" s="43">
        <v>-3.6600000000000001E-4</v>
      </c>
      <c r="CO44" s="43">
        <v>-8.5000000000000006E-5</v>
      </c>
      <c r="CQ44" s="30">
        <v>2.4597510631972453E-2</v>
      </c>
      <c r="CR44" s="43">
        <v>-2.24E-4</v>
      </c>
      <c r="CS44" s="43">
        <v>-2.23E-4</v>
      </c>
      <c r="CT44" s="43">
        <v>-2.1699999999999999E-4</v>
      </c>
      <c r="CU44" s="30">
        <v>2.7057152731972435E-2</v>
      </c>
      <c r="CV44" s="43">
        <v>-2.24E-4</v>
      </c>
      <c r="CW44" s="43">
        <v>-2.23E-4</v>
      </c>
      <c r="CX44" s="43">
        <v>-2.1699999999999999E-4</v>
      </c>
    </row>
    <row r="45" spans="2:102" x14ac:dyDescent="0.25">
      <c r="N45" s="30">
        <v>2.5280744365305786E-2</v>
      </c>
      <c r="O45" s="43">
        <v>-3.4400000000000001E-4</v>
      </c>
      <c r="P45" s="43">
        <v>-3.1700000000000001E-4</v>
      </c>
      <c r="Q45" s="43">
        <v>-1.4E-5</v>
      </c>
      <c r="R45" s="30">
        <v>2.7877033231972433E-2</v>
      </c>
      <c r="S45" s="43">
        <v>-3.5799999999999997E-4</v>
      </c>
      <c r="T45" s="43">
        <v>-3.28E-4</v>
      </c>
      <c r="U45" s="43">
        <v>1.9999999999999999E-6</v>
      </c>
      <c r="W45" s="30">
        <v>2.5280744365305786E-2</v>
      </c>
      <c r="X45" s="43">
        <v>-3.59E-4</v>
      </c>
      <c r="Y45" s="43">
        <v>-3.2899999999999997E-4</v>
      </c>
      <c r="Z45" s="43">
        <v>3.0000000000000001E-6</v>
      </c>
      <c r="AA45" s="30">
        <v>2.7877033231972433E-2</v>
      </c>
      <c r="AB45" s="43">
        <v>-3.57E-4</v>
      </c>
      <c r="AC45" s="43">
        <v>-3.2699999999999998E-4</v>
      </c>
      <c r="AD45" s="43">
        <v>5.0000000000000004E-6</v>
      </c>
      <c r="AF45" s="30">
        <v>2.5280744365305786E-2</v>
      </c>
      <c r="AG45" s="43">
        <v>-5.2300000000000003E-4</v>
      </c>
      <c r="AH45" s="43">
        <v>-5.2700000000000002E-4</v>
      </c>
      <c r="AI45" s="43">
        <v>7.4999999999999993E-5</v>
      </c>
      <c r="AJ45" s="30">
        <v>2.7877033231972433E-2</v>
      </c>
      <c r="AK45" s="43">
        <v>-5.5500000000000005E-4</v>
      </c>
      <c r="AL45" s="43">
        <v>-5.5900000000000004E-4</v>
      </c>
      <c r="AM45" s="43">
        <v>1.05E-4</v>
      </c>
      <c r="AO45" s="30">
        <v>2.5280744365305786E-2</v>
      </c>
      <c r="AP45" s="43">
        <v>-3.2200000000000002E-4</v>
      </c>
      <c r="AQ45" s="43">
        <v>-3.2299999999999999E-4</v>
      </c>
      <c r="AR45" s="43">
        <v>-1.2E-4</v>
      </c>
      <c r="AS45" s="30">
        <v>2.7877033231972433E-2</v>
      </c>
      <c r="AT45" s="43">
        <v>-3.3199999999999999E-4</v>
      </c>
      <c r="AU45" s="43">
        <v>-3.3300000000000002E-4</v>
      </c>
      <c r="AV45" s="43">
        <v>-1.1E-4</v>
      </c>
      <c r="AX45" s="30">
        <v>2.5280744365305786E-2</v>
      </c>
      <c r="AY45" s="43">
        <v>-5.2499999999999997E-4</v>
      </c>
      <c r="AZ45" s="43">
        <v>-5.2899999999999996E-4</v>
      </c>
      <c r="BA45" s="43">
        <v>7.4999999999999993E-5</v>
      </c>
      <c r="BB45" s="30">
        <v>2.7877033231972433E-2</v>
      </c>
      <c r="BC45" s="43">
        <v>-5.5800000000000001E-4</v>
      </c>
      <c r="BD45" s="43">
        <v>-5.62E-4</v>
      </c>
      <c r="BE45" s="43">
        <v>1.05E-4</v>
      </c>
      <c r="BG45" s="30">
        <v>2.5280744365305786E-2</v>
      </c>
      <c r="BH45" s="43">
        <v>-3.2000000000000003E-4</v>
      </c>
      <c r="BI45" s="43">
        <v>-3.21E-4</v>
      </c>
      <c r="BJ45" s="43">
        <v>-1.2400000000000001E-4</v>
      </c>
      <c r="BK45" s="30">
        <v>2.7877033231972433E-2</v>
      </c>
      <c r="BL45" s="43">
        <v>-3.3E-4</v>
      </c>
      <c r="BM45" s="43">
        <v>-3.3100000000000002E-4</v>
      </c>
      <c r="BN45" s="43">
        <v>-1.1400000000000001E-4</v>
      </c>
      <c r="BP45" s="30">
        <v>2.5280744365305786E-2</v>
      </c>
      <c r="BQ45" s="43">
        <v>-4.8799999999999999E-4</v>
      </c>
      <c r="BR45" s="43">
        <v>-4.8299999999999998E-4</v>
      </c>
      <c r="BS45" s="43">
        <v>2.12E-4</v>
      </c>
      <c r="BT45" s="30">
        <v>2.7877033231972433E-2</v>
      </c>
      <c r="BU45" s="43">
        <v>-5.2700000000000002E-4</v>
      </c>
      <c r="BV45" s="43">
        <v>-5.22E-4</v>
      </c>
      <c r="BW45" s="43">
        <v>2.6699999999999998E-4</v>
      </c>
      <c r="BY45" s="30">
        <v>2.5280744365305786E-2</v>
      </c>
      <c r="BZ45" s="43">
        <v>-3.2400000000000001E-4</v>
      </c>
      <c r="CA45" s="43">
        <v>-3.1100000000000002E-4</v>
      </c>
      <c r="CB45" s="43">
        <v>4.1E-5</v>
      </c>
      <c r="CC45" s="30">
        <v>2.7877033231972433E-2</v>
      </c>
      <c r="CD45" s="43">
        <v>-3.3500000000000001E-4</v>
      </c>
      <c r="CE45" s="43">
        <v>-3.21E-4</v>
      </c>
      <c r="CF45" s="43">
        <v>5.1E-5</v>
      </c>
      <c r="CH45" s="30">
        <v>2.5280744365305786E-2</v>
      </c>
      <c r="CI45" s="43">
        <v>-3.8299999999999999E-4</v>
      </c>
      <c r="CJ45" s="43">
        <v>-3.5599999999999998E-4</v>
      </c>
      <c r="CK45" s="43">
        <v>-9.3999999999999994E-5</v>
      </c>
      <c r="CL45" s="30">
        <v>2.7877033231972433E-2</v>
      </c>
      <c r="CM45" s="43">
        <v>-4.0000000000000002E-4</v>
      </c>
      <c r="CN45" s="43">
        <v>-3.7100000000000002E-4</v>
      </c>
      <c r="CO45" s="43">
        <v>-8.0000000000000007E-5</v>
      </c>
      <c r="CQ45" s="30">
        <v>2.5280744365305786E-2</v>
      </c>
      <c r="CR45" s="43">
        <v>-2.24E-4</v>
      </c>
      <c r="CS45" s="43">
        <v>-2.23E-4</v>
      </c>
      <c r="CT45" s="43">
        <v>-2.1699999999999999E-4</v>
      </c>
      <c r="CU45" s="30">
        <v>2.7877033231972433E-2</v>
      </c>
      <c r="CV45" s="43">
        <v>-2.24E-4</v>
      </c>
      <c r="CW45" s="43">
        <v>-2.24E-4</v>
      </c>
      <c r="CX45" s="43">
        <v>-2.1699999999999999E-4</v>
      </c>
    </row>
    <row r="46" spans="2:102" x14ac:dyDescent="0.25">
      <c r="N46" s="30">
        <v>2.596397809863912E-2</v>
      </c>
      <c r="O46" s="43">
        <v>-3.4699999999999998E-4</v>
      </c>
      <c r="P46" s="43">
        <v>-3.2000000000000003E-4</v>
      </c>
      <c r="Q46" s="43">
        <v>-1.0000000000000001E-5</v>
      </c>
      <c r="R46" s="30">
        <v>2.8696913731972435E-2</v>
      </c>
      <c r="S46" s="43">
        <v>-3.6299999999999999E-4</v>
      </c>
      <c r="T46" s="43">
        <v>-3.3199999999999999E-4</v>
      </c>
      <c r="U46" s="43">
        <v>6.9999999999999999E-6</v>
      </c>
      <c r="W46" s="30">
        <v>2.596397809863912E-2</v>
      </c>
      <c r="X46" s="43">
        <v>-3.5799999999999997E-4</v>
      </c>
      <c r="Y46" s="43">
        <v>-3.2899999999999997E-4</v>
      </c>
      <c r="Z46" s="43">
        <v>3.0000000000000001E-6</v>
      </c>
      <c r="AA46" s="30">
        <v>2.8696913731972435E-2</v>
      </c>
      <c r="AB46" s="43">
        <v>-3.5599999999999998E-4</v>
      </c>
      <c r="AC46" s="43">
        <v>-3.2600000000000001E-4</v>
      </c>
      <c r="AD46" s="43">
        <v>5.0000000000000004E-6</v>
      </c>
      <c r="AF46" s="30">
        <v>2.596397809863912E-2</v>
      </c>
      <c r="AG46" s="43">
        <v>-5.31E-4</v>
      </c>
      <c r="AH46" s="43">
        <v>-5.3499999999999999E-4</v>
      </c>
      <c r="AI46" s="43">
        <v>8.2000000000000001E-5</v>
      </c>
      <c r="AJ46" s="30">
        <v>2.8696913731972435E-2</v>
      </c>
      <c r="AK46" s="43">
        <v>-5.6599999999999999E-4</v>
      </c>
      <c r="AL46" s="43">
        <v>-5.6999999999999998E-4</v>
      </c>
      <c r="AM46" s="43">
        <v>1.15E-4</v>
      </c>
      <c r="AO46" s="30">
        <v>2.596397809863912E-2</v>
      </c>
      <c r="AP46" s="43">
        <v>-3.2400000000000001E-4</v>
      </c>
      <c r="AQ46" s="43">
        <v>-3.2600000000000001E-4</v>
      </c>
      <c r="AR46" s="43">
        <v>-1.17E-4</v>
      </c>
      <c r="AS46" s="30">
        <v>2.8696913731972435E-2</v>
      </c>
      <c r="AT46" s="43">
        <v>-3.3399999999999999E-4</v>
      </c>
      <c r="AU46" s="43">
        <v>-3.3599999999999998E-4</v>
      </c>
      <c r="AV46" s="43">
        <v>-1.07E-4</v>
      </c>
      <c r="AX46" s="30">
        <v>2.596397809863912E-2</v>
      </c>
      <c r="AY46" s="43">
        <v>-5.3399999999999997E-4</v>
      </c>
      <c r="AZ46" s="43">
        <v>-5.3799999999999996E-4</v>
      </c>
      <c r="BA46" s="43">
        <v>8.2000000000000001E-5</v>
      </c>
      <c r="BB46" s="30">
        <v>2.8696913731972435E-2</v>
      </c>
      <c r="BC46" s="43">
        <v>-5.6800000000000004E-4</v>
      </c>
      <c r="BD46" s="43">
        <v>-5.7300000000000005E-4</v>
      </c>
      <c r="BE46" s="43">
        <v>1.15E-4</v>
      </c>
      <c r="BG46" s="30">
        <v>2.596397809863912E-2</v>
      </c>
      <c r="BH46" s="43">
        <v>-3.2299999999999999E-4</v>
      </c>
      <c r="BI46" s="43">
        <v>-3.2400000000000001E-4</v>
      </c>
      <c r="BJ46" s="43">
        <v>-1.21E-4</v>
      </c>
      <c r="BK46" s="30">
        <v>2.8696913731972435E-2</v>
      </c>
      <c r="BL46" s="43">
        <v>-3.3300000000000002E-4</v>
      </c>
      <c r="BM46" s="43">
        <v>-3.3399999999999999E-4</v>
      </c>
      <c r="BN46" s="43">
        <v>-1.12E-4</v>
      </c>
      <c r="BP46" s="30">
        <v>2.596397809863912E-2</v>
      </c>
      <c r="BQ46" s="43">
        <v>-4.9799999999999996E-4</v>
      </c>
      <c r="BR46" s="43">
        <v>-4.9299999999999995E-4</v>
      </c>
      <c r="BS46" s="43">
        <v>2.24E-4</v>
      </c>
      <c r="BT46" s="30">
        <v>2.8696913731972435E-2</v>
      </c>
      <c r="BU46" s="43">
        <v>-5.4100000000000003E-4</v>
      </c>
      <c r="BV46" s="43">
        <v>-5.3499999999999999E-4</v>
      </c>
      <c r="BW46" s="43">
        <v>2.8899999999999998E-4</v>
      </c>
      <c r="BY46" s="30">
        <v>2.596397809863912E-2</v>
      </c>
      <c r="BZ46" s="43">
        <v>-3.2699999999999998E-4</v>
      </c>
      <c r="CA46" s="43">
        <v>-3.1399999999999999E-4</v>
      </c>
      <c r="CB46" s="43">
        <v>4.3999999999999999E-5</v>
      </c>
      <c r="CC46" s="30">
        <v>2.8696913731972435E-2</v>
      </c>
      <c r="CD46" s="43">
        <v>-3.3799999999999998E-4</v>
      </c>
      <c r="CE46" s="43">
        <v>-3.2499999999999999E-4</v>
      </c>
      <c r="CF46" s="43">
        <v>5.3999999999999998E-5</v>
      </c>
      <c r="CH46" s="30">
        <v>2.596397809863912E-2</v>
      </c>
      <c r="CI46" s="43">
        <v>-3.8699999999999997E-4</v>
      </c>
      <c r="CJ46" s="43">
        <v>-3.6000000000000002E-4</v>
      </c>
      <c r="CK46" s="43">
        <v>-9.0000000000000006E-5</v>
      </c>
      <c r="CL46" s="30">
        <v>2.8696913731972435E-2</v>
      </c>
      <c r="CM46" s="43">
        <v>-4.0499999999999998E-4</v>
      </c>
      <c r="CN46" s="43">
        <v>-3.7500000000000001E-4</v>
      </c>
      <c r="CO46" s="43">
        <v>-7.6000000000000004E-5</v>
      </c>
      <c r="CQ46" s="30">
        <v>2.596397809863912E-2</v>
      </c>
      <c r="CR46" s="43">
        <v>-2.24E-4</v>
      </c>
      <c r="CS46" s="43">
        <v>-2.23E-4</v>
      </c>
      <c r="CT46" s="43">
        <v>-2.1699999999999999E-4</v>
      </c>
      <c r="CU46" s="30">
        <v>2.8696913731972435E-2</v>
      </c>
      <c r="CV46" s="43">
        <v>-2.24E-4</v>
      </c>
      <c r="CW46" s="43">
        <v>-2.24E-4</v>
      </c>
      <c r="CX46" s="43">
        <v>-2.1599999999999999E-4</v>
      </c>
    </row>
    <row r="47" spans="2:102" x14ac:dyDescent="0.25">
      <c r="N47" s="30">
        <v>2.6647211831972457E-2</v>
      </c>
      <c r="O47" s="43">
        <v>-3.5100000000000002E-4</v>
      </c>
      <c r="P47" s="43">
        <v>-3.2299999999999999E-4</v>
      </c>
      <c r="Q47" s="43">
        <v>-6.0000000000000002E-6</v>
      </c>
      <c r="R47" s="30">
        <v>2.9516794231972433E-2</v>
      </c>
      <c r="S47" s="43">
        <v>-3.6699999999999998E-4</v>
      </c>
      <c r="T47" s="43">
        <v>-3.3599999999999998E-4</v>
      </c>
      <c r="U47" s="43">
        <v>1.2E-5</v>
      </c>
      <c r="W47" s="30">
        <v>2.6647211831972457E-2</v>
      </c>
      <c r="X47" s="43">
        <v>-3.5799999999999997E-4</v>
      </c>
      <c r="Y47" s="43">
        <v>-3.28E-4</v>
      </c>
      <c r="Z47" s="43">
        <v>3.9999999999999998E-6</v>
      </c>
      <c r="AA47" s="30">
        <v>2.9516794231972433E-2</v>
      </c>
      <c r="AB47" s="43">
        <v>-3.5500000000000001E-4</v>
      </c>
      <c r="AC47" s="43">
        <v>-3.2600000000000001E-4</v>
      </c>
      <c r="AD47" s="43">
        <v>6.0000000000000002E-6</v>
      </c>
      <c r="AF47" s="30">
        <v>2.6647211831972457E-2</v>
      </c>
      <c r="AG47" s="43">
        <v>-5.3899999999999998E-4</v>
      </c>
      <c r="AH47" s="43">
        <v>-5.4299999999999997E-4</v>
      </c>
      <c r="AI47" s="43">
        <v>9.0000000000000006E-5</v>
      </c>
      <c r="AJ47" s="30">
        <v>2.9516794231972433E-2</v>
      </c>
      <c r="AK47" s="43">
        <v>-5.7600000000000001E-4</v>
      </c>
      <c r="AL47" s="43">
        <v>-5.8100000000000003E-4</v>
      </c>
      <c r="AM47" s="43">
        <v>1.25E-4</v>
      </c>
      <c r="AO47" s="30">
        <v>2.6647211831972457E-2</v>
      </c>
      <c r="AP47" s="43">
        <v>-3.2699999999999998E-4</v>
      </c>
      <c r="AQ47" s="43">
        <v>-3.28E-4</v>
      </c>
      <c r="AR47" s="43">
        <v>-1.1400000000000001E-4</v>
      </c>
      <c r="AS47" s="30">
        <v>2.9516794231972433E-2</v>
      </c>
      <c r="AT47" s="43">
        <v>-3.3700000000000001E-4</v>
      </c>
      <c r="AU47" s="43">
        <v>-3.39E-4</v>
      </c>
      <c r="AV47" s="43">
        <v>-1.0399999999999999E-4</v>
      </c>
      <c r="AX47" s="30">
        <v>2.6647211831972457E-2</v>
      </c>
      <c r="AY47" s="43">
        <v>-5.4199999999999995E-4</v>
      </c>
      <c r="AZ47" s="43">
        <v>-5.4600000000000004E-4</v>
      </c>
      <c r="BA47" s="43">
        <v>9.0000000000000006E-5</v>
      </c>
      <c r="BB47" s="30">
        <v>2.9516794231972433E-2</v>
      </c>
      <c r="BC47" s="43">
        <v>-5.7899999999999998E-4</v>
      </c>
      <c r="BD47" s="43">
        <v>-5.8299999999999997E-4</v>
      </c>
      <c r="BE47" s="43">
        <v>1.25E-4</v>
      </c>
      <c r="BG47" s="30">
        <v>2.6647211831972457E-2</v>
      </c>
      <c r="BH47" s="43">
        <v>-3.2499999999999999E-4</v>
      </c>
      <c r="BI47" s="43">
        <v>-3.2600000000000001E-4</v>
      </c>
      <c r="BJ47" s="43">
        <v>-1.1900000000000001E-4</v>
      </c>
      <c r="BK47" s="30">
        <v>2.9516794231972433E-2</v>
      </c>
      <c r="BL47" s="43">
        <v>-3.3599999999999998E-4</v>
      </c>
      <c r="BM47" s="43">
        <v>-3.3700000000000001E-4</v>
      </c>
      <c r="BN47" s="43">
        <v>-1.0900000000000001E-4</v>
      </c>
      <c r="BP47" s="30">
        <v>2.6647211831972457E-2</v>
      </c>
      <c r="BQ47" s="43">
        <v>-5.0799999999999999E-4</v>
      </c>
      <c r="BR47" s="43">
        <v>-5.0299999999999997E-4</v>
      </c>
      <c r="BS47" s="43">
        <v>2.3699999999999999E-4</v>
      </c>
      <c r="BT47" s="30">
        <v>2.9516794231972433E-2</v>
      </c>
      <c r="BU47" s="43">
        <v>-5.5400000000000002E-4</v>
      </c>
      <c r="BV47" s="43">
        <v>-5.4799999999999998E-4</v>
      </c>
      <c r="BW47" s="43">
        <v>3.1100000000000002E-4</v>
      </c>
      <c r="BY47" s="30">
        <v>2.6647211831972457E-2</v>
      </c>
      <c r="BZ47" s="43">
        <v>-3.3E-4</v>
      </c>
      <c r="CA47" s="43">
        <v>-3.1700000000000001E-4</v>
      </c>
      <c r="CB47" s="43">
        <v>4.6999999999999997E-5</v>
      </c>
      <c r="CC47" s="30">
        <v>2.9516794231972433E-2</v>
      </c>
      <c r="CD47" s="43">
        <v>-3.4099999999999999E-4</v>
      </c>
      <c r="CE47" s="43">
        <v>-3.28E-4</v>
      </c>
      <c r="CF47" s="43">
        <v>5.7000000000000003E-5</v>
      </c>
      <c r="CH47" s="30">
        <v>2.6647211831972457E-2</v>
      </c>
      <c r="CI47" s="43">
        <v>-3.9199999999999999E-4</v>
      </c>
      <c r="CJ47" s="43">
        <v>-3.6400000000000001E-4</v>
      </c>
      <c r="CK47" s="43">
        <v>-8.7000000000000001E-5</v>
      </c>
      <c r="CL47" s="30">
        <v>2.9516794231972433E-2</v>
      </c>
      <c r="CM47" s="43">
        <v>-4.1100000000000002E-4</v>
      </c>
      <c r="CN47" s="43">
        <v>-3.8000000000000002E-4</v>
      </c>
      <c r="CO47" s="43">
        <v>-7.1000000000000005E-5</v>
      </c>
      <c r="CQ47" s="30">
        <v>2.6647211831972457E-2</v>
      </c>
      <c r="CR47" s="43">
        <v>-2.24E-4</v>
      </c>
      <c r="CS47" s="43">
        <v>-2.23E-4</v>
      </c>
      <c r="CT47" s="43">
        <v>-2.1699999999999999E-4</v>
      </c>
      <c r="CU47" s="30">
        <v>2.9516794231972433E-2</v>
      </c>
      <c r="CV47" s="43">
        <v>-2.2499999999999999E-4</v>
      </c>
      <c r="CW47" s="43">
        <v>-2.24E-4</v>
      </c>
      <c r="CX47" s="43">
        <v>-2.1599999999999999E-4</v>
      </c>
    </row>
    <row r="48" spans="2:102" x14ac:dyDescent="0.25">
      <c r="N48" s="30">
        <v>2.733044556530579E-2</v>
      </c>
      <c r="O48" s="43">
        <v>-3.5500000000000001E-4</v>
      </c>
      <c r="P48" s="43">
        <v>-3.2600000000000001E-4</v>
      </c>
      <c r="Q48" s="43">
        <v>-1.9999999999999999E-6</v>
      </c>
      <c r="R48" s="30">
        <v>3.0336674731972435E-2</v>
      </c>
      <c r="S48" s="43">
        <v>-3.7300000000000001E-4</v>
      </c>
      <c r="T48" s="43">
        <v>-3.4099999999999999E-4</v>
      </c>
      <c r="U48" s="43">
        <v>1.7E-5</v>
      </c>
      <c r="W48" s="30">
        <v>2.733044556530579E-2</v>
      </c>
      <c r="X48" s="43">
        <v>-3.57E-4</v>
      </c>
      <c r="Y48" s="43">
        <v>-3.28E-4</v>
      </c>
      <c r="Z48" s="43">
        <v>5.0000000000000004E-6</v>
      </c>
      <c r="AA48" s="30">
        <v>3.0336674731972435E-2</v>
      </c>
      <c r="AB48" s="43">
        <v>-3.5399999999999999E-4</v>
      </c>
      <c r="AC48" s="43">
        <v>-3.2499999999999999E-4</v>
      </c>
      <c r="AD48" s="43">
        <v>6.0000000000000002E-6</v>
      </c>
      <c r="AF48" s="30">
        <v>2.733044556530579E-2</v>
      </c>
      <c r="AG48" s="43">
        <v>-5.4799999999999998E-4</v>
      </c>
      <c r="AH48" s="43">
        <v>-5.5199999999999997E-4</v>
      </c>
      <c r="AI48" s="43">
        <v>9.7999999999999997E-5</v>
      </c>
      <c r="AJ48" s="30">
        <v>3.0336674731972435E-2</v>
      </c>
      <c r="AK48" s="43">
        <v>-5.8900000000000001E-4</v>
      </c>
      <c r="AL48" s="43">
        <v>-5.9400000000000002E-4</v>
      </c>
      <c r="AM48" s="43">
        <v>1.4100000000000001E-4</v>
      </c>
      <c r="AO48" s="30">
        <v>2.733044556530579E-2</v>
      </c>
      <c r="AP48" s="43">
        <v>-3.3E-4</v>
      </c>
      <c r="AQ48" s="43">
        <v>-3.3100000000000002E-4</v>
      </c>
      <c r="AR48" s="43">
        <v>-1.12E-4</v>
      </c>
      <c r="AS48" s="30">
        <v>3.0336674731972435E-2</v>
      </c>
      <c r="AT48" s="43">
        <v>-3.4000000000000002E-4</v>
      </c>
      <c r="AU48" s="43">
        <v>-3.4099999999999999E-4</v>
      </c>
      <c r="AV48" s="43">
        <v>-1.02E-4</v>
      </c>
      <c r="AX48" s="30">
        <v>2.733044556530579E-2</v>
      </c>
      <c r="AY48" s="43">
        <v>-5.5099999999999995E-4</v>
      </c>
      <c r="AZ48" s="43">
        <v>-5.5500000000000005E-4</v>
      </c>
      <c r="BA48" s="43">
        <v>9.8999999999999994E-5</v>
      </c>
      <c r="BB48" s="30">
        <v>3.0336674731972435E-2</v>
      </c>
      <c r="BC48" s="43">
        <v>-5.9199999999999997E-4</v>
      </c>
      <c r="BD48" s="43">
        <v>-5.9599999999999996E-4</v>
      </c>
      <c r="BE48" s="43">
        <v>1.4100000000000001E-4</v>
      </c>
      <c r="BG48" s="30">
        <v>2.733044556530579E-2</v>
      </c>
      <c r="BH48" s="43">
        <v>-3.28E-4</v>
      </c>
      <c r="BI48" s="43">
        <v>-3.2899999999999997E-4</v>
      </c>
      <c r="BJ48" s="43">
        <v>-1.16E-4</v>
      </c>
      <c r="BK48" s="30">
        <v>3.0336674731972435E-2</v>
      </c>
      <c r="BL48" s="43">
        <v>-3.3799999999999998E-4</v>
      </c>
      <c r="BM48" s="43">
        <v>-3.39E-4</v>
      </c>
      <c r="BN48" s="43">
        <v>-1.06E-4</v>
      </c>
      <c r="BP48" s="30">
        <v>2.733044556530579E-2</v>
      </c>
      <c r="BQ48" s="43">
        <v>-5.1800000000000001E-4</v>
      </c>
      <c r="BR48" s="43">
        <v>-5.13E-4</v>
      </c>
      <c r="BS48" s="43">
        <v>2.5099999999999998E-4</v>
      </c>
      <c r="BT48" s="30">
        <v>3.0336674731972435E-2</v>
      </c>
      <c r="BU48" s="43">
        <v>-5.6800000000000004E-4</v>
      </c>
      <c r="BV48" s="43">
        <v>-5.6300000000000002E-4</v>
      </c>
      <c r="BW48" s="43">
        <v>3.5100000000000002E-4</v>
      </c>
      <c r="BY48" s="30">
        <v>2.733044556530579E-2</v>
      </c>
      <c r="BZ48" s="43">
        <v>-3.3300000000000002E-4</v>
      </c>
      <c r="CA48" s="43">
        <v>-3.19E-4</v>
      </c>
      <c r="CB48" s="43">
        <v>4.8999999999999998E-5</v>
      </c>
      <c r="CC48" s="30">
        <v>3.0336674731972435E-2</v>
      </c>
      <c r="CD48" s="43">
        <v>-3.4400000000000001E-4</v>
      </c>
      <c r="CE48" s="43">
        <v>-3.3100000000000002E-4</v>
      </c>
      <c r="CF48" s="43">
        <v>6.0000000000000002E-5</v>
      </c>
      <c r="CH48" s="30">
        <v>2.733044556530579E-2</v>
      </c>
      <c r="CI48" s="43">
        <v>-3.9599999999999998E-4</v>
      </c>
      <c r="CJ48" s="43">
        <v>-3.6699999999999998E-4</v>
      </c>
      <c r="CK48" s="43">
        <v>-8.2999999999999998E-5</v>
      </c>
      <c r="CL48" s="30">
        <v>3.0336674731972435E-2</v>
      </c>
      <c r="CM48" s="43">
        <v>-4.17E-4</v>
      </c>
      <c r="CN48" s="43">
        <v>-3.8499999999999998E-4</v>
      </c>
      <c r="CO48" s="43">
        <v>-6.6000000000000005E-5</v>
      </c>
      <c r="CQ48" s="30">
        <v>2.733044556530579E-2</v>
      </c>
      <c r="CR48" s="43">
        <v>-2.24E-4</v>
      </c>
      <c r="CS48" s="43">
        <v>-2.24E-4</v>
      </c>
      <c r="CT48" s="43">
        <v>-2.1699999999999999E-4</v>
      </c>
      <c r="CU48" s="30">
        <v>3.0336674731972435E-2</v>
      </c>
      <c r="CV48" s="43">
        <v>-2.2499999999999999E-4</v>
      </c>
      <c r="CW48" s="43">
        <v>-2.24E-4</v>
      </c>
      <c r="CX48" s="43">
        <v>-2.1599999999999999E-4</v>
      </c>
    </row>
    <row r="49" spans="14:102" x14ac:dyDescent="0.25">
      <c r="N49" s="30">
        <v>2.8013679298639127E-2</v>
      </c>
      <c r="O49" s="43">
        <v>-3.59E-4</v>
      </c>
      <c r="P49" s="43">
        <v>-3.2899999999999997E-4</v>
      </c>
      <c r="Q49" s="43">
        <v>3.0000000000000001E-6</v>
      </c>
      <c r="R49" s="30">
        <v>3.1156555231972433E-2</v>
      </c>
      <c r="S49" s="43">
        <v>-3.7800000000000003E-4</v>
      </c>
      <c r="T49" s="43">
        <v>-3.4499999999999998E-4</v>
      </c>
      <c r="U49" s="43">
        <v>2.3E-5</v>
      </c>
      <c r="W49" s="30">
        <v>2.8013679298639127E-2</v>
      </c>
      <c r="X49" s="43">
        <v>-3.57E-4</v>
      </c>
      <c r="Y49" s="43">
        <v>-3.2699999999999998E-4</v>
      </c>
      <c r="Z49" s="43">
        <v>5.0000000000000004E-6</v>
      </c>
      <c r="AA49" s="30">
        <v>3.1156555231972433E-2</v>
      </c>
      <c r="AB49" s="43">
        <v>-3.5300000000000002E-4</v>
      </c>
      <c r="AC49" s="43">
        <v>-3.2400000000000001E-4</v>
      </c>
      <c r="AD49" s="43">
        <v>6.9999999999999999E-6</v>
      </c>
      <c r="AF49" s="30">
        <v>2.8013679298639127E-2</v>
      </c>
      <c r="AG49" s="43">
        <v>-5.5699999999999999E-4</v>
      </c>
      <c r="AH49" s="43">
        <v>-5.6099999999999998E-4</v>
      </c>
      <c r="AI49" s="43">
        <v>1.07E-4</v>
      </c>
      <c r="AJ49" s="30">
        <v>3.1156555231972433E-2</v>
      </c>
      <c r="AK49" s="43">
        <v>-6.0099999999999997E-4</v>
      </c>
      <c r="AL49" s="43">
        <v>-6.0599999999999998E-4</v>
      </c>
      <c r="AM49" s="43">
        <v>1.55E-4</v>
      </c>
      <c r="AO49" s="30">
        <v>2.8013679298639127E-2</v>
      </c>
      <c r="AP49" s="43">
        <v>-3.3199999999999999E-4</v>
      </c>
      <c r="AQ49" s="43">
        <v>-3.3300000000000002E-4</v>
      </c>
      <c r="AR49" s="43">
        <v>-1.1E-4</v>
      </c>
      <c r="AS49" s="30">
        <v>3.1156555231972433E-2</v>
      </c>
      <c r="AT49" s="43">
        <v>-3.4200000000000002E-4</v>
      </c>
      <c r="AU49" s="43">
        <v>-3.4400000000000001E-4</v>
      </c>
      <c r="AV49" s="43">
        <v>-9.8999999999999994E-5</v>
      </c>
      <c r="AX49" s="30">
        <v>2.8013679298639127E-2</v>
      </c>
      <c r="AY49" s="43">
        <v>-5.5999999999999995E-4</v>
      </c>
      <c r="AZ49" s="43">
        <v>-5.6400000000000005E-4</v>
      </c>
      <c r="BA49" s="43">
        <v>1.07E-4</v>
      </c>
      <c r="BB49" s="30">
        <v>3.1156555231972433E-2</v>
      </c>
      <c r="BC49" s="43">
        <v>-6.0400000000000004E-4</v>
      </c>
      <c r="BD49" s="43">
        <v>-6.0899999999999995E-4</v>
      </c>
      <c r="BE49" s="43">
        <v>1.55E-4</v>
      </c>
      <c r="BG49" s="30">
        <v>2.8013679298639127E-2</v>
      </c>
      <c r="BH49" s="43">
        <v>-3.3E-4</v>
      </c>
      <c r="BI49" s="43">
        <v>-3.3100000000000002E-4</v>
      </c>
      <c r="BJ49" s="43">
        <v>-1.1400000000000001E-4</v>
      </c>
      <c r="BK49" s="30">
        <v>3.1156555231972433E-2</v>
      </c>
      <c r="BL49" s="43">
        <v>-3.4099999999999999E-4</v>
      </c>
      <c r="BM49" s="43">
        <v>-3.4200000000000002E-4</v>
      </c>
      <c r="BN49" s="43">
        <v>-1.0399999999999999E-4</v>
      </c>
      <c r="BP49" s="30">
        <v>2.8013679298639127E-2</v>
      </c>
      <c r="BQ49" s="43">
        <v>-5.2999999999999998E-4</v>
      </c>
      <c r="BR49" s="43">
        <v>-5.2400000000000005E-4</v>
      </c>
      <c r="BS49" s="43">
        <v>2.7300000000000002E-4</v>
      </c>
      <c r="BT49" s="30">
        <v>3.1156555231972433E-2</v>
      </c>
      <c r="BU49" s="43">
        <v>-5.8200000000000005E-4</v>
      </c>
      <c r="BV49" s="43">
        <v>-5.7700000000000004E-4</v>
      </c>
      <c r="BW49" s="43">
        <v>3.8400000000000001E-4</v>
      </c>
      <c r="BY49" s="30">
        <v>2.8013679298639127E-2</v>
      </c>
      <c r="BZ49" s="43">
        <v>-3.3500000000000001E-4</v>
      </c>
      <c r="CA49" s="43">
        <v>-3.2200000000000002E-4</v>
      </c>
      <c r="CB49" s="43">
        <v>5.1999999999999997E-5</v>
      </c>
      <c r="CC49" s="30">
        <v>3.1156555231972433E-2</v>
      </c>
      <c r="CD49" s="43">
        <v>-3.4699999999999998E-4</v>
      </c>
      <c r="CE49" s="43">
        <v>-3.3300000000000002E-4</v>
      </c>
      <c r="CF49" s="43">
        <v>6.3E-5</v>
      </c>
      <c r="CH49" s="30">
        <v>2.8013679298639127E-2</v>
      </c>
      <c r="CI49" s="43">
        <v>-4.0099999999999999E-4</v>
      </c>
      <c r="CJ49" s="43">
        <v>-3.7100000000000002E-4</v>
      </c>
      <c r="CK49" s="43">
        <v>-7.8999999999999996E-5</v>
      </c>
      <c r="CL49" s="30">
        <v>3.1156555231972433E-2</v>
      </c>
      <c r="CM49" s="43">
        <v>-4.2299999999999998E-4</v>
      </c>
      <c r="CN49" s="43">
        <v>-3.8999999999999999E-4</v>
      </c>
      <c r="CO49" s="43">
        <v>-6.0999999999999999E-5</v>
      </c>
      <c r="CQ49" s="30">
        <v>2.8013679298639127E-2</v>
      </c>
      <c r="CR49" s="43">
        <v>-2.24E-4</v>
      </c>
      <c r="CS49" s="43">
        <v>-2.24E-4</v>
      </c>
      <c r="CT49" s="43">
        <v>-2.1699999999999999E-4</v>
      </c>
      <c r="CU49" s="30">
        <v>3.1156555231972433E-2</v>
      </c>
      <c r="CV49" s="43">
        <v>-2.2599999999999999E-4</v>
      </c>
      <c r="CW49" s="43">
        <v>-2.2499999999999999E-4</v>
      </c>
      <c r="CX49" s="43">
        <v>-2.1499999999999999E-4</v>
      </c>
    </row>
    <row r="50" spans="14:102" x14ac:dyDescent="0.25">
      <c r="N50" s="30">
        <v>2.869691303197246E-2</v>
      </c>
      <c r="O50" s="43">
        <v>-3.6299999999999999E-4</v>
      </c>
      <c r="P50" s="43">
        <v>-3.3199999999999999E-4</v>
      </c>
      <c r="Q50" s="43">
        <v>6.9999999999999999E-6</v>
      </c>
      <c r="R50" s="30">
        <v>3.1976435731972432E-2</v>
      </c>
      <c r="S50" s="43">
        <v>-3.8299999999999999E-4</v>
      </c>
      <c r="T50" s="43">
        <v>-3.4900000000000003E-4</v>
      </c>
      <c r="U50" s="43">
        <v>2.8E-5</v>
      </c>
      <c r="W50" s="30">
        <v>2.869691303197246E-2</v>
      </c>
      <c r="X50" s="43">
        <v>-3.5599999999999998E-4</v>
      </c>
      <c r="Y50" s="43">
        <v>-3.2600000000000001E-4</v>
      </c>
      <c r="Z50" s="43">
        <v>5.0000000000000004E-6</v>
      </c>
      <c r="AA50" s="30">
        <v>3.1976435731972432E-2</v>
      </c>
      <c r="AB50" s="43">
        <v>-3.5199999999999999E-4</v>
      </c>
      <c r="AC50" s="43">
        <v>-3.2299999999999999E-4</v>
      </c>
      <c r="AD50" s="43">
        <v>6.9999999999999999E-6</v>
      </c>
      <c r="AF50" s="30">
        <v>2.869691303197246E-2</v>
      </c>
      <c r="AG50" s="43">
        <v>-5.6599999999999999E-4</v>
      </c>
      <c r="AH50" s="43">
        <v>-5.6999999999999998E-4</v>
      </c>
      <c r="AI50" s="43">
        <v>1.15E-4</v>
      </c>
      <c r="AJ50" s="30">
        <v>3.1976435731972432E-2</v>
      </c>
      <c r="AK50" s="43">
        <v>-6.1399999999999996E-4</v>
      </c>
      <c r="AL50" s="43">
        <v>-6.1799999999999995E-4</v>
      </c>
      <c r="AM50" s="43">
        <v>1.7000000000000001E-4</v>
      </c>
      <c r="AO50" s="30">
        <v>2.869691303197246E-2</v>
      </c>
      <c r="AP50" s="43">
        <v>-3.3399999999999999E-4</v>
      </c>
      <c r="AQ50" s="43">
        <v>-3.3599999999999998E-4</v>
      </c>
      <c r="AR50" s="43">
        <v>-1.07E-4</v>
      </c>
      <c r="AS50" s="30">
        <v>3.1976435731972432E-2</v>
      </c>
      <c r="AT50" s="43">
        <v>-3.4499999999999998E-4</v>
      </c>
      <c r="AU50" s="43">
        <v>-3.4600000000000001E-4</v>
      </c>
      <c r="AV50" s="43">
        <v>-9.7E-5</v>
      </c>
      <c r="AX50" s="30">
        <v>2.869691303197246E-2</v>
      </c>
      <c r="AY50" s="43">
        <v>-5.6800000000000004E-4</v>
      </c>
      <c r="AZ50" s="43">
        <v>-5.7300000000000005E-4</v>
      </c>
      <c r="BA50" s="43">
        <v>1.15E-4</v>
      </c>
      <c r="BB50" s="30">
        <v>3.1976435731972432E-2</v>
      </c>
      <c r="BC50" s="43">
        <v>-6.1600000000000001E-4</v>
      </c>
      <c r="BD50" s="43">
        <v>-6.2100000000000002E-4</v>
      </c>
      <c r="BE50" s="43">
        <v>1.6899999999999999E-4</v>
      </c>
      <c r="BG50" s="30">
        <v>2.869691303197246E-2</v>
      </c>
      <c r="BH50" s="43">
        <v>-3.3300000000000002E-4</v>
      </c>
      <c r="BI50" s="43">
        <v>-3.3399999999999999E-4</v>
      </c>
      <c r="BJ50" s="43">
        <v>-1.12E-4</v>
      </c>
      <c r="BK50" s="30">
        <v>3.1976435731972432E-2</v>
      </c>
      <c r="BL50" s="43">
        <v>-3.4299999999999999E-4</v>
      </c>
      <c r="BM50" s="43">
        <v>-3.4400000000000001E-4</v>
      </c>
      <c r="BN50" s="43">
        <v>-1.01E-4</v>
      </c>
      <c r="BP50" s="30">
        <v>2.869691303197246E-2</v>
      </c>
      <c r="BQ50" s="43">
        <v>-5.4100000000000003E-4</v>
      </c>
      <c r="BR50" s="43">
        <v>-5.3499999999999999E-4</v>
      </c>
      <c r="BS50" s="43">
        <v>2.9100000000000003E-4</v>
      </c>
      <c r="BT50" s="30">
        <v>3.1976435731972432E-2</v>
      </c>
      <c r="BU50" s="43">
        <v>-5.9599999999999996E-4</v>
      </c>
      <c r="BV50" s="43">
        <v>-5.9100000000000005E-4</v>
      </c>
      <c r="BW50" s="43">
        <v>4.1599999999999997E-4</v>
      </c>
      <c r="BY50" s="30">
        <v>2.869691303197246E-2</v>
      </c>
      <c r="BZ50" s="43">
        <v>-3.3799999999999998E-4</v>
      </c>
      <c r="CA50" s="43">
        <v>-3.2499999999999999E-4</v>
      </c>
      <c r="CB50" s="43">
        <v>5.3999999999999998E-5</v>
      </c>
      <c r="CC50" s="30">
        <v>3.1976435731972432E-2</v>
      </c>
      <c r="CD50" s="43">
        <v>-3.4900000000000003E-4</v>
      </c>
      <c r="CE50" s="43">
        <v>-3.3599999999999998E-4</v>
      </c>
      <c r="CF50" s="43">
        <v>6.6000000000000005E-5</v>
      </c>
      <c r="CH50" s="30">
        <v>2.869691303197246E-2</v>
      </c>
      <c r="CI50" s="43">
        <v>-4.0499999999999998E-4</v>
      </c>
      <c r="CJ50" s="43">
        <v>-3.7500000000000001E-4</v>
      </c>
      <c r="CK50" s="43">
        <v>-7.6000000000000004E-5</v>
      </c>
      <c r="CL50" s="30">
        <v>3.1976435731972432E-2</v>
      </c>
      <c r="CM50" s="43">
        <v>-4.2900000000000002E-4</v>
      </c>
      <c r="CN50" s="43">
        <v>-3.9500000000000001E-4</v>
      </c>
      <c r="CO50" s="43">
        <v>-5.5999999999999999E-5</v>
      </c>
      <c r="CQ50" s="30">
        <v>2.869691303197246E-2</v>
      </c>
      <c r="CR50" s="43">
        <v>-2.24E-4</v>
      </c>
      <c r="CS50" s="43">
        <v>-2.24E-4</v>
      </c>
      <c r="CT50" s="43">
        <v>-2.1599999999999999E-4</v>
      </c>
      <c r="CU50" s="30">
        <v>3.1976435731972432E-2</v>
      </c>
      <c r="CV50" s="43">
        <v>-2.2599999999999999E-4</v>
      </c>
      <c r="CW50" s="43">
        <v>-2.2499999999999999E-4</v>
      </c>
      <c r="CX50" s="43">
        <v>-2.1499999999999999E-4</v>
      </c>
    </row>
    <row r="51" spans="14:102" x14ac:dyDescent="0.25">
      <c r="N51" s="30">
        <v>2.9380146765305797E-2</v>
      </c>
      <c r="O51" s="43">
        <v>-3.6600000000000001E-4</v>
      </c>
      <c r="P51" s="43">
        <v>-3.3500000000000001E-4</v>
      </c>
      <c r="Q51" s="43">
        <v>1.1E-5</v>
      </c>
      <c r="R51" s="30">
        <v>3.2796316231972433E-2</v>
      </c>
      <c r="S51" s="43">
        <v>-3.88E-4</v>
      </c>
      <c r="T51" s="43">
        <v>-3.5399999999999999E-4</v>
      </c>
      <c r="U51" s="43">
        <v>3.4E-5</v>
      </c>
      <c r="W51" s="30">
        <v>2.9380146765305797E-2</v>
      </c>
      <c r="X51" s="43">
        <v>-3.5500000000000001E-4</v>
      </c>
      <c r="Y51" s="43">
        <v>-3.2600000000000001E-4</v>
      </c>
      <c r="Z51" s="43">
        <v>6.0000000000000002E-6</v>
      </c>
      <c r="AA51" s="30">
        <v>3.2796316231972433E-2</v>
      </c>
      <c r="AB51" s="43">
        <v>-3.5100000000000002E-4</v>
      </c>
      <c r="AC51" s="43">
        <v>-3.2200000000000002E-4</v>
      </c>
      <c r="AD51" s="43">
        <v>7.9999999999999996E-6</v>
      </c>
      <c r="AF51" s="30">
        <v>2.9380146765305797E-2</v>
      </c>
      <c r="AG51" s="43">
        <v>-5.7399999999999997E-4</v>
      </c>
      <c r="AH51" s="43">
        <v>-5.7899999999999998E-4</v>
      </c>
      <c r="AI51" s="43">
        <v>1.2400000000000001E-4</v>
      </c>
      <c r="AJ51" s="30">
        <v>3.2796316231972433E-2</v>
      </c>
      <c r="AK51" s="43">
        <v>-6.2600000000000004E-4</v>
      </c>
      <c r="AL51" s="43">
        <v>-6.3100000000000005E-4</v>
      </c>
      <c r="AM51" s="43">
        <v>1.84E-4</v>
      </c>
      <c r="AO51" s="30">
        <v>2.9380146765305797E-2</v>
      </c>
      <c r="AP51" s="43">
        <v>-3.3700000000000001E-4</v>
      </c>
      <c r="AQ51" s="43">
        <v>-3.3799999999999998E-4</v>
      </c>
      <c r="AR51" s="43">
        <v>-1.05E-4</v>
      </c>
      <c r="AS51" s="30">
        <v>3.2796316231972433E-2</v>
      </c>
      <c r="AT51" s="43">
        <v>-3.4699999999999998E-4</v>
      </c>
      <c r="AU51" s="43">
        <v>-3.4900000000000003E-4</v>
      </c>
      <c r="AV51" s="43">
        <v>-9.3999999999999994E-5</v>
      </c>
      <c r="AX51" s="30">
        <v>2.9380146765305797E-2</v>
      </c>
      <c r="AY51" s="43">
        <v>-5.7700000000000004E-4</v>
      </c>
      <c r="AZ51" s="43">
        <v>-5.8100000000000003E-4</v>
      </c>
      <c r="BA51" s="43">
        <v>1.2400000000000001E-4</v>
      </c>
      <c r="BB51" s="30">
        <v>3.2796316231972433E-2</v>
      </c>
      <c r="BC51" s="43">
        <v>-6.2799999999999998E-4</v>
      </c>
      <c r="BD51" s="43">
        <v>-6.3400000000000001E-4</v>
      </c>
      <c r="BE51" s="43">
        <v>1.84E-4</v>
      </c>
      <c r="BG51" s="30">
        <v>2.9380146765305797E-2</v>
      </c>
      <c r="BH51" s="43">
        <v>-3.3500000000000001E-4</v>
      </c>
      <c r="BI51" s="43">
        <v>-3.3599999999999998E-4</v>
      </c>
      <c r="BJ51" s="43">
        <v>-1.0900000000000001E-4</v>
      </c>
      <c r="BK51" s="30">
        <v>3.2796316231972433E-2</v>
      </c>
      <c r="BL51" s="43">
        <v>-3.4600000000000001E-4</v>
      </c>
      <c r="BM51" s="43">
        <v>-3.4699999999999998E-4</v>
      </c>
      <c r="BN51" s="43">
        <v>-9.8999999999999994E-5</v>
      </c>
      <c r="BP51" s="30">
        <v>2.9380146765305797E-2</v>
      </c>
      <c r="BQ51" s="43">
        <v>-5.5199999999999997E-4</v>
      </c>
      <c r="BR51" s="43">
        <v>-5.4699999999999996E-4</v>
      </c>
      <c r="BS51" s="43">
        <v>3.0899999999999998E-4</v>
      </c>
      <c r="BT51" s="30">
        <v>3.2796316231972433E-2</v>
      </c>
      <c r="BU51" s="43">
        <v>-6.0999999999999997E-4</v>
      </c>
      <c r="BV51" s="43">
        <v>-6.0599999999999998E-4</v>
      </c>
      <c r="BW51" s="43">
        <v>4.4900000000000002E-4</v>
      </c>
      <c r="BY51" s="30">
        <v>2.9380146765305797E-2</v>
      </c>
      <c r="BZ51" s="43">
        <v>-3.4000000000000002E-4</v>
      </c>
      <c r="CA51" s="43">
        <v>-3.2699999999999998E-4</v>
      </c>
      <c r="CB51" s="43">
        <v>5.7000000000000003E-5</v>
      </c>
      <c r="CC51" s="30">
        <v>3.2796316231972433E-2</v>
      </c>
      <c r="CD51" s="43">
        <v>-3.5199999999999999E-4</v>
      </c>
      <c r="CE51" s="43">
        <v>-3.39E-4</v>
      </c>
      <c r="CF51" s="43">
        <v>6.7999999999999999E-5</v>
      </c>
      <c r="CH51" s="30">
        <v>2.9380146765305797E-2</v>
      </c>
      <c r="CI51" s="43">
        <v>-4.0999999999999999E-4</v>
      </c>
      <c r="CJ51" s="43">
        <v>-3.79E-4</v>
      </c>
      <c r="CK51" s="43">
        <v>-7.2000000000000002E-5</v>
      </c>
      <c r="CL51" s="30">
        <v>3.2796316231972433E-2</v>
      </c>
      <c r="CM51" s="43">
        <v>-4.35E-4</v>
      </c>
      <c r="CN51" s="43">
        <v>-4.0000000000000002E-4</v>
      </c>
      <c r="CO51" s="43">
        <v>-5.1E-5</v>
      </c>
      <c r="CQ51" s="30">
        <v>2.9380146765305797E-2</v>
      </c>
      <c r="CR51" s="43">
        <v>-2.24E-4</v>
      </c>
      <c r="CS51" s="43">
        <v>-2.24E-4</v>
      </c>
      <c r="CT51" s="43">
        <v>-2.1599999999999999E-4</v>
      </c>
      <c r="CU51" s="30">
        <v>3.2796316231972433E-2</v>
      </c>
      <c r="CV51" s="43">
        <v>-2.2599999999999999E-4</v>
      </c>
      <c r="CW51" s="43">
        <v>-2.2599999999999999E-4</v>
      </c>
      <c r="CX51" s="43">
        <v>-2.14E-4</v>
      </c>
    </row>
    <row r="52" spans="14:102" x14ac:dyDescent="0.25">
      <c r="N52" s="30">
        <v>3.0063380498639131E-2</v>
      </c>
      <c r="O52" s="43">
        <v>-3.7100000000000002E-4</v>
      </c>
      <c r="P52" s="43">
        <v>-3.39E-4</v>
      </c>
      <c r="Q52" s="43">
        <v>1.5999999999999999E-5</v>
      </c>
      <c r="R52" s="30">
        <v>3.2796316231972433E-2</v>
      </c>
      <c r="S52" s="43">
        <v>-3.88E-4</v>
      </c>
      <c r="T52" s="43">
        <v>-3.5399999999999999E-4</v>
      </c>
      <c r="U52" s="43">
        <v>3.4E-5</v>
      </c>
      <c r="W52" s="30">
        <v>3.0063380498639131E-2</v>
      </c>
      <c r="X52" s="43">
        <v>-3.5500000000000001E-4</v>
      </c>
      <c r="Y52" s="43">
        <v>-3.2499999999999999E-4</v>
      </c>
      <c r="Z52" s="43">
        <v>6.0000000000000002E-6</v>
      </c>
      <c r="AA52" s="30">
        <v>3.2796316231972433E-2</v>
      </c>
      <c r="AB52" s="43">
        <v>-3.5100000000000002E-4</v>
      </c>
      <c r="AC52" s="43">
        <v>-3.2200000000000002E-4</v>
      </c>
      <c r="AD52" s="43">
        <v>7.9999999999999996E-6</v>
      </c>
      <c r="AF52" s="30">
        <v>3.0063380498639131E-2</v>
      </c>
      <c r="AG52" s="43">
        <v>-5.8500000000000002E-4</v>
      </c>
      <c r="AH52" s="43">
        <v>-5.9000000000000003E-4</v>
      </c>
      <c r="AI52" s="43">
        <v>1.36E-4</v>
      </c>
      <c r="AJ52" s="30">
        <v>3.2796316231972433E-2</v>
      </c>
      <c r="AK52" s="43">
        <v>-6.2600000000000004E-4</v>
      </c>
      <c r="AL52" s="43">
        <v>-6.3100000000000005E-4</v>
      </c>
      <c r="AM52" s="43">
        <v>1.84E-4</v>
      </c>
      <c r="AO52" s="30">
        <v>3.0063380498639131E-2</v>
      </c>
      <c r="AP52" s="43">
        <v>-3.39E-4</v>
      </c>
      <c r="AQ52" s="43">
        <v>-3.4000000000000002E-4</v>
      </c>
      <c r="AR52" s="43">
        <v>-1.03E-4</v>
      </c>
      <c r="AS52" s="30">
        <v>3.2796316231972433E-2</v>
      </c>
      <c r="AT52" s="43">
        <v>-3.4699999999999998E-4</v>
      </c>
      <c r="AU52" s="43">
        <v>-3.4900000000000003E-4</v>
      </c>
      <c r="AV52" s="43">
        <v>-9.3999999999999994E-5</v>
      </c>
      <c r="AX52" s="30">
        <v>3.0063380498639131E-2</v>
      </c>
      <c r="AY52" s="43">
        <v>-5.8799999999999998E-4</v>
      </c>
      <c r="AZ52" s="43">
        <v>-5.9199999999999997E-4</v>
      </c>
      <c r="BA52" s="43">
        <v>1.36E-4</v>
      </c>
      <c r="BB52" s="30">
        <v>3.2796316231972433E-2</v>
      </c>
      <c r="BC52" s="43">
        <v>-6.2799999999999998E-4</v>
      </c>
      <c r="BD52" s="43">
        <v>-6.3400000000000001E-4</v>
      </c>
      <c r="BE52" s="43">
        <v>1.84E-4</v>
      </c>
      <c r="BG52" s="30">
        <v>3.0063380498639131E-2</v>
      </c>
      <c r="BH52" s="43">
        <v>-3.3700000000000001E-4</v>
      </c>
      <c r="BI52" s="43">
        <v>-3.3799999999999998E-4</v>
      </c>
      <c r="BJ52" s="43">
        <v>-1.07E-4</v>
      </c>
      <c r="BK52" s="30">
        <v>3.2796316231972433E-2</v>
      </c>
      <c r="BL52" s="43">
        <v>-3.4600000000000001E-4</v>
      </c>
      <c r="BM52" s="43">
        <v>-3.4699999999999998E-4</v>
      </c>
      <c r="BN52" s="43">
        <v>-9.8999999999999994E-5</v>
      </c>
      <c r="BP52" s="30">
        <v>3.0063380498639131E-2</v>
      </c>
      <c r="BQ52" s="43">
        <v>-5.6400000000000005E-4</v>
      </c>
      <c r="BR52" s="43">
        <v>-5.5900000000000004E-4</v>
      </c>
      <c r="BS52" s="43">
        <v>3.4200000000000002E-4</v>
      </c>
      <c r="BT52" s="30">
        <v>3.2796316231972433E-2</v>
      </c>
      <c r="BU52" s="43">
        <v>-6.0999999999999997E-4</v>
      </c>
      <c r="BV52" s="43">
        <v>-6.0599999999999998E-4</v>
      </c>
      <c r="BW52" s="43">
        <v>4.4900000000000002E-4</v>
      </c>
      <c r="BY52" s="30">
        <v>3.0063380498639131E-2</v>
      </c>
      <c r="BZ52" s="43">
        <v>-3.4299999999999999E-4</v>
      </c>
      <c r="CA52" s="43">
        <v>-3.3E-4</v>
      </c>
      <c r="CB52" s="43">
        <v>5.8999999999999998E-5</v>
      </c>
      <c r="CC52" s="30">
        <v>3.2796316231972433E-2</v>
      </c>
      <c r="CD52" s="43">
        <v>-3.5199999999999999E-4</v>
      </c>
      <c r="CE52" s="43">
        <v>-3.39E-4</v>
      </c>
      <c r="CF52" s="43">
        <v>6.7999999999999999E-5</v>
      </c>
      <c r="CH52" s="30">
        <v>3.0063380498639131E-2</v>
      </c>
      <c r="CI52" s="43">
        <v>-4.15E-4</v>
      </c>
      <c r="CJ52" s="43">
        <v>-3.8299999999999999E-4</v>
      </c>
      <c r="CK52" s="43">
        <v>-6.7000000000000002E-5</v>
      </c>
      <c r="CL52" s="30">
        <v>3.2796316231972433E-2</v>
      </c>
      <c r="CM52" s="43">
        <v>-4.35E-4</v>
      </c>
      <c r="CN52" s="43">
        <v>-4.0000000000000002E-4</v>
      </c>
      <c r="CO52" s="43">
        <v>-5.1E-5</v>
      </c>
      <c r="CQ52" s="30">
        <v>3.0063380498639131E-2</v>
      </c>
      <c r="CR52" s="43">
        <v>-2.2499999999999999E-4</v>
      </c>
      <c r="CS52" s="43">
        <v>-2.24E-4</v>
      </c>
      <c r="CT52" s="43">
        <v>-2.1599999999999999E-4</v>
      </c>
      <c r="CU52" s="30">
        <v>3.2796316231972433E-2</v>
      </c>
      <c r="CV52" s="43">
        <v>-2.2599999999999999E-4</v>
      </c>
      <c r="CW52" s="43">
        <v>-2.2599999999999999E-4</v>
      </c>
      <c r="CX52" s="43">
        <v>-2.14E-4</v>
      </c>
    </row>
    <row r="53" spans="14:102" x14ac:dyDescent="0.25">
      <c r="N53" s="30">
        <v>3.0746614231972468E-2</v>
      </c>
      <c r="O53" s="43">
        <v>-3.7500000000000001E-4</v>
      </c>
      <c r="P53" s="43">
        <v>-3.4299999999999999E-4</v>
      </c>
      <c r="Q53" s="43">
        <v>2.0000000000000002E-5</v>
      </c>
      <c r="R53" s="30">
        <v>3.3616196731972435E-2</v>
      </c>
      <c r="S53" s="43">
        <v>-3.9399999999999998E-4</v>
      </c>
      <c r="T53" s="43">
        <v>-3.5799999999999997E-4</v>
      </c>
      <c r="U53" s="43">
        <v>3.8999999999999999E-5</v>
      </c>
      <c r="W53" s="30">
        <v>3.0746614231972468E-2</v>
      </c>
      <c r="X53" s="43">
        <v>-3.5399999999999999E-4</v>
      </c>
      <c r="Y53" s="43">
        <v>-3.2400000000000001E-4</v>
      </c>
      <c r="Z53" s="43">
        <v>6.9999999999999999E-6</v>
      </c>
      <c r="AA53" s="30">
        <v>3.3616196731972435E-2</v>
      </c>
      <c r="AB53" s="43">
        <v>-3.5E-4</v>
      </c>
      <c r="AC53" s="43">
        <v>-3.21E-4</v>
      </c>
      <c r="AD53" s="43">
        <v>7.9999999999999996E-6</v>
      </c>
      <c r="AF53" s="30">
        <v>3.0746614231972468E-2</v>
      </c>
      <c r="AG53" s="43">
        <v>-5.9500000000000004E-4</v>
      </c>
      <c r="AH53" s="43">
        <v>-5.9999999999999995E-4</v>
      </c>
      <c r="AI53" s="43">
        <v>1.4799999999999999E-4</v>
      </c>
      <c r="AJ53" s="30">
        <v>3.3616196731972435E-2</v>
      </c>
      <c r="AK53" s="43">
        <v>-6.38E-4</v>
      </c>
      <c r="AL53" s="43">
        <v>-6.4300000000000002E-4</v>
      </c>
      <c r="AM53" s="43">
        <v>1.9799999999999999E-4</v>
      </c>
      <c r="AO53" s="30">
        <v>3.0746614231972468E-2</v>
      </c>
      <c r="AP53" s="43">
        <v>-3.4099999999999999E-4</v>
      </c>
      <c r="AQ53" s="43">
        <v>-3.4200000000000002E-4</v>
      </c>
      <c r="AR53" s="43">
        <v>-1.01E-4</v>
      </c>
      <c r="AS53" s="30">
        <v>3.3616196731972435E-2</v>
      </c>
      <c r="AT53" s="43">
        <v>-3.5E-4</v>
      </c>
      <c r="AU53" s="43">
        <v>-3.5100000000000002E-4</v>
      </c>
      <c r="AV53" s="43">
        <v>-9.2E-5</v>
      </c>
      <c r="AX53" s="30">
        <v>3.0746614231972468E-2</v>
      </c>
      <c r="AY53" s="43">
        <v>-5.9800000000000001E-4</v>
      </c>
      <c r="AZ53" s="43">
        <v>-6.0300000000000002E-4</v>
      </c>
      <c r="BA53" s="43">
        <v>1.4799999999999999E-4</v>
      </c>
      <c r="BB53" s="30">
        <v>3.3616196731972435E-2</v>
      </c>
      <c r="BC53" s="43">
        <v>-6.4099999999999997E-4</v>
      </c>
      <c r="BD53" s="43">
        <v>-6.4599999999999998E-4</v>
      </c>
      <c r="BE53" s="43">
        <v>1.9799999999999999E-4</v>
      </c>
      <c r="BG53" s="30">
        <v>3.0746614231972468E-2</v>
      </c>
      <c r="BH53" s="43">
        <v>-3.39E-4</v>
      </c>
      <c r="BI53" s="43">
        <v>-3.4000000000000002E-4</v>
      </c>
      <c r="BJ53" s="43">
        <v>-1.05E-4</v>
      </c>
      <c r="BK53" s="30">
        <v>3.3616196731972435E-2</v>
      </c>
      <c r="BL53" s="43">
        <v>-3.48E-4</v>
      </c>
      <c r="BM53" s="43">
        <v>-3.5E-4</v>
      </c>
      <c r="BN53" s="43">
        <v>-9.6000000000000002E-5</v>
      </c>
      <c r="BP53" s="30">
        <v>3.0746614231972468E-2</v>
      </c>
      <c r="BQ53" s="43">
        <v>-5.7600000000000001E-4</v>
      </c>
      <c r="BR53" s="43">
        <v>-5.71E-4</v>
      </c>
      <c r="BS53" s="43">
        <v>3.6999999999999999E-4</v>
      </c>
      <c r="BT53" s="30">
        <v>3.3616196731972435E-2</v>
      </c>
      <c r="BU53" s="43">
        <v>-6.2399999999999999E-4</v>
      </c>
      <c r="BV53" s="43">
        <v>-6.2E-4</v>
      </c>
      <c r="BW53" s="43">
        <v>4.8200000000000001E-4</v>
      </c>
      <c r="BY53" s="30">
        <v>3.0746614231972468E-2</v>
      </c>
      <c r="BZ53" s="43">
        <v>-3.4499999999999998E-4</v>
      </c>
      <c r="CA53" s="43">
        <v>-3.3199999999999999E-4</v>
      </c>
      <c r="CB53" s="43">
        <v>6.0999999999999999E-5</v>
      </c>
      <c r="CC53" s="30">
        <v>3.3616196731972435E-2</v>
      </c>
      <c r="CD53" s="43">
        <v>-3.5500000000000001E-4</v>
      </c>
      <c r="CE53" s="43">
        <v>-3.4200000000000002E-4</v>
      </c>
      <c r="CF53" s="43">
        <v>7.1000000000000005E-5</v>
      </c>
      <c r="CH53" s="30">
        <v>3.0746614231972468E-2</v>
      </c>
      <c r="CI53" s="43">
        <v>-4.2000000000000002E-4</v>
      </c>
      <c r="CJ53" s="43">
        <v>-3.88E-4</v>
      </c>
      <c r="CK53" s="43">
        <v>-6.3E-5</v>
      </c>
      <c r="CL53" s="30">
        <v>3.3616196731972435E-2</v>
      </c>
      <c r="CM53" s="43">
        <v>-4.4099999999999999E-4</v>
      </c>
      <c r="CN53" s="43">
        <v>-4.0499999999999998E-4</v>
      </c>
      <c r="CO53" s="43">
        <v>-4.6E-5</v>
      </c>
      <c r="CQ53" s="30">
        <v>3.0746614231972468E-2</v>
      </c>
      <c r="CR53" s="43">
        <v>-2.2499999999999999E-4</v>
      </c>
      <c r="CS53" s="43">
        <v>-2.2499999999999999E-4</v>
      </c>
      <c r="CT53" s="43">
        <v>-2.1499999999999999E-4</v>
      </c>
      <c r="CU53" s="30">
        <v>3.3616196731972435E-2</v>
      </c>
      <c r="CV53" s="43">
        <v>-2.2699999999999999E-4</v>
      </c>
      <c r="CW53" s="43">
        <v>-2.2599999999999999E-4</v>
      </c>
      <c r="CX53" s="43">
        <v>-2.14E-4</v>
      </c>
    </row>
    <row r="54" spans="14:102" x14ac:dyDescent="0.25">
      <c r="N54" s="30">
        <v>3.1429847965305804E-2</v>
      </c>
      <c r="O54" s="43">
        <v>-3.8000000000000002E-4</v>
      </c>
      <c r="P54" s="43">
        <v>-3.4600000000000001E-4</v>
      </c>
      <c r="Q54" s="43">
        <v>2.5000000000000001E-5</v>
      </c>
      <c r="R54" s="30">
        <v>3.4436077231972437E-2</v>
      </c>
      <c r="S54" s="43">
        <v>-3.9899999999999999E-4</v>
      </c>
      <c r="T54" s="43">
        <v>-3.6200000000000002E-4</v>
      </c>
      <c r="U54" s="43">
        <v>4.3999999999999999E-5</v>
      </c>
      <c r="W54" s="30">
        <v>3.1429847965305804E-2</v>
      </c>
      <c r="X54" s="43">
        <v>-3.5300000000000002E-4</v>
      </c>
      <c r="Y54" s="43">
        <v>-3.2299999999999999E-4</v>
      </c>
      <c r="Z54" s="43">
        <v>6.9999999999999999E-6</v>
      </c>
      <c r="AA54" s="30">
        <v>3.4436077231972437E-2</v>
      </c>
      <c r="AB54" s="43">
        <v>-3.5E-4</v>
      </c>
      <c r="AC54" s="43">
        <v>-3.2000000000000003E-4</v>
      </c>
      <c r="AD54" s="43">
        <v>7.9999999999999996E-6</v>
      </c>
      <c r="AF54" s="30">
        <v>3.1429847965305804E-2</v>
      </c>
      <c r="AG54" s="43">
        <v>-6.0499999999999996E-4</v>
      </c>
      <c r="AH54" s="43">
        <v>-6.0999999999999997E-4</v>
      </c>
      <c r="AI54" s="43">
        <v>1.6000000000000001E-4</v>
      </c>
      <c r="AJ54" s="30">
        <v>3.4436077231972437E-2</v>
      </c>
      <c r="AK54" s="43">
        <v>-6.4999999999999997E-4</v>
      </c>
      <c r="AL54" s="43">
        <v>-6.5499999999999998E-4</v>
      </c>
      <c r="AM54" s="43">
        <v>2.12E-4</v>
      </c>
      <c r="AO54" s="30">
        <v>3.1429847965305804E-2</v>
      </c>
      <c r="AP54" s="43">
        <v>-3.4299999999999999E-4</v>
      </c>
      <c r="AQ54" s="43">
        <v>-3.4400000000000001E-4</v>
      </c>
      <c r="AR54" s="43">
        <v>-9.7999999999999997E-5</v>
      </c>
      <c r="AS54" s="30">
        <v>3.4436077231972437E-2</v>
      </c>
      <c r="AT54" s="43">
        <v>-3.5300000000000002E-4</v>
      </c>
      <c r="AU54" s="43">
        <v>-3.5399999999999999E-4</v>
      </c>
      <c r="AV54" s="43">
        <v>-8.8999999999999995E-5</v>
      </c>
      <c r="AX54" s="30">
        <v>3.1429847965305804E-2</v>
      </c>
      <c r="AY54" s="43">
        <v>-6.0800000000000003E-4</v>
      </c>
      <c r="AZ54" s="43">
        <v>-6.1300000000000005E-4</v>
      </c>
      <c r="BA54" s="43">
        <v>1.6000000000000001E-4</v>
      </c>
      <c r="BB54" s="30">
        <v>3.4436077231972437E-2</v>
      </c>
      <c r="BC54" s="43">
        <v>-6.5300000000000004E-4</v>
      </c>
      <c r="BD54" s="43">
        <v>-6.5799999999999995E-4</v>
      </c>
      <c r="BE54" s="43">
        <v>2.12E-4</v>
      </c>
      <c r="BG54" s="30">
        <v>3.1429847965305804E-2</v>
      </c>
      <c r="BH54" s="43">
        <v>-3.4099999999999999E-4</v>
      </c>
      <c r="BI54" s="43">
        <v>-3.4299999999999999E-4</v>
      </c>
      <c r="BJ54" s="43">
        <v>-1.03E-4</v>
      </c>
      <c r="BK54" s="30">
        <v>3.4436077231972437E-2</v>
      </c>
      <c r="BL54" s="43">
        <v>-3.5100000000000002E-4</v>
      </c>
      <c r="BM54" s="43">
        <v>-3.5199999999999999E-4</v>
      </c>
      <c r="BN54" s="43">
        <v>-9.3999999999999994E-5</v>
      </c>
      <c r="BP54" s="30">
        <v>3.1429847965305804E-2</v>
      </c>
      <c r="BQ54" s="43">
        <v>-5.8699999999999996E-4</v>
      </c>
      <c r="BR54" s="43">
        <v>-5.8200000000000005E-4</v>
      </c>
      <c r="BS54" s="43">
        <v>3.97E-4</v>
      </c>
      <c r="BT54" s="30">
        <v>3.4436077231972437E-2</v>
      </c>
      <c r="BU54" s="43">
        <v>-6.38E-4</v>
      </c>
      <c r="BV54" s="43">
        <v>-6.3400000000000001E-4</v>
      </c>
      <c r="BW54" s="43">
        <v>5.1500000000000005E-4</v>
      </c>
      <c r="BY54" s="30">
        <v>3.1429847965305804E-2</v>
      </c>
      <c r="BZ54" s="43">
        <v>-3.4699999999999998E-4</v>
      </c>
      <c r="CA54" s="43">
        <v>-3.3399999999999999E-4</v>
      </c>
      <c r="CB54" s="43">
        <v>6.3999999999999997E-5</v>
      </c>
      <c r="CC54" s="30">
        <v>3.4436077231972437E-2</v>
      </c>
      <c r="CD54" s="43">
        <v>-3.5799999999999997E-4</v>
      </c>
      <c r="CE54" s="43">
        <v>-3.4499999999999998E-4</v>
      </c>
      <c r="CF54" s="43">
        <v>7.3999999999999996E-5</v>
      </c>
      <c r="CH54" s="30">
        <v>3.1429847965305804E-2</v>
      </c>
      <c r="CI54" s="43">
        <v>-4.2499999999999998E-4</v>
      </c>
      <c r="CJ54" s="43">
        <v>-3.9199999999999999E-4</v>
      </c>
      <c r="CK54" s="43">
        <v>-5.8999999999999998E-5</v>
      </c>
      <c r="CL54" s="30">
        <v>3.4436077231972437E-2</v>
      </c>
      <c r="CM54" s="43">
        <v>-4.4700000000000002E-4</v>
      </c>
      <c r="CN54" s="43">
        <v>-4.0999999999999999E-4</v>
      </c>
      <c r="CO54" s="43">
        <v>-4.1E-5</v>
      </c>
      <c r="CQ54" s="30">
        <v>3.1429847965305804E-2</v>
      </c>
      <c r="CR54" s="43">
        <v>-2.2599999999999999E-4</v>
      </c>
      <c r="CS54" s="43">
        <v>-2.2499999999999999E-4</v>
      </c>
      <c r="CT54" s="43">
        <v>-2.1499999999999999E-4</v>
      </c>
      <c r="CU54" s="30">
        <v>3.4436077231972437E-2</v>
      </c>
      <c r="CV54" s="43">
        <v>-2.2699999999999999E-4</v>
      </c>
      <c r="CW54" s="43">
        <v>-2.2599999999999999E-4</v>
      </c>
      <c r="CX54" s="43">
        <v>-2.14E-4</v>
      </c>
    </row>
    <row r="55" spans="14:102" x14ac:dyDescent="0.25">
      <c r="N55" s="30">
        <v>3.2113081698639134E-2</v>
      </c>
      <c r="O55" s="43">
        <v>-3.8400000000000001E-4</v>
      </c>
      <c r="P55" s="43">
        <v>-3.5E-4</v>
      </c>
      <c r="Q55" s="43">
        <v>2.9E-5</v>
      </c>
      <c r="R55" s="30">
        <v>3.5255957731972432E-2</v>
      </c>
      <c r="S55" s="43">
        <v>-4.0400000000000001E-4</v>
      </c>
      <c r="T55" s="43">
        <v>-3.6699999999999998E-4</v>
      </c>
      <c r="U55" s="43">
        <v>5.0000000000000002E-5</v>
      </c>
      <c r="W55" s="30">
        <v>3.2113081698639134E-2</v>
      </c>
      <c r="X55" s="43">
        <v>-3.5199999999999999E-4</v>
      </c>
      <c r="Y55" s="43">
        <v>-3.2299999999999999E-4</v>
      </c>
      <c r="Z55" s="43">
        <v>6.9999999999999999E-6</v>
      </c>
      <c r="AA55" s="30">
        <v>3.5255957731972432E-2</v>
      </c>
      <c r="AB55" s="43">
        <v>-3.4900000000000003E-4</v>
      </c>
      <c r="AC55" s="43">
        <v>-3.19E-4</v>
      </c>
      <c r="AD55" s="43">
        <v>9.0000000000000002E-6</v>
      </c>
      <c r="AF55" s="30">
        <v>3.2113081698639134E-2</v>
      </c>
      <c r="AG55" s="43">
        <v>-6.1499999999999999E-4</v>
      </c>
      <c r="AH55" s="43">
        <v>-6.2E-4</v>
      </c>
      <c r="AI55" s="43">
        <v>1.7200000000000001E-4</v>
      </c>
      <c r="AJ55" s="30">
        <v>3.5255957731972432E-2</v>
      </c>
      <c r="AK55" s="43">
        <v>-6.6200000000000005E-4</v>
      </c>
      <c r="AL55" s="43">
        <v>-6.6799999999999997E-4</v>
      </c>
      <c r="AM55" s="43">
        <v>2.2699999999999999E-4</v>
      </c>
      <c r="AO55" s="30">
        <v>3.2113081698639134E-2</v>
      </c>
      <c r="AP55" s="43">
        <v>-3.4499999999999998E-4</v>
      </c>
      <c r="AQ55" s="43">
        <v>-3.4600000000000001E-4</v>
      </c>
      <c r="AR55" s="43">
        <v>-9.6000000000000002E-5</v>
      </c>
      <c r="AS55" s="30">
        <v>3.5255957731972432E-2</v>
      </c>
      <c r="AT55" s="43">
        <v>-3.5500000000000001E-4</v>
      </c>
      <c r="AU55" s="43">
        <v>-3.57E-4</v>
      </c>
      <c r="AV55" s="43">
        <v>-8.6000000000000003E-5</v>
      </c>
      <c r="AX55" s="30">
        <v>3.2113081698639134E-2</v>
      </c>
      <c r="AY55" s="43">
        <v>-6.1799999999999995E-4</v>
      </c>
      <c r="AZ55" s="43">
        <v>-6.2299999999999996E-4</v>
      </c>
      <c r="BA55" s="43">
        <v>1.7200000000000001E-4</v>
      </c>
      <c r="BB55" s="30">
        <v>3.5255957731972432E-2</v>
      </c>
      <c r="BC55" s="43">
        <v>-6.6500000000000001E-4</v>
      </c>
      <c r="BD55" s="43">
        <v>-6.7100000000000005E-4</v>
      </c>
      <c r="BE55" s="43">
        <v>2.2599999999999999E-4</v>
      </c>
      <c r="BG55" s="30">
        <v>3.2113081698639134E-2</v>
      </c>
      <c r="BH55" s="43">
        <v>-3.4299999999999999E-4</v>
      </c>
      <c r="BI55" s="43">
        <v>-3.4499999999999998E-4</v>
      </c>
      <c r="BJ55" s="43">
        <v>-1.01E-4</v>
      </c>
      <c r="BK55" s="30">
        <v>3.5255957731972432E-2</v>
      </c>
      <c r="BL55" s="43">
        <v>-3.5399999999999999E-4</v>
      </c>
      <c r="BM55" s="43">
        <v>-3.5500000000000001E-4</v>
      </c>
      <c r="BN55" s="43">
        <v>-9.1000000000000003E-5</v>
      </c>
      <c r="BP55" s="30">
        <v>3.2113081698639134E-2</v>
      </c>
      <c r="BQ55" s="43">
        <v>-5.9900000000000003E-4</v>
      </c>
      <c r="BR55" s="43">
        <v>-5.9400000000000002E-4</v>
      </c>
      <c r="BS55" s="43">
        <v>4.2400000000000001E-4</v>
      </c>
      <c r="BT55" s="30">
        <v>3.5255957731972432E-2</v>
      </c>
      <c r="BU55" s="43">
        <v>-6.5200000000000002E-4</v>
      </c>
      <c r="BV55" s="43">
        <v>-6.4800000000000003E-4</v>
      </c>
      <c r="BW55" s="43">
        <v>5.4799999999999998E-4</v>
      </c>
      <c r="BY55" s="30">
        <v>3.2113081698639134E-2</v>
      </c>
      <c r="BZ55" s="43">
        <v>-3.5E-4</v>
      </c>
      <c r="CA55" s="43">
        <v>-3.3700000000000001E-4</v>
      </c>
      <c r="CB55" s="43">
        <v>6.6000000000000005E-5</v>
      </c>
      <c r="CC55" s="30">
        <v>3.5255957731972432E-2</v>
      </c>
      <c r="CD55" s="43">
        <v>-3.6099999999999999E-4</v>
      </c>
      <c r="CE55" s="43">
        <v>-3.48E-4</v>
      </c>
      <c r="CF55" s="43">
        <v>7.7000000000000001E-5</v>
      </c>
      <c r="CH55" s="30">
        <v>3.2113081698639134E-2</v>
      </c>
      <c r="CI55" s="43">
        <v>-4.2999999999999999E-4</v>
      </c>
      <c r="CJ55" s="43">
        <v>-3.9599999999999998E-4</v>
      </c>
      <c r="CK55" s="43">
        <v>-5.5000000000000002E-5</v>
      </c>
      <c r="CL55" s="30">
        <v>3.5255957731972432E-2</v>
      </c>
      <c r="CM55" s="43">
        <v>-4.5300000000000001E-4</v>
      </c>
      <c r="CN55" s="43">
        <v>-4.15E-4</v>
      </c>
      <c r="CO55" s="43">
        <v>-3.6000000000000001E-5</v>
      </c>
      <c r="CQ55" s="30">
        <v>3.2113081698639134E-2</v>
      </c>
      <c r="CR55" s="43">
        <v>-2.2599999999999999E-4</v>
      </c>
      <c r="CS55" s="43">
        <v>-2.2499999999999999E-4</v>
      </c>
      <c r="CT55" s="43">
        <v>-2.1499999999999999E-4</v>
      </c>
      <c r="CU55" s="30">
        <v>3.5255957731972432E-2</v>
      </c>
      <c r="CV55" s="43">
        <v>-2.2800000000000001E-4</v>
      </c>
      <c r="CW55" s="43">
        <v>-2.2699999999999999E-4</v>
      </c>
      <c r="CX55" s="43">
        <v>-2.13E-4</v>
      </c>
    </row>
    <row r="56" spans="14:102" x14ac:dyDescent="0.25">
      <c r="N56" s="30">
        <v>3.2796315431972464E-2</v>
      </c>
      <c r="O56" s="43">
        <v>-3.88E-4</v>
      </c>
      <c r="P56" s="43">
        <v>-3.5399999999999999E-4</v>
      </c>
      <c r="Q56" s="43">
        <v>3.4E-5</v>
      </c>
      <c r="R56" s="30">
        <v>3.6075838231972426E-2</v>
      </c>
      <c r="S56" s="43">
        <v>-4.0999999999999999E-4</v>
      </c>
      <c r="T56" s="43">
        <v>-3.7199999999999999E-4</v>
      </c>
      <c r="U56" s="43">
        <v>5.5999999999999999E-5</v>
      </c>
      <c r="W56" s="30">
        <v>3.2796315431972464E-2</v>
      </c>
      <c r="X56" s="43">
        <v>-3.5100000000000002E-4</v>
      </c>
      <c r="Y56" s="43">
        <v>-3.2200000000000002E-4</v>
      </c>
      <c r="Z56" s="43">
        <v>7.9999999999999996E-6</v>
      </c>
      <c r="AA56" s="30">
        <v>3.6075838231972426E-2</v>
      </c>
      <c r="AB56" s="43">
        <v>-3.4699999999999998E-4</v>
      </c>
      <c r="AC56" s="43">
        <v>-3.1799999999999998E-4</v>
      </c>
      <c r="AD56" s="43">
        <v>9.0000000000000002E-6</v>
      </c>
      <c r="AF56" s="30">
        <v>3.2796315431972464E-2</v>
      </c>
      <c r="AG56" s="43">
        <v>-6.2600000000000004E-4</v>
      </c>
      <c r="AH56" s="43">
        <v>-6.3000000000000003E-4</v>
      </c>
      <c r="AI56" s="43">
        <v>1.84E-4</v>
      </c>
      <c r="AJ56" s="30">
        <v>3.6075838231972426E-2</v>
      </c>
      <c r="AK56" s="43">
        <v>-6.8000000000000005E-4</v>
      </c>
      <c r="AL56" s="43">
        <v>-6.8599999999999998E-4</v>
      </c>
      <c r="AM56" s="43">
        <v>2.7399999999999999E-4</v>
      </c>
      <c r="AO56" s="30">
        <v>3.2796315431972464E-2</v>
      </c>
      <c r="AP56" s="43">
        <v>-3.4699999999999998E-4</v>
      </c>
      <c r="AQ56" s="43">
        <v>-3.4900000000000003E-4</v>
      </c>
      <c r="AR56" s="43">
        <v>-9.3999999999999994E-5</v>
      </c>
      <c r="AS56" s="30">
        <v>3.6075838231972426E-2</v>
      </c>
      <c r="AT56" s="43">
        <v>-3.57E-4</v>
      </c>
      <c r="AU56" s="43">
        <v>-3.5799999999999997E-4</v>
      </c>
      <c r="AV56" s="43">
        <v>-8.5000000000000006E-5</v>
      </c>
      <c r="AX56" s="30">
        <v>3.2796315431972464E-2</v>
      </c>
      <c r="AY56" s="43">
        <v>-6.2799999999999998E-4</v>
      </c>
      <c r="AZ56" s="43">
        <v>-6.3400000000000001E-4</v>
      </c>
      <c r="BA56" s="43">
        <v>1.84E-4</v>
      </c>
      <c r="BB56" s="30">
        <v>3.6075838231972426E-2</v>
      </c>
      <c r="BC56" s="43">
        <v>-6.8300000000000001E-4</v>
      </c>
      <c r="BD56" s="43">
        <v>-6.8900000000000005E-4</v>
      </c>
      <c r="BE56" s="43">
        <v>2.7300000000000002E-4</v>
      </c>
      <c r="BG56" s="30">
        <v>3.2796315431972464E-2</v>
      </c>
      <c r="BH56" s="43">
        <v>-3.4600000000000001E-4</v>
      </c>
      <c r="BI56" s="43">
        <v>-3.4699999999999998E-4</v>
      </c>
      <c r="BJ56" s="43">
        <v>-9.8999999999999994E-5</v>
      </c>
      <c r="BK56" s="30">
        <v>3.6075838231972426E-2</v>
      </c>
      <c r="BL56" s="43">
        <v>-3.5500000000000001E-4</v>
      </c>
      <c r="BM56" s="43">
        <v>-3.57E-4</v>
      </c>
      <c r="BN56" s="43">
        <v>-9.0000000000000006E-5</v>
      </c>
      <c r="BP56" s="30">
        <v>3.2796315431972464E-2</v>
      </c>
      <c r="BQ56" s="43">
        <v>-6.11E-4</v>
      </c>
      <c r="BR56" s="43">
        <v>-6.0599999999999998E-4</v>
      </c>
      <c r="BS56" s="43">
        <v>4.5100000000000001E-4</v>
      </c>
      <c r="BT56" s="30">
        <v>3.6075838231972426E-2</v>
      </c>
      <c r="BU56" s="43">
        <v>-6.69E-4</v>
      </c>
      <c r="BV56" s="43">
        <v>-6.6600000000000003E-4</v>
      </c>
      <c r="BW56" s="43">
        <v>5.8799999999999998E-4</v>
      </c>
      <c r="BY56" s="30">
        <v>3.2796315431972464E-2</v>
      </c>
      <c r="BZ56" s="43">
        <v>-3.5199999999999999E-4</v>
      </c>
      <c r="CA56" s="43">
        <v>-3.39E-4</v>
      </c>
      <c r="CB56" s="43">
        <v>6.7999999999999999E-5</v>
      </c>
      <c r="CC56" s="30">
        <v>3.6075838231972426E-2</v>
      </c>
      <c r="CD56" s="43">
        <v>-3.6299999999999999E-4</v>
      </c>
      <c r="CE56" s="43">
        <v>-3.5E-4</v>
      </c>
      <c r="CF56" s="43">
        <v>7.7999999999999999E-5</v>
      </c>
      <c r="CH56" s="30">
        <v>3.2796315431972464E-2</v>
      </c>
      <c r="CI56" s="43">
        <v>-4.35E-4</v>
      </c>
      <c r="CJ56" s="43">
        <v>-4.0000000000000002E-4</v>
      </c>
      <c r="CK56" s="43">
        <v>-5.1E-5</v>
      </c>
      <c r="CL56" s="30">
        <v>3.6075838231972426E-2</v>
      </c>
      <c r="CM56" s="43">
        <v>-4.6099999999999998E-4</v>
      </c>
      <c r="CN56" s="43">
        <v>-4.2099999999999999E-4</v>
      </c>
      <c r="CO56" s="43">
        <v>-3.0000000000000001E-5</v>
      </c>
      <c r="CQ56" s="30">
        <v>3.2796315431972464E-2</v>
      </c>
      <c r="CR56" s="43">
        <v>-2.2599999999999999E-4</v>
      </c>
      <c r="CS56" s="43">
        <v>-2.2499999999999999E-4</v>
      </c>
      <c r="CT56" s="43">
        <v>-2.14E-4</v>
      </c>
      <c r="CU56" s="30">
        <v>3.6075838231972426E-2</v>
      </c>
      <c r="CV56" s="43">
        <v>-2.2900000000000001E-4</v>
      </c>
      <c r="CW56" s="43">
        <v>-2.2699999999999999E-4</v>
      </c>
      <c r="CX56" s="43">
        <v>-2.12E-4</v>
      </c>
    </row>
    <row r="57" spans="14:102" x14ac:dyDescent="0.25">
      <c r="N57" s="30">
        <v>3.3479549165305801E-2</v>
      </c>
      <c r="O57" s="43">
        <v>-3.9199999999999999E-4</v>
      </c>
      <c r="P57" s="43">
        <v>-3.57E-4</v>
      </c>
      <c r="Q57" s="43">
        <v>3.8000000000000002E-5</v>
      </c>
      <c r="R57" s="30">
        <v>3.6895718731972421E-2</v>
      </c>
      <c r="S57" s="43">
        <v>-4.17E-4</v>
      </c>
      <c r="T57" s="43">
        <v>-3.77E-4</v>
      </c>
      <c r="U57" s="43">
        <v>6.3E-5</v>
      </c>
      <c r="W57" s="30">
        <v>3.3479549165305801E-2</v>
      </c>
      <c r="X57" s="43">
        <v>-3.5100000000000002E-4</v>
      </c>
      <c r="Y57" s="43">
        <v>-3.21E-4</v>
      </c>
      <c r="Z57" s="43">
        <v>7.9999999999999996E-6</v>
      </c>
      <c r="AA57" s="30">
        <v>3.6895718731972421E-2</v>
      </c>
      <c r="AB57" s="43">
        <v>-3.4600000000000001E-4</v>
      </c>
      <c r="AC57" s="43">
        <v>-3.1700000000000001E-4</v>
      </c>
      <c r="AD57" s="43">
        <v>9.0000000000000002E-6</v>
      </c>
      <c r="AF57" s="30">
        <v>3.3479549165305801E-2</v>
      </c>
      <c r="AG57" s="43">
        <v>-6.3599999999999996E-4</v>
      </c>
      <c r="AH57" s="43">
        <v>-6.4099999999999997E-4</v>
      </c>
      <c r="AI57" s="43">
        <v>1.95E-4</v>
      </c>
      <c r="AJ57" s="30">
        <v>3.6895718731972421E-2</v>
      </c>
      <c r="AK57" s="43">
        <v>-6.9899999999999997E-4</v>
      </c>
      <c r="AL57" s="43">
        <v>-7.0500000000000001E-4</v>
      </c>
      <c r="AM57" s="43">
        <v>3.1300000000000002E-4</v>
      </c>
      <c r="AO57" s="30">
        <v>3.3479549165305801E-2</v>
      </c>
      <c r="AP57" s="43">
        <v>-3.4900000000000003E-4</v>
      </c>
      <c r="AQ57" s="43">
        <v>-3.5100000000000002E-4</v>
      </c>
      <c r="AR57" s="43">
        <v>-9.2E-5</v>
      </c>
      <c r="AS57" s="30">
        <v>3.6895718731972421E-2</v>
      </c>
      <c r="AT57" s="43">
        <v>-3.59E-4</v>
      </c>
      <c r="AU57" s="43">
        <v>-3.6000000000000002E-4</v>
      </c>
      <c r="AV57" s="43">
        <v>-8.2999999999999998E-5</v>
      </c>
      <c r="AX57" s="30">
        <v>3.3479549165305801E-2</v>
      </c>
      <c r="AY57" s="43">
        <v>-6.3900000000000003E-4</v>
      </c>
      <c r="AZ57" s="43">
        <v>-6.4400000000000004E-4</v>
      </c>
      <c r="BA57" s="43">
        <v>1.95E-4</v>
      </c>
      <c r="BB57" s="30">
        <v>3.6895718731972421E-2</v>
      </c>
      <c r="BC57" s="43">
        <v>-7.0299999999999996E-4</v>
      </c>
      <c r="BD57" s="43">
        <v>-7.0899999999999999E-4</v>
      </c>
      <c r="BE57" s="43">
        <v>3.1199999999999999E-4</v>
      </c>
      <c r="BG57" s="30">
        <v>3.3479549165305801E-2</v>
      </c>
      <c r="BH57" s="43">
        <v>-3.48E-4</v>
      </c>
      <c r="BI57" s="43">
        <v>-3.4900000000000003E-4</v>
      </c>
      <c r="BJ57" s="43">
        <v>-9.7E-5</v>
      </c>
      <c r="BK57" s="30">
        <v>3.6895718731972421E-2</v>
      </c>
      <c r="BL57" s="43">
        <v>-3.57E-4</v>
      </c>
      <c r="BM57" s="43">
        <v>-3.59E-4</v>
      </c>
      <c r="BN57" s="43">
        <v>-8.7999999999999998E-5</v>
      </c>
      <c r="BP57" s="30">
        <v>3.3479549165305801E-2</v>
      </c>
      <c r="BQ57" s="43">
        <v>-6.2200000000000005E-4</v>
      </c>
      <c r="BR57" s="43">
        <v>-6.1799999999999995E-4</v>
      </c>
      <c r="BS57" s="43">
        <v>4.7800000000000002E-4</v>
      </c>
      <c r="BT57" s="30">
        <v>3.6895718731972421E-2</v>
      </c>
      <c r="BU57" s="43">
        <v>-6.8599999999999998E-4</v>
      </c>
      <c r="BV57" s="43">
        <v>-6.8300000000000001E-4</v>
      </c>
      <c r="BW57" s="43">
        <v>6.2699999999999995E-4</v>
      </c>
      <c r="BY57" s="30">
        <v>3.3479549165305801E-2</v>
      </c>
      <c r="BZ57" s="43">
        <v>-3.5500000000000001E-4</v>
      </c>
      <c r="CA57" s="43">
        <v>-3.4200000000000002E-4</v>
      </c>
      <c r="CB57" s="43">
        <v>7.1000000000000005E-5</v>
      </c>
      <c r="CC57" s="30">
        <v>3.6895718731972421E-2</v>
      </c>
      <c r="CD57" s="43">
        <v>-3.6499999999999998E-4</v>
      </c>
      <c r="CE57" s="43">
        <v>-3.5199999999999999E-4</v>
      </c>
      <c r="CF57" s="43">
        <v>8.1000000000000004E-5</v>
      </c>
      <c r="CH57" s="30">
        <v>3.3479549165305801E-2</v>
      </c>
      <c r="CI57" s="43">
        <v>-4.4000000000000002E-4</v>
      </c>
      <c r="CJ57" s="43">
        <v>-4.0400000000000001E-4</v>
      </c>
      <c r="CK57" s="43">
        <v>-4.6999999999999997E-5</v>
      </c>
      <c r="CL57" s="30">
        <v>3.6895718731972421E-2</v>
      </c>
      <c r="CM57" s="43">
        <v>-4.6799999999999999E-4</v>
      </c>
      <c r="CN57" s="43">
        <v>-4.2700000000000002E-4</v>
      </c>
      <c r="CO57" s="43">
        <v>-2.4000000000000001E-5</v>
      </c>
      <c r="CQ57" s="30">
        <v>3.3479549165305801E-2</v>
      </c>
      <c r="CR57" s="43">
        <v>-2.2699999999999999E-4</v>
      </c>
      <c r="CS57" s="43">
        <v>-2.2599999999999999E-4</v>
      </c>
      <c r="CT57" s="43">
        <v>-2.14E-4</v>
      </c>
      <c r="CU57" s="30">
        <v>3.6895718731972421E-2</v>
      </c>
      <c r="CV57" s="43">
        <v>-2.3000000000000001E-4</v>
      </c>
      <c r="CW57" s="43">
        <v>-2.2800000000000001E-4</v>
      </c>
      <c r="CX57" s="43">
        <v>-2.1100000000000001E-4</v>
      </c>
    </row>
    <row r="58" spans="14:102" x14ac:dyDescent="0.25">
      <c r="N58" s="30">
        <v>3.4162782898639131E-2</v>
      </c>
      <c r="O58" s="43">
        <v>-3.97E-4</v>
      </c>
      <c r="P58" s="43">
        <v>-3.6099999999999999E-4</v>
      </c>
      <c r="Q58" s="43">
        <v>4.3000000000000002E-5</v>
      </c>
      <c r="R58" s="30">
        <v>3.7715599231972423E-2</v>
      </c>
      <c r="S58" s="43">
        <v>-4.2299999999999998E-4</v>
      </c>
      <c r="T58" s="43">
        <v>-3.8299999999999999E-4</v>
      </c>
      <c r="U58" s="43">
        <v>6.8999999999999997E-5</v>
      </c>
      <c r="W58" s="30">
        <v>3.4162782898639131E-2</v>
      </c>
      <c r="X58" s="43">
        <v>-3.5E-4</v>
      </c>
      <c r="Y58" s="43">
        <v>-3.2000000000000003E-4</v>
      </c>
      <c r="Z58" s="43">
        <v>7.9999999999999996E-6</v>
      </c>
      <c r="AA58" s="30">
        <v>3.7715599231972423E-2</v>
      </c>
      <c r="AB58" s="43">
        <v>-3.4400000000000001E-4</v>
      </c>
      <c r="AC58" s="43">
        <v>-3.1500000000000001E-4</v>
      </c>
      <c r="AD58" s="43">
        <v>9.0000000000000002E-6</v>
      </c>
      <c r="AF58" s="30">
        <v>3.4162782898639131E-2</v>
      </c>
      <c r="AG58" s="43">
        <v>-6.4599999999999998E-4</v>
      </c>
      <c r="AH58" s="43">
        <v>-6.5099999999999999E-4</v>
      </c>
      <c r="AI58" s="43">
        <v>2.0699999999999999E-4</v>
      </c>
      <c r="AJ58" s="30">
        <v>3.7715599231972423E-2</v>
      </c>
      <c r="AK58" s="43">
        <v>-7.18E-4</v>
      </c>
      <c r="AL58" s="43">
        <v>-7.2400000000000003E-4</v>
      </c>
      <c r="AM58" s="43">
        <v>3.5300000000000002E-4</v>
      </c>
      <c r="AO58" s="30">
        <v>3.4162782898639131E-2</v>
      </c>
      <c r="AP58" s="43">
        <v>-3.5199999999999999E-4</v>
      </c>
      <c r="AQ58" s="43">
        <v>-3.5300000000000002E-4</v>
      </c>
      <c r="AR58" s="43">
        <v>-9.0000000000000006E-5</v>
      </c>
      <c r="AS58" s="30">
        <v>3.7715599231972423E-2</v>
      </c>
      <c r="AT58" s="43">
        <v>-3.6099999999999999E-4</v>
      </c>
      <c r="AU58" s="43">
        <v>-3.6200000000000002E-4</v>
      </c>
      <c r="AV58" s="43">
        <v>-8.1000000000000004E-5</v>
      </c>
      <c r="AX58" s="30">
        <v>3.4162782898639131E-2</v>
      </c>
      <c r="AY58" s="43">
        <v>-6.4899999999999995E-4</v>
      </c>
      <c r="AZ58" s="43">
        <v>-6.5399999999999996E-4</v>
      </c>
      <c r="BA58" s="43">
        <v>2.0699999999999999E-4</v>
      </c>
      <c r="BB58" s="30">
        <v>3.7715599231972423E-2</v>
      </c>
      <c r="BC58" s="43">
        <v>-7.2099999999999996E-4</v>
      </c>
      <c r="BD58" s="43">
        <v>-7.2800000000000002E-4</v>
      </c>
      <c r="BE58" s="43">
        <v>3.5100000000000002E-4</v>
      </c>
      <c r="BG58" s="30">
        <v>3.4162782898639131E-2</v>
      </c>
      <c r="BH58" s="43">
        <v>-3.5E-4</v>
      </c>
      <c r="BI58" s="43">
        <v>-3.5100000000000002E-4</v>
      </c>
      <c r="BJ58" s="43">
        <v>-9.5000000000000005E-5</v>
      </c>
      <c r="BK58" s="30">
        <v>3.7715599231972423E-2</v>
      </c>
      <c r="BL58" s="43">
        <v>-3.59E-4</v>
      </c>
      <c r="BM58" s="43">
        <v>-3.6099999999999999E-4</v>
      </c>
      <c r="BN58" s="43">
        <v>-8.6000000000000003E-5</v>
      </c>
      <c r="BP58" s="30">
        <v>3.4162782898639131E-2</v>
      </c>
      <c r="BQ58" s="43">
        <v>-6.3400000000000001E-4</v>
      </c>
      <c r="BR58" s="43">
        <v>-6.3000000000000003E-4</v>
      </c>
      <c r="BS58" s="43">
        <v>5.0500000000000002E-4</v>
      </c>
      <c r="BT58" s="30">
        <v>3.7715599231972423E-2</v>
      </c>
      <c r="BU58" s="43">
        <v>-7.0200000000000004E-4</v>
      </c>
      <c r="BV58" s="43">
        <v>-6.9999999999999999E-4</v>
      </c>
      <c r="BW58" s="43">
        <v>6.6500000000000001E-4</v>
      </c>
      <c r="BY58" s="30">
        <v>3.4162782898639131E-2</v>
      </c>
      <c r="BZ58" s="43">
        <v>-3.57E-4</v>
      </c>
      <c r="CA58" s="43">
        <v>-3.4400000000000001E-4</v>
      </c>
      <c r="CB58" s="43">
        <v>7.2999999999999999E-5</v>
      </c>
      <c r="CC58" s="30">
        <v>3.7715599231972423E-2</v>
      </c>
      <c r="CD58" s="43">
        <v>-3.6699999999999998E-4</v>
      </c>
      <c r="CE58" s="43">
        <v>-3.5399999999999999E-4</v>
      </c>
      <c r="CF58" s="43">
        <v>8.2999999999999998E-5</v>
      </c>
      <c r="CH58" s="30">
        <v>3.4162782898639131E-2</v>
      </c>
      <c r="CI58" s="43">
        <v>-4.4499999999999997E-4</v>
      </c>
      <c r="CJ58" s="43">
        <v>-4.0900000000000002E-4</v>
      </c>
      <c r="CK58" s="43">
        <v>-4.3000000000000002E-5</v>
      </c>
      <c r="CL58" s="30">
        <v>3.7715599231972423E-2</v>
      </c>
      <c r="CM58" s="43">
        <v>-4.75E-4</v>
      </c>
      <c r="CN58" s="43">
        <v>-4.3300000000000001E-4</v>
      </c>
      <c r="CO58" s="43">
        <v>-1.9000000000000001E-5</v>
      </c>
      <c r="CQ58" s="30">
        <v>3.4162782898639131E-2</v>
      </c>
      <c r="CR58" s="43">
        <v>-2.2699999999999999E-4</v>
      </c>
      <c r="CS58" s="43">
        <v>-2.2599999999999999E-4</v>
      </c>
      <c r="CT58" s="43">
        <v>-2.14E-4</v>
      </c>
      <c r="CU58" s="30">
        <v>3.7715599231972423E-2</v>
      </c>
      <c r="CV58" s="43">
        <v>-2.31E-4</v>
      </c>
      <c r="CW58" s="43">
        <v>-2.2900000000000001E-4</v>
      </c>
      <c r="CX58" s="43">
        <v>-2.1000000000000001E-4</v>
      </c>
    </row>
    <row r="59" spans="14:102" x14ac:dyDescent="0.25">
      <c r="N59" s="30">
        <v>3.4846016631972461E-2</v>
      </c>
      <c r="O59" s="43">
        <v>-4.0099999999999999E-4</v>
      </c>
      <c r="P59" s="43">
        <v>-3.6400000000000001E-4</v>
      </c>
      <c r="Q59" s="43">
        <v>4.6999999999999997E-5</v>
      </c>
      <c r="R59" s="30">
        <v>3.8535479731972418E-2</v>
      </c>
      <c r="S59" s="43">
        <v>-4.2900000000000002E-4</v>
      </c>
      <c r="T59" s="43">
        <v>-3.88E-4</v>
      </c>
      <c r="U59" s="43">
        <v>7.4999999999999993E-5</v>
      </c>
      <c r="W59" s="30">
        <v>3.4846016631972461E-2</v>
      </c>
      <c r="X59" s="43">
        <v>-3.4900000000000003E-4</v>
      </c>
      <c r="Y59" s="43">
        <v>-3.2000000000000003E-4</v>
      </c>
      <c r="Z59" s="43">
        <v>9.0000000000000002E-6</v>
      </c>
      <c r="AA59" s="30">
        <v>3.8535479731972418E-2</v>
      </c>
      <c r="AB59" s="43">
        <v>-3.4299999999999999E-4</v>
      </c>
      <c r="AC59" s="43">
        <v>-3.1399999999999999E-4</v>
      </c>
      <c r="AD59" s="43">
        <v>9.0000000000000002E-6</v>
      </c>
      <c r="AF59" s="30">
        <v>3.4846016631972461E-2</v>
      </c>
      <c r="AG59" s="43">
        <v>-6.5600000000000001E-4</v>
      </c>
      <c r="AH59" s="43">
        <v>-6.6100000000000002E-4</v>
      </c>
      <c r="AI59" s="43">
        <v>2.1900000000000001E-4</v>
      </c>
      <c r="AJ59" s="30">
        <v>3.8535479731972418E-2</v>
      </c>
      <c r="AK59" s="43">
        <v>-7.36E-4</v>
      </c>
      <c r="AL59" s="43">
        <v>-7.4299999999999995E-4</v>
      </c>
      <c r="AM59" s="43">
        <v>3.9199999999999999E-4</v>
      </c>
      <c r="AO59" s="30">
        <v>3.4846016631972461E-2</v>
      </c>
      <c r="AP59" s="43">
        <v>-3.5399999999999999E-4</v>
      </c>
      <c r="AQ59" s="43">
        <v>-3.5500000000000001E-4</v>
      </c>
      <c r="AR59" s="43">
        <v>-8.7999999999999998E-5</v>
      </c>
      <c r="AS59" s="30">
        <v>3.8535479731972418E-2</v>
      </c>
      <c r="AT59" s="43">
        <v>-3.6299999999999999E-4</v>
      </c>
      <c r="AU59" s="43">
        <v>-3.6400000000000001E-4</v>
      </c>
      <c r="AV59" s="43">
        <v>-7.8999999999999996E-5</v>
      </c>
      <c r="AX59" s="30">
        <v>3.4846016631972461E-2</v>
      </c>
      <c r="AY59" s="43">
        <v>-6.5899999999999997E-4</v>
      </c>
      <c r="AZ59" s="43">
        <v>-6.6399999999999999E-4</v>
      </c>
      <c r="BA59" s="43">
        <v>2.1900000000000001E-4</v>
      </c>
      <c r="BB59" s="30">
        <v>3.8535479731972418E-2</v>
      </c>
      <c r="BC59" s="43">
        <v>-7.3899999999999997E-4</v>
      </c>
      <c r="BD59" s="43">
        <v>-7.4600000000000003E-4</v>
      </c>
      <c r="BE59" s="43">
        <v>3.8999999999999999E-4</v>
      </c>
      <c r="BG59" s="30">
        <v>3.4846016631972461E-2</v>
      </c>
      <c r="BH59" s="43">
        <v>-3.5199999999999999E-4</v>
      </c>
      <c r="BI59" s="43">
        <v>-3.5399999999999999E-4</v>
      </c>
      <c r="BJ59" s="43">
        <v>-9.2999999999999997E-5</v>
      </c>
      <c r="BK59" s="30">
        <v>3.8535479731972418E-2</v>
      </c>
      <c r="BL59" s="43">
        <v>-3.6099999999999999E-4</v>
      </c>
      <c r="BM59" s="43">
        <v>-3.6299999999999999E-4</v>
      </c>
      <c r="BN59" s="43">
        <v>-8.3999999999999995E-5</v>
      </c>
      <c r="BP59" s="30">
        <v>3.4846016631972461E-2</v>
      </c>
      <c r="BQ59" s="43">
        <v>-6.4499999999999996E-4</v>
      </c>
      <c r="BR59" s="43">
        <v>-6.4199999999999999E-4</v>
      </c>
      <c r="BS59" s="43">
        <v>5.3300000000000005E-4</v>
      </c>
      <c r="BT59" s="30">
        <v>3.8535479731972418E-2</v>
      </c>
      <c r="BU59" s="43">
        <v>-7.1900000000000002E-4</v>
      </c>
      <c r="BV59" s="43">
        <v>-7.1699999999999997E-4</v>
      </c>
      <c r="BW59" s="43">
        <v>7.0399999999999998E-4</v>
      </c>
      <c r="BY59" s="30">
        <v>3.4846016631972461E-2</v>
      </c>
      <c r="BZ59" s="43">
        <v>-3.59E-4</v>
      </c>
      <c r="CA59" s="43">
        <v>-3.4600000000000001E-4</v>
      </c>
      <c r="CB59" s="43">
        <v>7.4999999999999993E-5</v>
      </c>
      <c r="CC59" s="30">
        <v>3.8535479731972418E-2</v>
      </c>
      <c r="CD59" s="43">
        <v>-3.6900000000000002E-4</v>
      </c>
      <c r="CE59" s="43">
        <v>-3.5599999999999998E-4</v>
      </c>
      <c r="CF59" s="43">
        <v>8.5000000000000006E-5</v>
      </c>
      <c r="CH59" s="30">
        <v>3.4846016631972461E-2</v>
      </c>
      <c r="CI59" s="43">
        <v>-4.4999999999999999E-4</v>
      </c>
      <c r="CJ59" s="43">
        <v>-4.1300000000000001E-4</v>
      </c>
      <c r="CK59" s="43">
        <v>-3.8999999999999999E-5</v>
      </c>
      <c r="CL59" s="30">
        <v>3.8535479731972418E-2</v>
      </c>
      <c r="CM59" s="43">
        <v>-4.8200000000000001E-4</v>
      </c>
      <c r="CN59" s="43">
        <v>-4.3899999999999999E-4</v>
      </c>
      <c r="CO59" s="43">
        <v>-1.2999999999999999E-5</v>
      </c>
      <c r="CQ59" s="30">
        <v>3.4846016631972461E-2</v>
      </c>
      <c r="CR59" s="43">
        <v>-2.2699999999999999E-4</v>
      </c>
      <c r="CS59" s="43">
        <v>-2.2599999999999999E-4</v>
      </c>
      <c r="CT59" s="43">
        <v>-2.13E-4</v>
      </c>
      <c r="CU59" s="30">
        <v>3.8535479731972418E-2</v>
      </c>
      <c r="CV59" s="43">
        <v>-2.32E-4</v>
      </c>
      <c r="CW59" s="43">
        <v>-2.3000000000000001E-4</v>
      </c>
      <c r="CX59" s="43">
        <v>-2.1000000000000001E-4</v>
      </c>
    </row>
    <row r="60" spans="14:102" x14ac:dyDescent="0.25">
      <c r="N60" s="30">
        <v>3.5529250365305791E-2</v>
      </c>
      <c r="O60" s="43">
        <v>-4.0499999999999998E-4</v>
      </c>
      <c r="P60" s="43">
        <v>-3.68E-4</v>
      </c>
      <c r="Q60" s="43">
        <v>5.1E-5</v>
      </c>
      <c r="R60" s="30">
        <v>3.9355360231972419E-2</v>
      </c>
      <c r="S60" s="43">
        <v>-4.3600000000000003E-4</v>
      </c>
      <c r="T60" s="43">
        <v>-3.9300000000000001E-4</v>
      </c>
      <c r="U60" s="43">
        <v>8.1000000000000004E-5</v>
      </c>
      <c r="W60" s="30">
        <v>3.5529250365305791E-2</v>
      </c>
      <c r="X60" s="43">
        <v>-3.48E-4</v>
      </c>
      <c r="Y60" s="43">
        <v>-3.19E-4</v>
      </c>
      <c r="Z60" s="43">
        <v>9.0000000000000002E-6</v>
      </c>
      <c r="AA60" s="30">
        <v>3.9355360231972419E-2</v>
      </c>
      <c r="AB60" s="43">
        <v>-3.4099999999999999E-4</v>
      </c>
      <c r="AC60" s="43">
        <v>-3.1300000000000002E-4</v>
      </c>
      <c r="AD60" s="43">
        <v>9.0000000000000002E-6</v>
      </c>
      <c r="AF60" s="30">
        <v>3.5529250365305791E-2</v>
      </c>
      <c r="AG60" s="43">
        <v>-6.6600000000000003E-4</v>
      </c>
      <c r="AH60" s="43">
        <v>-6.7100000000000005E-4</v>
      </c>
      <c r="AI60" s="43">
        <v>2.31E-4</v>
      </c>
      <c r="AJ60" s="30">
        <v>3.9355360231972419E-2</v>
      </c>
      <c r="AK60" s="43">
        <v>-7.54E-4</v>
      </c>
      <c r="AL60" s="43">
        <v>-7.6099999999999996E-4</v>
      </c>
      <c r="AM60" s="43">
        <v>4.3100000000000001E-4</v>
      </c>
      <c r="AO60" s="30">
        <v>3.5529250365305791E-2</v>
      </c>
      <c r="AP60" s="43">
        <v>-3.5599999999999998E-4</v>
      </c>
      <c r="AQ60" s="43">
        <v>-3.57E-4</v>
      </c>
      <c r="AR60" s="43">
        <v>-8.6000000000000003E-5</v>
      </c>
      <c r="AS60" s="30">
        <v>3.9355360231972419E-2</v>
      </c>
      <c r="AT60" s="43">
        <v>-3.6400000000000001E-4</v>
      </c>
      <c r="AU60" s="43">
        <v>-3.6600000000000001E-4</v>
      </c>
      <c r="AV60" s="43">
        <v>-7.7000000000000001E-5</v>
      </c>
      <c r="AX60" s="30">
        <v>3.5529250365305791E-2</v>
      </c>
      <c r="AY60" s="43">
        <v>-6.69E-4</v>
      </c>
      <c r="AZ60" s="43">
        <v>-6.7500000000000004E-4</v>
      </c>
      <c r="BA60" s="43">
        <v>2.31E-4</v>
      </c>
      <c r="BB60" s="30">
        <v>3.9355360231972419E-2</v>
      </c>
      <c r="BC60" s="43">
        <v>-7.5799999999999999E-4</v>
      </c>
      <c r="BD60" s="43">
        <v>-7.6499999999999995E-4</v>
      </c>
      <c r="BE60" s="43">
        <v>4.2999999999999999E-4</v>
      </c>
      <c r="BG60" s="30">
        <v>3.5529250365305791E-2</v>
      </c>
      <c r="BH60" s="43">
        <v>-3.5399999999999999E-4</v>
      </c>
      <c r="BI60" s="43">
        <v>-3.5599999999999998E-4</v>
      </c>
      <c r="BJ60" s="43">
        <v>-9.0000000000000006E-5</v>
      </c>
      <c r="BK60" s="30">
        <v>3.9355360231972419E-2</v>
      </c>
      <c r="BL60" s="43">
        <v>-3.6299999999999999E-4</v>
      </c>
      <c r="BM60" s="43">
        <v>-3.6499999999999998E-4</v>
      </c>
      <c r="BN60" s="43">
        <v>-8.2000000000000001E-5</v>
      </c>
      <c r="BP60" s="30">
        <v>3.5529250365305791E-2</v>
      </c>
      <c r="BQ60" s="43">
        <v>-6.5700000000000003E-4</v>
      </c>
      <c r="BR60" s="43">
        <v>-6.5300000000000004E-4</v>
      </c>
      <c r="BS60" s="43">
        <v>5.5999999999999995E-4</v>
      </c>
      <c r="BT60" s="30">
        <v>3.9355360231972419E-2</v>
      </c>
      <c r="BU60" s="43">
        <v>-7.36E-4</v>
      </c>
      <c r="BV60" s="43">
        <v>-7.3399999999999995E-4</v>
      </c>
      <c r="BW60" s="43">
        <v>7.4200000000000004E-4</v>
      </c>
      <c r="BY60" s="30">
        <v>3.5529250365305791E-2</v>
      </c>
      <c r="BZ60" s="43">
        <v>-3.6200000000000002E-4</v>
      </c>
      <c r="CA60" s="43">
        <v>-3.4900000000000003E-4</v>
      </c>
      <c r="CB60" s="43">
        <v>7.7000000000000001E-5</v>
      </c>
      <c r="CC60" s="30">
        <v>3.9355360231972419E-2</v>
      </c>
      <c r="CD60" s="43">
        <v>-3.7100000000000002E-4</v>
      </c>
      <c r="CE60" s="43">
        <v>-3.5799999999999997E-4</v>
      </c>
      <c r="CF60" s="43">
        <v>8.7000000000000001E-5</v>
      </c>
      <c r="CH60" s="30">
        <v>3.5529250365305791E-2</v>
      </c>
      <c r="CI60" s="43">
        <v>-4.55E-4</v>
      </c>
      <c r="CJ60" s="43">
        <v>-4.17E-4</v>
      </c>
      <c r="CK60" s="43">
        <v>-3.4999999999999997E-5</v>
      </c>
      <c r="CL60" s="30">
        <v>3.9355360231972419E-2</v>
      </c>
      <c r="CM60" s="43">
        <v>-4.8899999999999996E-4</v>
      </c>
      <c r="CN60" s="43">
        <v>-4.4499999999999997E-4</v>
      </c>
      <c r="CO60" s="43">
        <v>-6.9999999999999999E-6</v>
      </c>
      <c r="CQ60" s="30">
        <v>3.5529250365305791E-2</v>
      </c>
      <c r="CR60" s="43">
        <v>-2.2800000000000001E-4</v>
      </c>
      <c r="CS60" s="43">
        <v>-2.2699999999999999E-4</v>
      </c>
      <c r="CT60" s="43">
        <v>-2.13E-4</v>
      </c>
      <c r="CU60" s="30">
        <v>3.9355360231972419E-2</v>
      </c>
      <c r="CV60" s="43">
        <v>-2.32E-4</v>
      </c>
      <c r="CW60" s="43">
        <v>-2.31E-4</v>
      </c>
      <c r="CX60" s="43">
        <v>-2.0900000000000001E-4</v>
      </c>
    </row>
    <row r="61" spans="14:102" x14ac:dyDescent="0.25">
      <c r="N61" s="30">
        <v>3.6212484098639121E-2</v>
      </c>
      <c r="O61" s="43">
        <v>-4.1100000000000002E-4</v>
      </c>
      <c r="P61" s="43">
        <v>-3.7300000000000001E-4</v>
      </c>
      <c r="Q61" s="43">
        <v>5.7000000000000003E-5</v>
      </c>
      <c r="R61" s="30">
        <v>4.0175240731972421E-2</v>
      </c>
      <c r="S61" s="43">
        <v>-4.44E-4</v>
      </c>
      <c r="T61" s="43">
        <v>-4.0000000000000002E-4</v>
      </c>
      <c r="U61" s="43">
        <v>9.0000000000000006E-5</v>
      </c>
      <c r="W61" s="30">
        <v>3.6212484098639121E-2</v>
      </c>
      <c r="X61" s="43">
        <v>-3.4699999999999998E-4</v>
      </c>
      <c r="Y61" s="43">
        <v>-3.1799999999999998E-4</v>
      </c>
      <c r="Z61" s="43">
        <v>9.0000000000000002E-6</v>
      </c>
      <c r="AA61" s="30">
        <v>4.0175240731972421E-2</v>
      </c>
      <c r="AB61" s="43">
        <v>-3.4000000000000002E-4</v>
      </c>
      <c r="AC61" s="43">
        <v>-3.1100000000000002E-4</v>
      </c>
      <c r="AD61" s="43">
        <v>9.0000000000000002E-6</v>
      </c>
      <c r="AF61" s="30">
        <v>3.6212484098639121E-2</v>
      </c>
      <c r="AG61" s="43">
        <v>-6.8199999999999999E-4</v>
      </c>
      <c r="AH61" s="43">
        <v>-6.8800000000000003E-4</v>
      </c>
      <c r="AI61" s="43">
        <v>2.7900000000000001E-4</v>
      </c>
      <c r="AJ61" s="30">
        <v>4.0175240731972421E-2</v>
      </c>
      <c r="AK61" s="43">
        <v>-7.7300000000000003E-4</v>
      </c>
      <c r="AL61" s="43">
        <v>-7.7999999999999999E-4</v>
      </c>
      <c r="AM61" s="43">
        <v>4.6999999999999999E-4</v>
      </c>
      <c r="AO61" s="30">
        <v>3.6212484098639121E-2</v>
      </c>
      <c r="AP61" s="43">
        <v>-3.57E-4</v>
      </c>
      <c r="AQ61" s="43">
        <v>-3.59E-4</v>
      </c>
      <c r="AR61" s="43">
        <v>-8.3999999999999995E-5</v>
      </c>
      <c r="AS61" s="30">
        <v>4.0175240731972421E-2</v>
      </c>
      <c r="AT61" s="43">
        <v>-3.6600000000000001E-4</v>
      </c>
      <c r="AU61" s="43">
        <v>-3.68E-4</v>
      </c>
      <c r="AV61" s="43">
        <v>-7.4999999999999993E-5</v>
      </c>
      <c r="AX61" s="30">
        <v>3.6212484098639121E-2</v>
      </c>
      <c r="AY61" s="43">
        <v>-6.8499999999999995E-4</v>
      </c>
      <c r="AZ61" s="43">
        <v>-6.9099999999999999E-4</v>
      </c>
      <c r="BA61" s="43">
        <v>2.7799999999999998E-4</v>
      </c>
      <c r="BB61" s="30">
        <v>4.0175240731972421E-2</v>
      </c>
      <c r="BC61" s="43">
        <v>-7.76E-4</v>
      </c>
      <c r="BD61" s="43">
        <v>-7.8399999999999997E-4</v>
      </c>
      <c r="BE61" s="43">
        <v>4.6900000000000002E-4</v>
      </c>
      <c r="BG61" s="30">
        <v>3.6212484098639121E-2</v>
      </c>
      <c r="BH61" s="43">
        <v>-3.5599999999999998E-4</v>
      </c>
      <c r="BI61" s="43">
        <v>-3.57E-4</v>
      </c>
      <c r="BJ61" s="43">
        <v>-8.8999999999999995E-5</v>
      </c>
      <c r="BK61" s="30">
        <v>4.0175240731972421E-2</v>
      </c>
      <c r="BL61" s="43">
        <v>-3.6499999999999998E-4</v>
      </c>
      <c r="BM61" s="43">
        <v>-3.6699999999999998E-4</v>
      </c>
      <c r="BN61" s="43">
        <v>-8.0000000000000007E-5</v>
      </c>
      <c r="BP61" s="30">
        <v>3.6212484098639121E-2</v>
      </c>
      <c r="BQ61" s="43">
        <v>-6.7199999999999996E-4</v>
      </c>
      <c r="BR61" s="43">
        <v>-6.69E-4</v>
      </c>
      <c r="BS61" s="43">
        <v>5.9500000000000004E-4</v>
      </c>
      <c r="BT61" s="30">
        <v>4.0175240731972421E-2</v>
      </c>
      <c r="BU61" s="43">
        <v>-7.5199999999999996E-4</v>
      </c>
      <c r="BV61" s="43">
        <v>-7.5100000000000004E-4</v>
      </c>
      <c r="BW61" s="43">
        <v>7.7999999999999999E-4</v>
      </c>
      <c r="BY61" s="30">
        <v>3.6212484098639121E-2</v>
      </c>
      <c r="BZ61" s="43">
        <v>-3.6299999999999999E-4</v>
      </c>
      <c r="CA61" s="43">
        <v>-3.5E-4</v>
      </c>
      <c r="CB61" s="43">
        <v>7.8999999999999996E-5</v>
      </c>
      <c r="CC61" s="30">
        <v>4.0175240731972421E-2</v>
      </c>
      <c r="CD61" s="43">
        <v>-3.7399999999999998E-4</v>
      </c>
      <c r="CE61" s="43">
        <v>-3.6099999999999999E-4</v>
      </c>
      <c r="CF61" s="43">
        <v>8.8999999999999995E-5</v>
      </c>
      <c r="CH61" s="30">
        <v>3.6212484098639121E-2</v>
      </c>
      <c r="CI61" s="43">
        <v>-4.6200000000000001E-4</v>
      </c>
      <c r="CJ61" s="43">
        <v>-4.2200000000000001E-4</v>
      </c>
      <c r="CK61" s="43">
        <v>-2.9E-5</v>
      </c>
      <c r="CL61" s="30">
        <v>4.0175240731972421E-2</v>
      </c>
      <c r="CM61" s="43">
        <v>-4.9600000000000002E-4</v>
      </c>
      <c r="CN61" s="43">
        <v>-4.5100000000000001E-4</v>
      </c>
      <c r="CO61" s="43">
        <v>-9.9999999999999995E-7</v>
      </c>
      <c r="CQ61" s="30">
        <v>3.6212484098639121E-2</v>
      </c>
      <c r="CR61" s="43">
        <v>-2.2900000000000001E-4</v>
      </c>
      <c r="CS61" s="43">
        <v>-2.2699999999999999E-4</v>
      </c>
      <c r="CT61" s="43">
        <v>-2.12E-4</v>
      </c>
      <c r="CU61" s="30">
        <v>4.0175240731972421E-2</v>
      </c>
      <c r="CV61" s="43">
        <v>-2.33E-4</v>
      </c>
      <c r="CW61" s="43">
        <v>-2.31E-4</v>
      </c>
      <c r="CX61" s="43">
        <v>-2.0799999999999999E-4</v>
      </c>
    </row>
    <row r="62" spans="14:102" x14ac:dyDescent="0.25">
      <c r="N62" s="30">
        <v>3.6895717831972458E-2</v>
      </c>
      <c r="O62" s="43">
        <v>-4.1599999999999997E-4</v>
      </c>
      <c r="P62" s="43">
        <v>-3.77E-4</v>
      </c>
      <c r="Q62" s="43">
        <v>6.2000000000000003E-5</v>
      </c>
      <c r="R62" s="30">
        <v>4.0995121231972423E-2</v>
      </c>
      <c r="S62" s="43">
        <v>-4.5100000000000001E-4</v>
      </c>
      <c r="T62" s="43">
        <v>-4.06E-4</v>
      </c>
      <c r="U62" s="43">
        <v>9.7999999999999997E-5</v>
      </c>
      <c r="W62" s="30">
        <v>3.6895717831972458E-2</v>
      </c>
      <c r="X62" s="43">
        <v>-3.4600000000000001E-4</v>
      </c>
      <c r="Y62" s="43">
        <v>-3.1700000000000001E-4</v>
      </c>
      <c r="Z62" s="43">
        <v>9.0000000000000002E-6</v>
      </c>
      <c r="AA62" s="30">
        <v>4.0995121231972423E-2</v>
      </c>
      <c r="AB62" s="43">
        <v>-3.39E-4</v>
      </c>
      <c r="AC62" s="43">
        <v>-3.1E-4</v>
      </c>
      <c r="AD62" s="43">
        <v>9.0000000000000002E-6</v>
      </c>
      <c r="AF62" s="30">
        <v>3.6895717831972458E-2</v>
      </c>
      <c r="AG62" s="43">
        <v>-6.9800000000000005E-4</v>
      </c>
      <c r="AH62" s="43">
        <v>-7.0399999999999998E-4</v>
      </c>
      <c r="AI62" s="43">
        <v>3.1100000000000002E-4</v>
      </c>
      <c r="AJ62" s="30">
        <v>4.0995121231972423E-2</v>
      </c>
      <c r="AK62" s="43">
        <v>-7.9100000000000004E-4</v>
      </c>
      <c r="AL62" s="43">
        <v>-7.9900000000000001E-4</v>
      </c>
      <c r="AM62" s="43">
        <v>5.0900000000000001E-4</v>
      </c>
      <c r="AO62" s="30">
        <v>3.6895717831972458E-2</v>
      </c>
      <c r="AP62" s="43">
        <v>-3.59E-4</v>
      </c>
      <c r="AQ62" s="43">
        <v>-3.6000000000000002E-4</v>
      </c>
      <c r="AR62" s="43">
        <v>-8.2999999999999998E-5</v>
      </c>
      <c r="AS62" s="30">
        <v>4.0995121231972423E-2</v>
      </c>
      <c r="AT62" s="43">
        <v>-3.68E-4</v>
      </c>
      <c r="AU62" s="43">
        <v>-3.6999999999999999E-4</v>
      </c>
      <c r="AV62" s="43">
        <v>-7.2999999999999999E-5</v>
      </c>
      <c r="AX62" s="30">
        <v>3.6895717831972458E-2</v>
      </c>
      <c r="AY62" s="43">
        <v>-7.0200000000000004E-4</v>
      </c>
      <c r="AZ62" s="43">
        <v>-7.0799999999999997E-4</v>
      </c>
      <c r="BA62" s="43">
        <v>3.1100000000000002E-4</v>
      </c>
      <c r="BB62" s="30">
        <v>4.0995121231972423E-2</v>
      </c>
      <c r="BC62" s="43">
        <v>-7.94E-4</v>
      </c>
      <c r="BD62" s="43">
        <v>-8.0199999999999998E-4</v>
      </c>
      <c r="BE62" s="43">
        <v>5.0799999999999999E-4</v>
      </c>
      <c r="BG62" s="30">
        <v>3.6895717831972458E-2</v>
      </c>
      <c r="BH62" s="43">
        <v>-3.57E-4</v>
      </c>
      <c r="BI62" s="43">
        <v>-3.59E-4</v>
      </c>
      <c r="BJ62" s="43">
        <v>-8.7999999999999998E-5</v>
      </c>
      <c r="BK62" s="30">
        <v>4.0995121231972423E-2</v>
      </c>
      <c r="BL62" s="43">
        <v>-3.6699999999999998E-4</v>
      </c>
      <c r="BM62" s="43">
        <v>-3.68E-4</v>
      </c>
      <c r="BN62" s="43">
        <v>-7.8999999999999996E-5</v>
      </c>
      <c r="BP62" s="30">
        <v>3.6895717831972458E-2</v>
      </c>
      <c r="BQ62" s="43">
        <v>-6.8599999999999998E-4</v>
      </c>
      <c r="BR62" s="43">
        <v>-6.8300000000000001E-4</v>
      </c>
      <c r="BS62" s="43">
        <v>6.2699999999999995E-4</v>
      </c>
      <c r="BT62" s="30">
        <v>4.0995121231972423E-2</v>
      </c>
      <c r="BU62" s="43">
        <v>-7.6999999999999996E-4</v>
      </c>
      <c r="BV62" s="43">
        <v>-7.6900000000000004E-4</v>
      </c>
      <c r="BW62" s="43">
        <v>8.1899999999999996E-4</v>
      </c>
      <c r="BY62" s="30">
        <v>3.6895717831972458E-2</v>
      </c>
      <c r="BZ62" s="43">
        <v>-3.6499999999999998E-4</v>
      </c>
      <c r="CA62" s="43">
        <v>-3.5199999999999999E-4</v>
      </c>
      <c r="CB62" s="43">
        <v>8.0000000000000007E-5</v>
      </c>
      <c r="CC62" s="30">
        <v>4.0995121231972423E-2</v>
      </c>
      <c r="CD62" s="43">
        <v>-3.7599999999999998E-4</v>
      </c>
      <c r="CE62" s="43">
        <v>-3.6299999999999999E-4</v>
      </c>
      <c r="CF62" s="43">
        <v>9.1000000000000003E-5</v>
      </c>
      <c r="CH62" s="30">
        <v>3.6895717831972458E-2</v>
      </c>
      <c r="CI62" s="43">
        <v>-4.6799999999999999E-4</v>
      </c>
      <c r="CJ62" s="43">
        <v>-4.2700000000000002E-4</v>
      </c>
      <c r="CK62" s="43">
        <v>-2.4000000000000001E-5</v>
      </c>
      <c r="CL62" s="30">
        <v>4.0995121231972423E-2</v>
      </c>
      <c r="CM62" s="43">
        <v>-5.04E-4</v>
      </c>
      <c r="CN62" s="43">
        <v>-4.57E-4</v>
      </c>
      <c r="CO62" s="43">
        <v>5.0000000000000004E-6</v>
      </c>
      <c r="CQ62" s="30">
        <v>3.6895717831972458E-2</v>
      </c>
      <c r="CR62" s="43">
        <v>-2.3000000000000001E-4</v>
      </c>
      <c r="CS62" s="43">
        <v>-2.2800000000000001E-4</v>
      </c>
      <c r="CT62" s="43">
        <v>-2.1100000000000001E-4</v>
      </c>
      <c r="CU62" s="30">
        <v>4.0995121231972423E-2</v>
      </c>
      <c r="CV62" s="43">
        <v>-2.34E-4</v>
      </c>
      <c r="CW62" s="43">
        <v>-2.32E-4</v>
      </c>
      <c r="CX62" s="43">
        <v>-2.0699999999999999E-4</v>
      </c>
    </row>
    <row r="63" spans="14:102" x14ac:dyDescent="0.25">
      <c r="N63" s="30">
        <v>3.7578951565305788E-2</v>
      </c>
      <c r="O63" s="43">
        <v>-4.2200000000000001E-4</v>
      </c>
      <c r="P63" s="43">
        <v>-3.8099999999999999E-4</v>
      </c>
      <c r="Q63" s="43">
        <v>6.7000000000000002E-5</v>
      </c>
      <c r="R63" s="30"/>
      <c r="W63" s="30">
        <v>3.7578951565305788E-2</v>
      </c>
      <c r="X63" s="43">
        <v>-3.4499999999999998E-4</v>
      </c>
      <c r="Y63" s="43">
        <v>-3.1599999999999998E-4</v>
      </c>
      <c r="Z63" s="43">
        <v>9.0000000000000002E-6</v>
      </c>
      <c r="AA63" s="30"/>
      <c r="AF63" s="30">
        <v>3.7578951565305788E-2</v>
      </c>
      <c r="AG63" s="43">
        <v>-7.1299999999999998E-4</v>
      </c>
      <c r="AH63" s="43">
        <v>-7.2000000000000005E-4</v>
      </c>
      <c r="AI63" s="43">
        <v>3.4400000000000001E-4</v>
      </c>
      <c r="AJ63" s="30"/>
      <c r="AO63" s="30">
        <v>3.7578951565305788E-2</v>
      </c>
      <c r="AP63" s="43">
        <v>-3.6000000000000002E-4</v>
      </c>
      <c r="AQ63" s="43">
        <v>-3.6200000000000002E-4</v>
      </c>
      <c r="AR63" s="43">
        <v>-8.1000000000000004E-5</v>
      </c>
      <c r="AS63" s="30"/>
      <c r="AX63" s="30">
        <v>3.7578951565305788E-2</v>
      </c>
      <c r="AY63" s="43">
        <v>-7.1699999999999997E-4</v>
      </c>
      <c r="AZ63" s="43">
        <v>-7.2400000000000003E-4</v>
      </c>
      <c r="BA63" s="43">
        <v>3.4299999999999999E-4</v>
      </c>
      <c r="BB63" s="30"/>
      <c r="BG63" s="30">
        <v>3.7578951565305788E-2</v>
      </c>
      <c r="BH63" s="43">
        <v>-3.59E-4</v>
      </c>
      <c r="BI63" s="43">
        <v>-3.6000000000000002E-4</v>
      </c>
      <c r="BJ63" s="43">
        <v>-8.6000000000000003E-5</v>
      </c>
      <c r="BK63" s="30"/>
      <c r="BP63" s="30">
        <v>3.7578951565305788E-2</v>
      </c>
      <c r="BQ63" s="43">
        <v>-6.9999999999999999E-4</v>
      </c>
      <c r="BR63" s="43">
        <v>-6.9700000000000003E-4</v>
      </c>
      <c r="BS63" s="43">
        <v>6.5899999999999997E-4</v>
      </c>
      <c r="BT63" s="30"/>
      <c r="BY63" s="30">
        <v>3.7578951565305788E-2</v>
      </c>
      <c r="BZ63" s="43">
        <v>-3.6699999999999998E-4</v>
      </c>
      <c r="CA63" s="43">
        <v>-3.5399999999999999E-4</v>
      </c>
      <c r="CB63" s="43">
        <v>8.2000000000000001E-5</v>
      </c>
      <c r="CC63" s="30"/>
      <c r="CH63" s="30">
        <v>3.7578951565305788E-2</v>
      </c>
      <c r="CI63" s="43">
        <v>-4.7399999999999997E-4</v>
      </c>
      <c r="CJ63" s="43">
        <v>-4.3199999999999998E-4</v>
      </c>
      <c r="CK63" s="43">
        <v>-2.0000000000000002E-5</v>
      </c>
      <c r="CL63" s="30"/>
      <c r="CQ63" s="30">
        <v>3.7578951565305788E-2</v>
      </c>
      <c r="CR63" s="43">
        <v>-2.3000000000000001E-4</v>
      </c>
      <c r="CS63" s="43">
        <v>-2.2900000000000001E-4</v>
      </c>
      <c r="CT63" s="43">
        <v>-2.1100000000000001E-4</v>
      </c>
      <c r="CU63" s="30"/>
    </row>
    <row r="64" spans="14:102" x14ac:dyDescent="0.25">
      <c r="N64" s="30">
        <v>3.8262185298639118E-2</v>
      </c>
      <c r="O64" s="43">
        <v>-4.2700000000000002E-4</v>
      </c>
      <c r="P64" s="43">
        <v>-3.86E-4</v>
      </c>
      <c r="Q64" s="43">
        <v>7.2999999999999999E-5</v>
      </c>
      <c r="R64" s="30"/>
      <c r="W64" s="30">
        <v>3.8262185298639118E-2</v>
      </c>
      <c r="X64" s="43">
        <v>-3.4299999999999999E-4</v>
      </c>
      <c r="Y64" s="43">
        <v>-3.1399999999999999E-4</v>
      </c>
      <c r="Z64" s="43">
        <v>9.0000000000000002E-6</v>
      </c>
      <c r="AA64" s="30"/>
      <c r="AF64" s="30">
        <v>3.8262185298639118E-2</v>
      </c>
      <c r="AG64" s="43">
        <v>-7.2900000000000005E-4</v>
      </c>
      <c r="AH64" s="43">
        <v>-7.3499999999999998E-4</v>
      </c>
      <c r="AI64" s="43">
        <v>3.7599999999999998E-4</v>
      </c>
      <c r="AJ64" s="30"/>
      <c r="AO64" s="30">
        <v>3.8262185298639118E-2</v>
      </c>
      <c r="AP64" s="43">
        <v>-3.6200000000000002E-4</v>
      </c>
      <c r="AQ64" s="43">
        <v>-3.6299999999999999E-4</v>
      </c>
      <c r="AR64" s="43">
        <v>-8.0000000000000007E-5</v>
      </c>
      <c r="AS64" s="30"/>
      <c r="AX64" s="30">
        <v>3.8262185298639118E-2</v>
      </c>
      <c r="AY64" s="43">
        <v>-7.3200000000000001E-4</v>
      </c>
      <c r="AZ64" s="43">
        <v>-7.3899999999999997E-4</v>
      </c>
      <c r="BA64" s="43">
        <v>3.7500000000000001E-4</v>
      </c>
      <c r="BB64" s="30"/>
      <c r="BG64" s="30">
        <v>3.8262185298639118E-2</v>
      </c>
      <c r="BH64" s="43">
        <v>-3.6000000000000002E-4</v>
      </c>
      <c r="BI64" s="43">
        <v>-3.6200000000000002E-4</v>
      </c>
      <c r="BJ64" s="43">
        <v>-8.5000000000000006E-5</v>
      </c>
      <c r="BK64" s="30"/>
      <c r="BP64" s="30">
        <v>3.8262185298639118E-2</v>
      </c>
      <c r="BQ64" s="43">
        <v>-7.1299999999999998E-4</v>
      </c>
      <c r="BR64" s="43">
        <v>-7.1100000000000004E-4</v>
      </c>
      <c r="BS64" s="43">
        <v>6.9099999999999999E-4</v>
      </c>
      <c r="BT64" s="30"/>
      <c r="BY64" s="30">
        <v>3.8262185298639118E-2</v>
      </c>
      <c r="BZ64" s="43">
        <v>-3.6900000000000002E-4</v>
      </c>
      <c r="CA64" s="43">
        <v>-3.5599999999999998E-4</v>
      </c>
      <c r="CB64" s="43">
        <v>8.3999999999999995E-5</v>
      </c>
      <c r="CC64" s="30"/>
      <c r="CH64" s="30">
        <v>3.8262185298639118E-2</v>
      </c>
      <c r="CI64" s="43">
        <v>-4.8000000000000001E-4</v>
      </c>
      <c r="CJ64" s="43">
        <v>-4.37E-4</v>
      </c>
      <c r="CK64" s="43">
        <v>-1.5E-5</v>
      </c>
      <c r="CL64" s="30"/>
      <c r="CQ64" s="30">
        <v>3.8262185298639118E-2</v>
      </c>
      <c r="CR64" s="43">
        <v>-2.31E-4</v>
      </c>
      <c r="CS64" s="43">
        <v>-2.2900000000000001E-4</v>
      </c>
      <c r="CT64" s="43">
        <v>-2.1000000000000001E-4</v>
      </c>
      <c r="CU64" s="30"/>
    </row>
    <row r="65" spans="14:99" x14ac:dyDescent="0.25">
      <c r="N65" s="30">
        <v>3.8945419031972447E-2</v>
      </c>
      <c r="O65" s="43">
        <v>-4.3199999999999998E-4</v>
      </c>
      <c r="P65" s="43">
        <v>-3.8999999999999999E-4</v>
      </c>
      <c r="Q65" s="43">
        <v>7.7999999999999999E-5</v>
      </c>
      <c r="R65" s="30"/>
      <c r="W65" s="30">
        <v>3.8945419031972447E-2</v>
      </c>
      <c r="X65" s="43">
        <v>-3.4200000000000002E-4</v>
      </c>
      <c r="Y65" s="43">
        <v>-3.1300000000000002E-4</v>
      </c>
      <c r="Z65" s="43">
        <v>9.0000000000000002E-6</v>
      </c>
      <c r="AA65" s="30"/>
      <c r="AF65" s="30">
        <v>3.8945419031972447E-2</v>
      </c>
      <c r="AG65" s="43">
        <v>-7.4399999999999998E-4</v>
      </c>
      <c r="AH65" s="43">
        <v>-7.5100000000000004E-4</v>
      </c>
      <c r="AI65" s="43">
        <v>4.0900000000000002E-4</v>
      </c>
      <c r="AJ65" s="30"/>
      <c r="AO65" s="30">
        <v>3.8945419031972447E-2</v>
      </c>
      <c r="AP65" s="43">
        <v>-3.6299999999999999E-4</v>
      </c>
      <c r="AQ65" s="43">
        <v>-3.6499999999999998E-4</v>
      </c>
      <c r="AR65" s="43">
        <v>-7.7999999999999999E-5</v>
      </c>
      <c r="AS65" s="30"/>
      <c r="AX65" s="30">
        <v>3.8945419031972447E-2</v>
      </c>
      <c r="AY65" s="43">
        <v>-7.4700000000000005E-4</v>
      </c>
      <c r="AZ65" s="43">
        <v>-7.5500000000000003E-4</v>
      </c>
      <c r="BA65" s="43">
        <v>4.08E-4</v>
      </c>
      <c r="BB65" s="30"/>
      <c r="BG65" s="30">
        <v>3.8945419031972447E-2</v>
      </c>
      <c r="BH65" s="43">
        <v>-3.6200000000000002E-4</v>
      </c>
      <c r="BI65" s="43">
        <v>-3.6400000000000001E-4</v>
      </c>
      <c r="BJ65" s="43">
        <v>-8.2999999999999998E-5</v>
      </c>
      <c r="BK65" s="30"/>
      <c r="BP65" s="30">
        <v>3.8945419031972447E-2</v>
      </c>
      <c r="BQ65" s="43">
        <v>-7.27E-4</v>
      </c>
      <c r="BR65" s="43">
        <v>-7.2499999999999995E-4</v>
      </c>
      <c r="BS65" s="43">
        <v>7.2300000000000001E-4</v>
      </c>
      <c r="BT65" s="30"/>
      <c r="BY65" s="30">
        <v>3.8945419031972447E-2</v>
      </c>
      <c r="BZ65" s="43">
        <v>-3.6999999999999999E-4</v>
      </c>
      <c r="CA65" s="43">
        <v>-3.57E-4</v>
      </c>
      <c r="CB65" s="43">
        <v>8.6000000000000003E-5</v>
      </c>
      <c r="CC65" s="30"/>
      <c r="CH65" s="30">
        <v>3.8945419031972447E-2</v>
      </c>
      <c r="CI65" s="43">
        <v>-4.86E-4</v>
      </c>
      <c r="CJ65" s="43">
        <v>-4.4200000000000001E-4</v>
      </c>
      <c r="CK65" s="43">
        <v>-1.0000000000000001E-5</v>
      </c>
      <c r="CL65" s="30"/>
      <c r="CQ65" s="30">
        <v>3.8945419031972447E-2</v>
      </c>
      <c r="CR65" s="43">
        <v>-2.32E-4</v>
      </c>
      <c r="CS65" s="43">
        <v>-2.3000000000000001E-4</v>
      </c>
      <c r="CT65" s="43">
        <v>-2.0900000000000001E-4</v>
      </c>
      <c r="CU65" s="30"/>
    </row>
    <row r="66" spans="14:99" x14ac:dyDescent="0.25">
      <c r="N66" s="30">
        <v>3.9628652765305784E-2</v>
      </c>
      <c r="O66" s="43">
        <v>-4.3800000000000002E-4</v>
      </c>
      <c r="P66" s="43">
        <v>-3.9500000000000001E-4</v>
      </c>
      <c r="Q66" s="43">
        <v>8.5000000000000006E-5</v>
      </c>
      <c r="R66" s="30"/>
      <c r="W66" s="30">
        <v>3.9628652765305784E-2</v>
      </c>
      <c r="X66" s="43">
        <v>-3.4099999999999999E-4</v>
      </c>
      <c r="Y66" s="43">
        <v>-3.1199999999999999E-4</v>
      </c>
      <c r="Z66" s="43">
        <v>9.0000000000000002E-6</v>
      </c>
      <c r="AA66" s="30"/>
      <c r="AF66" s="30">
        <v>3.9628652765305784E-2</v>
      </c>
      <c r="AG66" s="43">
        <v>-7.5900000000000002E-4</v>
      </c>
      <c r="AH66" s="43">
        <v>-7.6599999999999997E-4</v>
      </c>
      <c r="AI66" s="43">
        <v>4.4099999999999999E-4</v>
      </c>
      <c r="AJ66" s="30"/>
      <c r="AO66" s="30">
        <v>3.9628652765305784E-2</v>
      </c>
      <c r="AP66" s="43">
        <v>-3.6499999999999998E-4</v>
      </c>
      <c r="AQ66" s="43">
        <v>-3.6699999999999998E-4</v>
      </c>
      <c r="AR66" s="43">
        <v>-7.7000000000000001E-5</v>
      </c>
      <c r="AS66" s="30"/>
      <c r="AX66" s="30">
        <v>3.9628652765305784E-2</v>
      </c>
      <c r="AY66" s="43">
        <v>-7.6300000000000001E-4</v>
      </c>
      <c r="AZ66" s="43">
        <v>-7.6999999999999996E-4</v>
      </c>
      <c r="BA66" s="43">
        <v>4.4000000000000002E-4</v>
      </c>
      <c r="BB66" s="30"/>
      <c r="BG66" s="30">
        <v>3.9628652765305784E-2</v>
      </c>
      <c r="BH66" s="43">
        <v>-3.6400000000000001E-4</v>
      </c>
      <c r="BI66" s="43">
        <v>-3.6499999999999998E-4</v>
      </c>
      <c r="BJ66" s="43">
        <v>-8.2000000000000001E-5</v>
      </c>
      <c r="BK66" s="30"/>
      <c r="BP66" s="30">
        <v>3.9628652765305784E-2</v>
      </c>
      <c r="BQ66" s="43">
        <v>-7.4100000000000001E-4</v>
      </c>
      <c r="BR66" s="43">
        <v>-7.3899999999999997E-4</v>
      </c>
      <c r="BS66" s="43">
        <v>7.5500000000000003E-4</v>
      </c>
      <c r="BT66" s="30"/>
      <c r="BY66" s="30">
        <v>3.9628652765305784E-2</v>
      </c>
      <c r="BZ66" s="43">
        <v>-3.7199999999999999E-4</v>
      </c>
      <c r="CA66" s="43">
        <v>-3.59E-4</v>
      </c>
      <c r="CB66" s="43">
        <v>8.7000000000000001E-5</v>
      </c>
      <c r="CC66" s="30"/>
      <c r="CH66" s="30">
        <v>3.9628652765305784E-2</v>
      </c>
      <c r="CI66" s="43">
        <v>-4.9100000000000001E-4</v>
      </c>
      <c r="CJ66" s="43">
        <v>-4.4700000000000002E-4</v>
      </c>
      <c r="CK66" s="43">
        <v>-5.0000000000000004E-6</v>
      </c>
      <c r="CL66" s="30"/>
      <c r="CQ66" s="30">
        <v>3.9628652765305784E-2</v>
      </c>
      <c r="CR66" s="43">
        <v>-2.33E-4</v>
      </c>
      <c r="CS66" s="43">
        <v>-2.31E-4</v>
      </c>
      <c r="CT66" s="43">
        <v>-2.0900000000000001E-4</v>
      </c>
      <c r="CU66" s="30"/>
    </row>
    <row r="67" spans="14:99" x14ac:dyDescent="0.25">
      <c r="N67" s="30">
        <v>4.0311886498639114E-2</v>
      </c>
      <c r="O67" s="43">
        <v>-4.44E-4</v>
      </c>
      <c r="P67" s="43">
        <v>-4.0000000000000002E-4</v>
      </c>
      <c r="Q67" s="43">
        <v>9.1000000000000003E-5</v>
      </c>
      <c r="R67" s="30"/>
      <c r="W67" s="30">
        <v>4.0311886498639114E-2</v>
      </c>
      <c r="X67" s="43">
        <v>-3.4000000000000002E-4</v>
      </c>
      <c r="Y67" s="43">
        <v>-3.1100000000000002E-4</v>
      </c>
      <c r="Z67" s="43">
        <v>9.0000000000000002E-6</v>
      </c>
      <c r="AA67" s="30"/>
      <c r="AF67" s="30">
        <v>4.0311886498639114E-2</v>
      </c>
      <c r="AG67" s="43">
        <v>-7.7399999999999995E-4</v>
      </c>
      <c r="AH67" s="43">
        <v>-7.8200000000000003E-4</v>
      </c>
      <c r="AI67" s="43">
        <v>4.73E-4</v>
      </c>
      <c r="AJ67" s="30"/>
      <c r="AO67" s="30">
        <v>4.0311886498639114E-2</v>
      </c>
      <c r="AP67" s="43">
        <v>-3.6699999999999998E-4</v>
      </c>
      <c r="AQ67" s="43">
        <v>-3.68E-4</v>
      </c>
      <c r="AR67" s="43">
        <v>-7.4999999999999993E-5</v>
      </c>
      <c r="AS67" s="30"/>
      <c r="AX67" s="30">
        <v>4.0311886498639114E-2</v>
      </c>
      <c r="AY67" s="43">
        <v>-7.7800000000000005E-4</v>
      </c>
      <c r="AZ67" s="43">
        <v>-7.8600000000000002E-4</v>
      </c>
      <c r="BA67" s="43">
        <v>4.7199999999999998E-4</v>
      </c>
      <c r="BB67" s="30"/>
      <c r="BG67" s="30">
        <v>4.0311886498639114E-2</v>
      </c>
      <c r="BH67" s="43">
        <v>-3.6499999999999998E-4</v>
      </c>
      <c r="BI67" s="43">
        <v>-3.6699999999999998E-4</v>
      </c>
      <c r="BJ67" s="43">
        <v>-8.0000000000000007E-5</v>
      </c>
      <c r="BK67" s="30"/>
      <c r="BP67" s="30">
        <v>4.0311886498639114E-2</v>
      </c>
      <c r="BQ67" s="43">
        <v>-7.54E-4</v>
      </c>
      <c r="BR67" s="43">
        <v>-7.5299999999999998E-4</v>
      </c>
      <c r="BS67" s="43">
        <v>7.8600000000000002E-4</v>
      </c>
      <c r="BT67" s="30"/>
      <c r="BY67" s="30">
        <v>4.0311886498639114E-2</v>
      </c>
      <c r="BZ67" s="43">
        <v>-3.7399999999999998E-4</v>
      </c>
      <c r="CA67" s="43">
        <v>-3.6099999999999999E-4</v>
      </c>
      <c r="CB67" s="43">
        <v>8.8999999999999995E-5</v>
      </c>
      <c r="CC67" s="30"/>
      <c r="CH67" s="30">
        <v>4.0311886498639114E-2</v>
      </c>
      <c r="CI67" s="43">
        <v>-4.9700000000000005E-4</v>
      </c>
      <c r="CJ67" s="43">
        <v>-4.5199999999999998E-4</v>
      </c>
      <c r="CK67" s="43">
        <v>-3.213E-7</v>
      </c>
      <c r="CL67" s="30"/>
      <c r="CQ67" s="30">
        <v>4.0311886498639114E-2</v>
      </c>
      <c r="CR67" s="43">
        <v>-2.33E-4</v>
      </c>
      <c r="CS67" s="43">
        <v>-2.31E-4</v>
      </c>
      <c r="CT67" s="43">
        <v>-2.0799999999999999E-4</v>
      </c>
      <c r="CU67" s="30"/>
    </row>
    <row r="68" spans="14:99" x14ac:dyDescent="0.25">
      <c r="N68" s="30">
        <v>4.099512023197243E-2</v>
      </c>
      <c r="O68" s="43">
        <v>-4.4999999999999999E-4</v>
      </c>
      <c r="P68" s="43">
        <v>-4.0499999999999998E-4</v>
      </c>
      <c r="Q68" s="43">
        <v>9.7999999999999997E-5</v>
      </c>
      <c r="R68" s="30"/>
      <c r="W68" s="30">
        <v>4.099512023197243E-2</v>
      </c>
      <c r="X68" s="43">
        <v>-3.39E-4</v>
      </c>
      <c r="Y68" s="43">
        <v>-3.1E-4</v>
      </c>
      <c r="Z68" s="43">
        <v>9.0000000000000002E-6</v>
      </c>
      <c r="AA68" s="30"/>
      <c r="AF68" s="30">
        <v>4.099512023197243E-2</v>
      </c>
      <c r="AG68" s="43">
        <v>-7.8899999999999999E-4</v>
      </c>
      <c r="AH68" s="43">
        <v>-7.9699999999999997E-4</v>
      </c>
      <c r="AI68" s="43">
        <v>5.0600000000000005E-4</v>
      </c>
      <c r="AJ68" s="30"/>
      <c r="AO68" s="30">
        <v>4.099512023197243E-2</v>
      </c>
      <c r="AP68" s="43">
        <v>-3.68E-4</v>
      </c>
      <c r="AQ68" s="43">
        <v>-3.6999999999999999E-4</v>
      </c>
      <c r="AR68" s="43">
        <v>-7.2999999999999999E-5</v>
      </c>
      <c r="AS68" s="30"/>
      <c r="AX68" s="30">
        <v>4.099512023197243E-2</v>
      </c>
      <c r="AY68" s="43">
        <v>-7.9299999999999998E-4</v>
      </c>
      <c r="AZ68" s="43">
        <v>-8.0099999999999995E-4</v>
      </c>
      <c r="BA68" s="43">
        <v>5.0500000000000002E-4</v>
      </c>
      <c r="BB68" s="30"/>
      <c r="BG68" s="30">
        <v>4.099512023197243E-2</v>
      </c>
      <c r="BH68" s="43">
        <v>-3.6699999999999998E-4</v>
      </c>
      <c r="BI68" s="43">
        <v>-3.6900000000000002E-4</v>
      </c>
      <c r="BJ68" s="43">
        <v>-7.8999999999999996E-5</v>
      </c>
      <c r="BK68" s="30"/>
      <c r="BP68" s="30">
        <v>4.099512023197243E-2</v>
      </c>
      <c r="BQ68" s="43">
        <v>-7.6999999999999996E-4</v>
      </c>
      <c r="BR68" s="43">
        <v>-7.6800000000000002E-4</v>
      </c>
      <c r="BS68" s="43">
        <v>8.1800000000000004E-4</v>
      </c>
      <c r="BT68" s="30"/>
      <c r="BY68" s="30">
        <v>4.099512023197243E-2</v>
      </c>
      <c r="BZ68" s="43">
        <v>-3.7599999999999998E-4</v>
      </c>
      <c r="CA68" s="43">
        <v>-3.6299999999999999E-4</v>
      </c>
      <c r="CB68" s="43">
        <v>9.1000000000000003E-5</v>
      </c>
      <c r="CC68" s="30"/>
      <c r="CH68" s="30">
        <v>4.099512023197243E-2</v>
      </c>
      <c r="CI68" s="43">
        <v>-5.0299999999999997E-4</v>
      </c>
      <c r="CJ68" s="43">
        <v>-4.57E-4</v>
      </c>
      <c r="CK68" s="43">
        <v>5.0000000000000004E-6</v>
      </c>
      <c r="CL68" s="30"/>
      <c r="CQ68" s="30">
        <v>4.099512023197243E-2</v>
      </c>
      <c r="CR68" s="43">
        <v>-2.34E-4</v>
      </c>
      <c r="CS68" s="43">
        <v>-2.32E-4</v>
      </c>
      <c r="CT68" s="43">
        <v>-2.0699999999999999E-4</v>
      </c>
      <c r="CU68" s="30"/>
    </row>
    <row r="69" spans="14:99" x14ac:dyDescent="0.25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25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25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25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25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25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25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25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25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25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25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25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25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25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25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25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25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25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25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25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25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25">
      <c r="R90" s="30"/>
      <c r="AA90" s="30"/>
      <c r="AJ90" s="30"/>
      <c r="AS90" s="30"/>
      <c r="BB90" s="30"/>
      <c r="BK90" s="30"/>
      <c r="BT90" s="30"/>
      <c r="CC90" s="30"/>
      <c r="CL90" s="30"/>
      <c r="CU90" s="30"/>
    </row>
    <row r="91" spans="14:99" x14ac:dyDescent="0.25">
      <c r="R91" s="30"/>
      <c r="AA91" s="30"/>
      <c r="AJ91" s="30"/>
      <c r="AS91" s="30"/>
      <c r="BB91" s="30"/>
      <c r="BK91" s="30"/>
      <c r="BT91" s="30"/>
      <c r="CC91" s="30"/>
      <c r="CL91" s="30"/>
      <c r="CU91" s="30"/>
    </row>
    <row r="92" spans="14:99" x14ac:dyDescent="0.25">
      <c r="R92" s="30"/>
      <c r="AA92" s="30"/>
      <c r="AJ92" s="30"/>
      <c r="AS92" s="30"/>
      <c r="BB92" s="30"/>
      <c r="BK92" s="30"/>
      <c r="BT92" s="30"/>
      <c r="CC92" s="30"/>
      <c r="CL92" s="30"/>
      <c r="CU92" s="30"/>
    </row>
    <row r="93" spans="14:99" x14ac:dyDescent="0.25">
      <c r="R93" s="30"/>
      <c r="AA93" s="30"/>
      <c r="AJ93" s="30"/>
      <c r="AS93" s="30"/>
      <c r="BB93" s="30"/>
      <c r="BK93" s="30"/>
      <c r="BT93" s="30"/>
      <c r="CC93" s="30"/>
      <c r="CL93" s="30"/>
      <c r="CU93" s="30"/>
    </row>
    <row r="94" spans="14:99" x14ac:dyDescent="0.25">
      <c r="R94" s="30"/>
      <c r="AA94" s="30"/>
      <c r="AJ94" s="30"/>
      <c r="AS94" s="30"/>
      <c r="BB94" s="30"/>
      <c r="BK94" s="30"/>
      <c r="BT94" s="30"/>
      <c r="CC94" s="30"/>
      <c r="CL94" s="30"/>
      <c r="CU94" s="30"/>
    </row>
    <row r="95" spans="14:99" x14ac:dyDescent="0.25">
      <c r="R95" s="30"/>
      <c r="AA95" s="30"/>
      <c r="AJ95" s="30"/>
      <c r="AS95" s="30"/>
      <c r="BB95" s="30"/>
      <c r="BK95" s="30"/>
      <c r="BT95" s="30"/>
      <c r="CC95" s="30"/>
      <c r="CL95" s="30"/>
      <c r="CU95" s="30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95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5" customHeight="1" x14ac:dyDescent="0.25">
      <c r="N3" s="22" t="s">
        <v>39</v>
      </c>
      <c r="O3" s="72">
        <v>2</v>
      </c>
      <c r="P3" s="73"/>
      <c r="Q3" s="74"/>
      <c r="R3" s="22" t="s">
        <v>41</v>
      </c>
      <c r="S3" s="72" t="s">
        <v>130</v>
      </c>
      <c r="T3" s="73"/>
      <c r="U3" s="74"/>
      <c r="W3" s="22" t="s">
        <v>39</v>
      </c>
      <c r="X3" s="72">
        <v>2</v>
      </c>
      <c r="Y3" s="73"/>
      <c r="Z3" s="74"/>
      <c r="AA3" s="22" t="s">
        <v>41</v>
      </c>
      <c r="AB3" s="72" t="s">
        <v>130</v>
      </c>
      <c r="AC3" s="73"/>
      <c r="AD3" s="74"/>
      <c r="AF3" s="22" t="s">
        <v>39</v>
      </c>
      <c r="AG3" s="72">
        <v>5</v>
      </c>
      <c r="AH3" s="73"/>
      <c r="AI3" s="74"/>
      <c r="AJ3" s="22" t="s">
        <v>41</v>
      </c>
      <c r="AK3" s="72" t="s">
        <v>132</v>
      </c>
      <c r="AL3" s="73"/>
      <c r="AM3" s="74"/>
      <c r="AO3" s="22" t="s">
        <v>39</v>
      </c>
      <c r="AP3" s="72">
        <v>5</v>
      </c>
      <c r="AQ3" s="73"/>
      <c r="AR3" s="74"/>
      <c r="AS3" s="22" t="s">
        <v>41</v>
      </c>
      <c r="AT3" s="72" t="s">
        <v>132</v>
      </c>
      <c r="AU3" s="73"/>
      <c r="AV3" s="74"/>
      <c r="AX3" s="22" t="s">
        <v>39</v>
      </c>
      <c r="AY3" s="72">
        <v>8</v>
      </c>
      <c r="AZ3" s="73"/>
      <c r="BA3" s="74"/>
      <c r="BB3" s="22" t="s">
        <v>41</v>
      </c>
      <c r="BC3" s="72" t="s">
        <v>132</v>
      </c>
      <c r="BD3" s="73"/>
      <c r="BE3" s="74"/>
      <c r="BG3" s="22" t="s">
        <v>39</v>
      </c>
      <c r="BH3" s="72">
        <v>8</v>
      </c>
      <c r="BI3" s="73"/>
      <c r="BJ3" s="74"/>
      <c r="BK3" s="22" t="s">
        <v>41</v>
      </c>
      <c r="BL3" s="72" t="s">
        <v>132</v>
      </c>
      <c r="BM3" s="73"/>
      <c r="BN3" s="74"/>
      <c r="BP3" s="22" t="s">
        <v>39</v>
      </c>
      <c r="BQ3" s="72">
        <v>11</v>
      </c>
      <c r="BR3" s="73"/>
      <c r="BS3" s="74"/>
      <c r="BT3" s="22" t="s">
        <v>41</v>
      </c>
      <c r="BU3" s="72" t="s">
        <v>132</v>
      </c>
      <c r="BV3" s="73"/>
      <c r="BW3" s="74"/>
      <c r="BY3" s="22" t="s">
        <v>39</v>
      </c>
      <c r="BZ3" s="72">
        <v>11</v>
      </c>
      <c r="CA3" s="73"/>
      <c r="CB3" s="74"/>
      <c r="CC3" s="22" t="s">
        <v>41</v>
      </c>
      <c r="CD3" s="72" t="s">
        <v>132</v>
      </c>
      <c r="CE3" s="73"/>
      <c r="CF3" s="74"/>
      <c r="CH3" s="22" t="s">
        <v>39</v>
      </c>
      <c r="CI3" s="72">
        <v>21</v>
      </c>
      <c r="CJ3" s="73"/>
      <c r="CK3" s="74"/>
      <c r="CL3" s="22" t="s">
        <v>41</v>
      </c>
      <c r="CM3" s="72" t="s">
        <v>131</v>
      </c>
      <c r="CN3" s="73"/>
      <c r="CO3" s="74"/>
      <c r="CQ3" s="22" t="s">
        <v>39</v>
      </c>
      <c r="CR3" s="72">
        <v>21</v>
      </c>
      <c r="CS3" s="73"/>
      <c r="CT3" s="74"/>
      <c r="CU3" s="22" t="s">
        <v>41</v>
      </c>
      <c r="CV3" s="72" t="s">
        <v>131</v>
      </c>
      <c r="CW3" s="73"/>
      <c r="CX3" s="74"/>
    </row>
    <row r="4" spans="2:103" x14ac:dyDescent="0.25">
      <c r="N4" s="22" t="s">
        <v>46</v>
      </c>
      <c r="O4" s="72" t="s">
        <v>377</v>
      </c>
      <c r="P4" s="73"/>
      <c r="Q4" s="74"/>
      <c r="R4" s="22" t="s">
        <v>45</v>
      </c>
      <c r="S4" s="72" t="s">
        <v>63</v>
      </c>
      <c r="T4" s="73"/>
      <c r="U4" s="74"/>
      <c r="W4" s="22" t="s">
        <v>46</v>
      </c>
      <c r="X4" s="72" t="s">
        <v>378</v>
      </c>
      <c r="Y4" s="73"/>
      <c r="Z4" s="74"/>
      <c r="AA4" s="22" t="s">
        <v>45</v>
      </c>
      <c r="AB4" s="72" t="s">
        <v>64</v>
      </c>
      <c r="AC4" s="73"/>
      <c r="AD4" s="74"/>
      <c r="AF4" s="22" t="s">
        <v>46</v>
      </c>
      <c r="AG4" s="72" t="s">
        <v>345</v>
      </c>
      <c r="AH4" s="73"/>
      <c r="AI4" s="74"/>
      <c r="AJ4" s="22" t="s">
        <v>45</v>
      </c>
      <c r="AK4" s="72" t="s">
        <v>63</v>
      </c>
      <c r="AL4" s="73"/>
      <c r="AM4" s="74"/>
      <c r="AO4" s="22" t="s">
        <v>46</v>
      </c>
      <c r="AP4" s="72" t="s">
        <v>346</v>
      </c>
      <c r="AQ4" s="73"/>
      <c r="AR4" s="74"/>
      <c r="AS4" s="22" t="s">
        <v>45</v>
      </c>
      <c r="AT4" s="72" t="s">
        <v>64</v>
      </c>
      <c r="AU4" s="73"/>
      <c r="AV4" s="74"/>
      <c r="AX4" s="22" t="s">
        <v>46</v>
      </c>
      <c r="AY4" s="72" t="s">
        <v>363</v>
      </c>
      <c r="AZ4" s="73"/>
      <c r="BA4" s="74"/>
      <c r="BB4" s="22" t="s">
        <v>45</v>
      </c>
      <c r="BC4" s="72" t="s">
        <v>63</v>
      </c>
      <c r="BD4" s="73"/>
      <c r="BE4" s="74"/>
      <c r="BG4" s="22" t="s">
        <v>46</v>
      </c>
      <c r="BH4" s="72" t="s">
        <v>364</v>
      </c>
      <c r="BI4" s="73"/>
      <c r="BJ4" s="74"/>
      <c r="BK4" s="22" t="s">
        <v>45</v>
      </c>
      <c r="BL4" s="72" t="s">
        <v>64</v>
      </c>
      <c r="BM4" s="73"/>
      <c r="BN4" s="74"/>
      <c r="BP4" s="22" t="s">
        <v>46</v>
      </c>
      <c r="BQ4" s="72" t="s">
        <v>335</v>
      </c>
      <c r="BR4" s="73"/>
      <c r="BS4" s="74"/>
      <c r="BT4" s="22" t="s">
        <v>45</v>
      </c>
      <c r="BU4" s="72" t="s">
        <v>63</v>
      </c>
      <c r="BV4" s="73"/>
      <c r="BW4" s="74"/>
      <c r="BY4" s="22" t="s">
        <v>46</v>
      </c>
      <c r="BZ4" s="72" t="s">
        <v>336</v>
      </c>
      <c r="CA4" s="73"/>
      <c r="CB4" s="74"/>
      <c r="CC4" s="22" t="s">
        <v>45</v>
      </c>
      <c r="CD4" s="72" t="s">
        <v>64</v>
      </c>
      <c r="CE4" s="73"/>
      <c r="CF4" s="74"/>
      <c r="CH4" s="22" t="s">
        <v>46</v>
      </c>
      <c r="CI4" s="72" t="s">
        <v>359</v>
      </c>
      <c r="CJ4" s="73"/>
      <c r="CK4" s="74"/>
      <c r="CL4" s="22" t="s">
        <v>45</v>
      </c>
      <c r="CM4" s="72" t="s">
        <v>63</v>
      </c>
      <c r="CN4" s="73"/>
      <c r="CO4" s="74"/>
      <c r="CQ4" s="22" t="s">
        <v>46</v>
      </c>
      <c r="CR4" s="72" t="s">
        <v>360</v>
      </c>
      <c r="CS4" s="73"/>
      <c r="CT4" s="74"/>
      <c r="CU4" s="22" t="s">
        <v>45</v>
      </c>
      <c r="CV4" s="72" t="s">
        <v>64</v>
      </c>
      <c r="CW4" s="73"/>
      <c r="CX4" s="74"/>
    </row>
    <row r="5" spans="2:103" ht="14.45" customHeight="1" x14ac:dyDescent="0.25">
      <c r="B5" t="b">
        <v>0</v>
      </c>
      <c r="N5" s="55" t="s">
        <v>89</v>
      </c>
      <c r="O5" s="56"/>
      <c r="P5" s="56"/>
      <c r="Q5" s="57"/>
      <c r="R5" s="55" t="s">
        <v>103</v>
      </c>
      <c r="S5" s="56"/>
      <c r="T5" s="56"/>
      <c r="U5" s="57"/>
      <c r="W5" s="55" t="s">
        <v>89</v>
      </c>
      <c r="X5" s="56"/>
      <c r="Y5" s="56"/>
      <c r="Z5" s="57"/>
      <c r="AA5" s="55" t="s">
        <v>103</v>
      </c>
      <c r="AB5" s="56"/>
      <c r="AC5" s="56"/>
      <c r="AD5" s="57"/>
      <c r="AF5" s="55" t="s">
        <v>89</v>
      </c>
      <c r="AG5" s="56"/>
      <c r="AH5" s="56"/>
      <c r="AI5" s="57"/>
      <c r="AJ5" s="55" t="s">
        <v>103</v>
      </c>
      <c r="AK5" s="56"/>
      <c r="AL5" s="56"/>
      <c r="AM5" s="57"/>
      <c r="AO5" s="55" t="s">
        <v>89</v>
      </c>
      <c r="AP5" s="56"/>
      <c r="AQ5" s="56"/>
      <c r="AR5" s="57"/>
      <c r="AS5" s="55" t="s">
        <v>103</v>
      </c>
      <c r="AT5" s="56"/>
      <c r="AU5" s="56"/>
      <c r="AV5" s="57"/>
      <c r="AX5" s="55" t="s">
        <v>89</v>
      </c>
      <c r="AY5" s="56"/>
      <c r="AZ5" s="56"/>
      <c r="BA5" s="57"/>
      <c r="BB5" s="55" t="s">
        <v>103</v>
      </c>
      <c r="BC5" s="56"/>
      <c r="BD5" s="56"/>
      <c r="BE5" s="57"/>
      <c r="BG5" s="55" t="s">
        <v>89</v>
      </c>
      <c r="BH5" s="56"/>
      <c r="BI5" s="56"/>
      <c r="BJ5" s="57"/>
      <c r="BK5" s="55" t="s">
        <v>103</v>
      </c>
      <c r="BL5" s="56"/>
      <c r="BM5" s="56"/>
      <c r="BN5" s="57"/>
      <c r="BP5" s="55" t="s">
        <v>89</v>
      </c>
      <c r="BQ5" s="56"/>
      <c r="BR5" s="56"/>
      <c r="BS5" s="57"/>
      <c r="BT5" s="55" t="s">
        <v>103</v>
      </c>
      <c r="BU5" s="56"/>
      <c r="BV5" s="56"/>
      <c r="BW5" s="57"/>
      <c r="BY5" s="55" t="s">
        <v>89</v>
      </c>
      <c r="BZ5" s="56"/>
      <c r="CA5" s="56"/>
      <c r="CB5" s="57"/>
      <c r="CC5" s="55" t="s">
        <v>103</v>
      </c>
      <c r="CD5" s="56"/>
      <c r="CE5" s="56"/>
      <c r="CF5" s="57"/>
      <c r="CH5" s="55" t="s">
        <v>89</v>
      </c>
      <c r="CI5" s="56"/>
      <c r="CJ5" s="56"/>
      <c r="CK5" s="57"/>
      <c r="CL5" s="55" t="s">
        <v>103</v>
      </c>
      <c r="CM5" s="56"/>
      <c r="CN5" s="56"/>
      <c r="CO5" s="57"/>
      <c r="CQ5" s="55" t="s">
        <v>89</v>
      </c>
      <c r="CR5" s="56"/>
      <c r="CS5" s="56"/>
      <c r="CT5" s="57"/>
      <c r="CU5" s="55" t="s">
        <v>103</v>
      </c>
      <c r="CV5" s="56"/>
      <c r="CW5" s="56"/>
      <c r="CX5" s="57"/>
    </row>
    <row r="6" spans="2:103" ht="14.45" customHeight="1" x14ac:dyDescent="0.25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5.5" x14ac:dyDescent="0.25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6">
        <v>2</v>
      </c>
      <c r="C8" s="76"/>
      <c r="D8" s="76" t="s">
        <v>915</v>
      </c>
      <c r="E8" s="76"/>
      <c r="F8" s="76" t="s">
        <v>63</v>
      </c>
      <c r="G8" s="76"/>
      <c r="H8" s="2">
        <v>0</v>
      </c>
      <c r="I8" s="2">
        <v>-2.5000000000000001E-3</v>
      </c>
      <c r="J8" s="2">
        <v>0</v>
      </c>
      <c r="K8" s="1"/>
      <c r="N8" s="30">
        <v>3.9557299373688176E-7</v>
      </c>
      <c r="O8" s="43">
        <v>-3.01E-4</v>
      </c>
      <c r="P8" s="43">
        <v>-2.8299999999999999E-4</v>
      </c>
      <c r="Q8" s="43">
        <v>-8.5000000000000006E-5</v>
      </c>
      <c r="R8" s="30">
        <v>3.9557299373688176E-7</v>
      </c>
      <c r="S8" s="43">
        <v>-3.01E-4</v>
      </c>
      <c r="T8" s="43">
        <v>-2.8299999999999999E-4</v>
      </c>
      <c r="U8" s="43">
        <v>-8.5000000000000006E-5</v>
      </c>
      <c r="W8" s="30">
        <v>3.9557299373688176E-7</v>
      </c>
      <c r="X8" s="43">
        <v>-3.7500000000000001E-4</v>
      </c>
      <c r="Y8" s="43">
        <v>-3.4600000000000001E-4</v>
      </c>
      <c r="Z8" s="43">
        <v>-2.0000000000000002E-5</v>
      </c>
      <c r="AA8" s="30">
        <v>3.9557299373688176E-7</v>
      </c>
      <c r="AB8" s="43">
        <v>-3.7500000000000001E-4</v>
      </c>
      <c r="AC8" s="43">
        <v>-3.4600000000000001E-4</v>
      </c>
      <c r="AD8" s="43">
        <v>-2.0000000000000002E-5</v>
      </c>
      <c r="AF8" s="30">
        <v>3.9557299373688176E-7</v>
      </c>
      <c r="AG8" s="43">
        <v>-2.24E-4</v>
      </c>
      <c r="AH8" s="43">
        <v>-2.24E-4</v>
      </c>
      <c r="AI8" s="43">
        <v>-2.22E-4</v>
      </c>
      <c r="AJ8" s="30">
        <v>3.9557299373688176E-7</v>
      </c>
      <c r="AK8" s="43">
        <v>-2.24E-4</v>
      </c>
      <c r="AL8" s="43">
        <v>-2.24E-4</v>
      </c>
      <c r="AM8" s="43">
        <v>-2.22E-4</v>
      </c>
      <c r="AO8" s="30">
        <v>3.9557299373688176E-7</v>
      </c>
      <c r="AP8" s="43">
        <v>-2.23E-4</v>
      </c>
      <c r="AQ8" s="43">
        <v>-2.23E-4</v>
      </c>
      <c r="AR8" s="43">
        <v>-2.1800000000000001E-4</v>
      </c>
      <c r="AS8" s="30">
        <v>3.9557299373688176E-7</v>
      </c>
      <c r="AT8" s="43">
        <v>-2.23E-4</v>
      </c>
      <c r="AU8" s="43">
        <v>-2.23E-4</v>
      </c>
      <c r="AV8" s="43">
        <v>-2.1800000000000001E-4</v>
      </c>
      <c r="AX8" s="30">
        <v>3.9557299373688176E-7</v>
      </c>
      <c r="AY8" s="43">
        <v>-2.24E-4</v>
      </c>
      <c r="AZ8" s="43">
        <v>-2.24E-4</v>
      </c>
      <c r="BA8" s="43">
        <v>-2.22E-4</v>
      </c>
      <c r="BB8" s="30">
        <v>3.9557299373688176E-7</v>
      </c>
      <c r="BC8" s="43">
        <v>-2.24E-4</v>
      </c>
      <c r="BD8" s="43">
        <v>-2.24E-4</v>
      </c>
      <c r="BE8" s="43">
        <v>-2.22E-4</v>
      </c>
      <c r="BG8" s="30">
        <v>3.9557299373688176E-7</v>
      </c>
      <c r="BH8" s="43">
        <v>-2.23E-4</v>
      </c>
      <c r="BI8" s="43">
        <v>-2.23E-4</v>
      </c>
      <c r="BJ8" s="43">
        <v>-2.1800000000000001E-4</v>
      </c>
      <c r="BK8" s="30">
        <v>3.9557299373688176E-7</v>
      </c>
      <c r="BL8" s="43">
        <v>-2.23E-4</v>
      </c>
      <c r="BM8" s="43">
        <v>-2.23E-4</v>
      </c>
      <c r="BN8" s="43">
        <v>-2.1800000000000001E-4</v>
      </c>
      <c r="BP8" s="30">
        <v>3.9557299373688176E-7</v>
      </c>
      <c r="BQ8" s="43">
        <v>-1.84E-4</v>
      </c>
      <c r="BR8" s="43">
        <v>-1.76E-4</v>
      </c>
      <c r="BS8" s="43">
        <v>-9.6000000000000002E-5</v>
      </c>
      <c r="BT8" s="30">
        <v>3.9557299373688176E-7</v>
      </c>
      <c r="BU8" s="43">
        <v>-1.84E-4</v>
      </c>
      <c r="BV8" s="43">
        <v>-1.76E-4</v>
      </c>
      <c r="BW8" s="43">
        <v>-9.6000000000000002E-5</v>
      </c>
      <c r="BY8" s="30">
        <v>3.9557299373688176E-7</v>
      </c>
      <c r="BZ8" s="43">
        <v>-2.1900000000000001E-4</v>
      </c>
      <c r="CA8" s="43">
        <v>-2.05E-4</v>
      </c>
      <c r="CB8" s="43">
        <v>-6.2000000000000003E-5</v>
      </c>
      <c r="CC8" s="30">
        <v>3.9557299373688176E-7</v>
      </c>
      <c r="CD8" s="43">
        <v>-2.1900000000000001E-4</v>
      </c>
      <c r="CE8" s="43">
        <v>-2.05E-4</v>
      </c>
      <c r="CF8" s="43">
        <v>-6.2000000000000003E-5</v>
      </c>
      <c r="CH8" s="30">
        <v>3.9557299373688176E-7</v>
      </c>
      <c r="CI8" s="43">
        <v>-2.2499999999999999E-4</v>
      </c>
      <c r="CJ8" s="43">
        <v>-2.2499999999999999E-4</v>
      </c>
      <c r="CK8" s="43">
        <v>-2.23E-4</v>
      </c>
      <c r="CL8" s="30">
        <v>3.9557299373688176E-7</v>
      </c>
      <c r="CM8" s="43">
        <v>-2.2499999999999999E-4</v>
      </c>
      <c r="CN8" s="43">
        <v>-2.2499999999999999E-4</v>
      </c>
      <c r="CO8" s="43">
        <v>-2.23E-4</v>
      </c>
      <c r="CQ8" s="30">
        <v>3.9557299373688176E-7</v>
      </c>
      <c r="CR8" s="43">
        <v>-2.24E-4</v>
      </c>
      <c r="CS8" s="43">
        <v>-2.24E-4</v>
      </c>
      <c r="CT8" s="43">
        <v>-2.1900000000000001E-4</v>
      </c>
      <c r="CU8" s="30">
        <v>3.9557299373688176E-7</v>
      </c>
      <c r="CV8" s="43">
        <v>-2.24E-4</v>
      </c>
      <c r="CW8" s="43">
        <v>-2.24E-4</v>
      </c>
      <c r="CX8" s="43">
        <v>-2.1900000000000001E-4</v>
      </c>
    </row>
    <row r="9" spans="2:103" x14ac:dyDescent="0.25">
      <c r="B9" s="76">
        <v>5</v>
      </c>
      <c r="C9" s="76"/>
      <c r="D9" s="76" t="s">
        <v>916</v>
      </c>
      <c r="E9" s="76"/>
      <c r="F9" s="76" t="s">
        <v>64</v>
      </c>
      <c r="G9" s="76"/>
      <c r="H9" s="2">
        <v>4.1771230572993701E-2</v>
      </c>
      <c r="I9" s="1">
        <v>-2.5000000000000001E-3</v>
      </c>
      <c r="J9" s="2">
        <v>0.2292713866768068</v>
      </c>
      <c r="K9" s="1"/>
      <c r="N9" s="30">
        <v>6.9657615632707029E-4</v>
      </c>
      <c r="O9" s="43">
        <v>-2.9700000000000001E-4</v>
      </c>
      <c r="P9" s="43">
        <v>-2.7999999999999998E-4</v>
      </c>
      <c r="Q9" s="43">
        <v>-8.7999999999999998E-5</v>
      </c>
      <c r="R9" s="30">
        <v>8.358122729937369E-4</v>
      </c>
      <c r="S9" s="43">
        <v>-2.9599999999999998E-4</v>
      </c>
      <c r="T9" s="43">
        <v>-2.7900000000000001E-4</v>
      </c>
      <c r="U9" s="43">
        <v>-8.8999999999999995E-5</v>
      </c>
      <c r="W9" s="30">
        <v>6.9657615632707029E-4</v>
      </c>
      <c r="X9" s="43">
        <v>-3.7500000000000001E-4</v>
      </c>
      <c r="Y9" s="43">
        <v>-3.4600000000000001E-4</v>
      </c>
      <c r="Z9" s="43">
        <v>-2.0000000000000002E-5</v>
      </c>
      <c r="AA9" s="30">
        <v>8.358122729937369E-4</v>
      </c>
      <c r="AB9" s="43">
        <v>-3.7500000000000001E-4</v>
      </c>
      <c r="AC9" s="43">
        <v>-3.4600000000000001E-4</v>
      </c>
      <c r="AD9" s="43">
        <v>-1.9000000000000001E-5</v>
      </c>
      <c r="AF9" s="30">
        <v>6.9657615632707029E-4</v>
      </c>
      <c r="AG9" s="43">
        <v>-2.2699999999999999E-4</v>
      </c>
      <c r="AH9" s="43">
        <v>-2.2599999999999999E-4</v>
      </c>
      <c r="AI9" s="43">
        <v>-2.2000000000000001E-4</v>
      </c>
      <c r="AJ9" s="30">
        <v>8.358122729937369E-4</v>
      </c>
      <c r="AK9" s="43">
        <v>-2.2699999999999999E-4</v>
      </c>
      <c r="AL9" s="43">
        <v>-2.2699999999999999E-4</v>
      </c>
      <c r="AM9" s="43">
        <v>-2.1900000000000001E-4</v>
      </c>
      <c r="AO9" s="30">
        <v>6.9657615632707029E-4</v>
      </c>
      <c r="AP9" s="43">
        <v>-2.23E-4</v>
      </c>
      <c r="AQ9" s="43">
        <v>-2.23E-4</v>
      </c>
      <c r="AR9" s="43">
        <v>-2.1800000000000001E-4</v>
      </c>
      <c r="AS9" s="30">
        <v>8.358122729937369E-4</v>
      </c>
      <c r="AT9" s="43">
        <v>-2.24E-4</v>
      </c>
      <c r="AU9" s="43">
        <v>-2.23E-4</v>
      </c>
      <c r="AV9" s="43">
        <v>-2.1800000000000001E-4</v>
      </c>
      <c r="AX9" s="30">
        <v>6.9657615632707029E-4</v>
      </c>
      <c r="AY9" s="43">
        <v>-2.2800000000000001E-4</v>
      </c>
      <c r="AZ9" s="43">
        <v>-2.2699999999999999E-4</v>
      </c>
      <c r="BA9" s="43">
        <v>-2.1800000000000001E-4</v>
      </c>
      <c r="BB9" s="30">
        <v>8.358122729937369E-4</v>
      </c>
      <c r="BC9" s="43">
        <v>-2.2900000000000001E-4</v>
      </c>
      <c r="BD9" s="43">
        <v>-2.2800000000000001E-4</v>
      </c>
      <c r="BE9" s="43">
        <v>-2.1800000000000001E-4</v>
      </c>
      <c r="BG9" s="30">
        <v>6.9657615632707029E-4</v>
      </c>
      <c r="BH9" s="43">
        <v>-2.23E-4</v>
      </c>
      <c r="BI9" s="43">
        <v>-2.23E-4</v>
      </c>
      <c r="BJ9" s="43">
        <v>-2.1800000000000001E-4</v>
      </c>
      <c r="BK9" s="30">
        <v>8.358122729937369E-4</v>
      </c>
      <c r="BL9" s="43">
        <v>-2.23E-4</v>
      </c>
      <c r="BM9" s="43">
        <v>-2.23E-4</v>
      </c>
      <c r="BN9" s="43">
        <v>-2.1800000000000001E-4</v>
      </c>
      <c r="BP9" s="30">
        <v>6.9657615632707029E-4</v>
      </c>
      <c r="BQ9" s="43">
        <v>-1.8799999999999999E-4</v>
      </c>
      <c r="BR9" s="43">
        <v>-1.7899999999999999E-4</v>
      </c>
      <c r="BS9" s="43">
        <v>-9.2999999999999997E-5</v>
      </c>
      <c r="BT9" s="30">
        <v>8.358122729937369E-4</v>
      </c>
      <c r="BU9" s="43">
        <v>-1.8799999999999999E-4</v>
      </c>
      <c r="BV9" s="43">
        <v>-1.8000000000000001E-4</v>
      </c>
      <c r="BW9" s="43">
        <v>-9.2999999999999997E-5</v>
      </c>
      <c r="BY9" s="30">
        <v>6.9657615632707029E-4</v>
      </c>
      <c r="BZ9" s="43">
        <v>-2.1900000000000001E-4</v>
      </c>
      <c r="CA9" s="43">
        <v>-2.05E-4</v>
      </c>
      <c r="CB9" s="43">
        <v>-6.3E-5</v>
      </c>
      <c r="CC9" s="30">
        <v>8.358122729937369E-4</v>
      </c>
      <c r="CD9" s="43">
        <v>-2.1900000000000001E-4</v>
      </c>
      <c r="CE9" s="43">
        <v>-2.05E-4</v>
      </c>
      <c r="CF9" s="43">
        <v>-6.3E-5</v>
      </c>
      <c r="CH9" s="30">
        <v>6.9657615632707029E-4</v>
      </c>
      <c r="CI9" s="43">
        <v>-2.32E-4</v>
      </c>
      <c r="CJ9" s="43">
        <v>-2.32E-4</v>
      </c>
      <c r="CK9" s="43">
        <v>-2.1499999999999999E-4</v>
      </c>
      <c r="CL9" s="30">
        <v>8.358122729937369E-4</v>
      </c>
      <c r="CM9" s="43">
        <v>-2.34E-4</v>
      </c>
      <c r="CN9" s="43">
        <v>-2.34E-4</v>
      </c>
      <c r="CO9" s="43">
        <v>-2.14E-4</v>
      </c>
      <c r="CQ9" s="30">
        <v>6.9657615632707029E-4</v>
      </c>
      <c r="CR9" s="43">
        <v>-2.2599999999999999E-4</v>
      </c>
      <c r="CS9" s="43">
        <v>-2.2499999999999999E-4</v>
      </c>
      <c r="CT9" s="43">
        <v>-2.1800000000000001E-4</v>
      </c>
      <c r="CU9" s="30">
        <v>8.358122729937369E-4</v>
      </c>
      <c r="CV9" s="43">
        <v>-2.2599999999999999E-4</v>
      </c>
      <c r="CW9" s="43">
        <v>-2.2599999999999999E-4</v>
      </c>
      <c r="CX9" s="43">
        <v>-2.1699999999999999E-4</v>
      </c>
    </row>
    <row r="10" spans="2:103" x14ac:dyDescent="0.25">
      <c r="B10" s="76">
        <v>8</v>
      </c>
      <c r="C10" s="76"/>
      <c r="D10" s="76"/>
      <c r="E10" s="76"/>
      <c r="H10" s="71" t="s">
        <v>85</v>
      </c>
      <c r="I10" s="71"/>
      <c r="J10" s="71" t="s">
        <v>85</v>
      </c>
      <c r="K10" s="71"/>
      <c r="N10" s="30">
        <v>1.3927567396604034E-3</v>
      </c>
      <c r="O10" s="43">
        <v>-2.9300000000000002E-4</v>
      </c>
      <c r="P10" s="43">
        <v>-2.7700000000000001E-4</v>
      </c>
      <c r="Q10" s="43">
        <v>-9.1000000000000003E-5</v>
      </c>
      <c r="R10" s="30">
        <v>1.6712289729937369E-3</v>
      </c>
      <c r="S10" s="43">
        <v>-2.92E-4</v>
      </c>
      <c r="T10" s="43">
        <v>-2.7500000000000002E-4</v>
      </c>
      <c r="U10" s="43">
        <v>-9.2E-5</v>
      </c>
      <c r="W10" s="30">
        <v>1.3927567396604034E-3</v>
      </c>
      <c r="X10" s="43">
        <v>-3.7599999999999998E-4</v>
      </c>
      <c r="Y10" s="43">
        <v>-3.4600000000000001E-4</v>
      </c>
      <c r="Z10" s="43">
        <v>-1.9000000000000001E-5</v>
      </c>
      <c r="AA10" s="30">
        <v>1.6712289729937369E-3</v>
      </c>
      <c r="AB10" s="43">
        <v>-3.7599999999999998E-4</v>
      </c>
      <c r="AC10" s="43">
        <v>-3.4600000000000001E-4</v>
      </c>
      <c r="AD10" s="43">
        <v>-1.8E-5</v>
      </c>
      <c r="AF10" s="30">
        <v>1.3927567396604034E-3</v>
      </c>
      <c r="AG10" s="43">
        <v>-2.3000000000000001E-4</v>
      </c>
      <c r="AH10" s="43">
        <v>-2.2900000000000001E-4</v>
      </c>
      <c r="AI10" s="43">
        <v>-2.1699999999999999E-4</v>
      </c>
      <c r="AJ10" s="30">
        <v>1.6712289729937369E-3</v>
      </c>
      <c r="AK10" s="43">
        <v>-2.32E-4</v>
      </c>
      <c r="AL10" s="43">
        <v>-2.3000000000000001E-4</v>
      </c>
      <c r="AM10" s="43">
        <v>-2.1499999999999999E-4</v>
      </c>
      <c r="AO10" s="30">
        <v>1.3927567396604034E-3</v>
      </c>
      <c r="AP10" s="43">
        <v>-2.24E-4</v>
      </c>
      <c r="AQ10" s="43">
        <v>-2.23E-4</v>
      </c>
      <c r="AR10" s="43">
        <v>-2.1800000000000001E-4</v>
      </c>
      <c r="AS10" s="30">
        <v>1.6712289729937369E-3</v>
      </c>
      <c r="AT10" s="43">
        <v>-2.24E-4</v>
      </c>
      <c r="AU10" s="43">
        <v>-2.24E-4</v>
      </c>
      <c r="AV10" s="43">
        <v>-2.1800000000000001E-4</v>
      </c>
      <c r="AX10" s="30">
        <v>1.3927567396604034E-3</v>
      </c>
      <c r="AY10" s="43">
        <v>-2.32E-4</v>
      </c>
      <c r="AZ10" s="43">
        <v>-2.3000000000000001E-4</v>
      </c>
      <c r="BA10" s="43">
        <v>-2.1599999999999999E-4</v>
      </c>
      <c r="BB10" s="30">
        <v>1.6712289729937369E-3</v>
      </c>
      <c r="BC10" s="43">
        <v>-2.33E-4</v>
      </c>
      <c r="BD10" s="43">
        <v>-2.32E-4</v>
      </c>
      <c r="BE10" s="43">
        <v>-2.14E-4</v>
      </c>
      <c r="BG10" s="30">
        <v>1.3927567396604034E-3</v>
      </c>
      <c r="BH10" s="43">
        <v>-2.23E-4</v>
      </c>
      <c r="BI10" s="43">
        <v>-2.23E-4</v>
      </c>
      <c r="BJ10" s="43">
        <v>-2.1900000000000001E-4</v>
      </c>
      <c r="BK10" s="30">
        <v>1.6712289729937369E-3</v>
      </c>
      <c r="BL10" s="43">
        <v>-2.23E-4</v>
      </c>
      <c r="BM10" s="43">
        <v>-2.23E-4</v>
      </c>
      <c r="BN10" s="43">
        <v>-2.1900000000000001E-4</v>
      </c>
      <c r="BP10" s="30">
        <v>1.3927567396604034E-3</v>
      </c>
      <c r="BQ10" s="43">
        <v>-1.9100000000000001E-4</v>
      </c>
      <c r="BR10" s="43">
        <v>-1.8200000000000001E-4</v>
      </c>
      <c r="BS10" s="43">
        <v>-9.1000000000000003E-5</v>
      </c>
      <c r="BT10" s="30">
        <v>1.6712289729937369E-3</v>
      </c>
      <c r="BU10" s="43">
        <v>-1.93E-4</v>
      </c>
      <c r="BV10" s="43">
        <v>-1.83E-4</v>
      </c>
      <c r="BW10" s="43">
        <v>-9.0000000000000006E-5</v>
      </c>
      <c r="BY10" s="30">
        <v>1.3927567396604034E-3</v>
      </c>
      <c r="BZ10" s="43">
        <v>-2.1800000000000001E-4</v>
      </c>
      <c r="CA10" s="43">
        <v>-2.04E-4</v>
      </c>
      <c r="CB10" s="43">
        <v>-6.3999999999999997E-5</v>
      </c>
      <c r="CC10" s="30">
        <v>1.6712289729937369E-3</v>
      </c>
      <c r="CD10" s="43">
        <v>-2.1800000000000001E-4</v>
      </c>
      <c r="CE10" s="43">
        <v>-2.04E-4</v>
      </c>
      <c r="CF10" s="43">
        <v>-6.3999999999999997E-5</v>
      </c>
      <c r="CH10" s="30">
        <v>1.3927567396604034E-3</v>
      </c>
      <c r="CI10" s="43">
        <v>-2.4000000000000001E-4</v>
      </c>
      <c r="CJ10" s="43">
        <v>-2.4000000000000001E-4</v>
      </c>
      <c r="CK10" s="43">
        <v>-2.0799999999999999E-4</v>
      </c>
      <c r="CL10" s="30">
        <v>1.6712289729937369E-3</v>
      </c>
      <c r="CM10" s="43">
        <v>-2.42E-4</v>
      </c>
      <c r="CN10" s="43">
        <v>-2.42E-4</v>
      </c>
      <c r="CO10" s="43">
        <v>-2.0599999999999999E-4</v>
      </c>
      <c r="CQ10" s="30">
        <v>1.3927567396604034E-3</v>
      </c>
      <c r="CR10" s="43">
        <v>-2.2800000000000001E-4</v>
      </c>
      <c r="CS10" s="43">
        <v>-2.2800000000000001E-4</v>
      </c>
      <c r="CT10" s="43">
        <v>-2.1499999999999999E-4</v>
      </c>
      <c r="CU10" s="30">
        <v>1.6712289729937369E-3</v>
      </c>
      <c r="CV10" s="43">
        <v>-2.2900000000000001E-4</v>
      </c>
      <c r="CW10" s="43">
        <v>-2.2900000000000001E-4</v>
      </c>
      <c r="CX10" s="43">
        <v>-2.14E-4</v>
      </c>
    </row>
    <row r="11" spans="2:103" x14ac:dyDescent="0.25">
      <c r="B11" s="76">
        <v>11</v>
      </c>
      <c r="C11" s="76"/>
      <c r="H11" s="2">
        <v>0</v>
      </c>
      <c r="I11" s="1">
        <v>-4.033204516914626E-3</v>
      </c>
      <c r="J11" s="2">
        <v>0</v>
      </c>
      <c r="K11" s="1"/>
      <c r="N11" s="30">
        <v>2.0889373229937367E-3</v>
      </c>
      <c r="O11" s="43">
        <v>-2.8899999999999998E-4</v>
      </c>
      <c r="P11" s="43">
        <v>-2.7300000000000002E-4</v>
      </c>
      <c r="Q11" s="43">
        <v>-9.2999999999999997E-5</v>
      </c>
      <c r="R11" s="30">
        <v>2.5066456729937372E-3</v>
      </c>
      <c r="S11" s="43">
        <v>-2.8699999999999998E-4</v>
      </c>
      <c r="T11" s="43">
        <v>-2.7099999999999997E-4</v>
      </c>
      <c r="U11" s="43">
        <v>-9.5000000000000005E-5</v>
      </c>
      <c r="W11" s="30">
        <v>2.0889373229937367E-3</v>
      </c>
      <c r="X11" s="43">
        <v>-3.7599999999999998E-4</v>
      </c>
      <c r="Y11" s="43">
        <v>-3.4600000000000001E-4</v>
      </c>
      <c r="Z11" s="43">
        <v>-1.8E-5</v>
      </c>
      <c r="AA11" s="30">
        <v>2.5066456729937372E-3</v>
      </c>
      <c r="AB11" s="43">
        <v>-3.7599999999999998E-4</v>
      </c>
      <c r="AC11" s="43">
        <v>-3.4600000000000001E-4</v>
      </c>
      <c r="AD11" s="43">
        <v>-1.8E-5</v>
      </c>
      <c r="AF11" s="30">
        <v>2.0889373229937367E-3</v>
      </c>
      <c r="AG11" s="43">
        <v>-2.34E-4</v>
      </c>
      <c r="AH11" s="43">
        <v>-2.32E-4</v>
      </c>
      <c r="AI11" s="43">
        <v>-2.14E-4</v>
      </c>
      <c r="AJ11" s="30">
        <v>2.5066456729937372E-3</v>
      </c>
      <c r="AK11" s="43">
        <v>-2.3599999999999999E-4</v>
      </c>
      <c r="AL11" s="43">
        <v>-2.34E-4</v>
      </c>
      <c r="AM11" s="43">
        <v>-2.12E-4</v>
      </c>
      <c r="AO11" s="30">
        <v>2.0889373229937367E-3</v>
      </c>
      <c r="AP11" s="43">
        <v>-2.24E-4</v>
      </c>
      <c r="AQ11" s="43">
        <v>-2.24E-4</v>
      </c>
      <c r="AR11" s="43">
        <v>-2.1800000000000001E-4</v>
      </c>
      <c r="AS11" s="30">
        <v>2.5066456729937372E-3</v>
      </c>
      <c r="AT11" s="43">
        <v>-2.24E-4</v>
      </c>
      <c r="AU11" s="43">
        <v>-2.24E-4</v>
      </c>
      <c r="AV11" s="43">
        <v>-2.1699999999999999E-4</v>
      </c>
      <c r="AX11" s="30">
        <v>2.0889373229937367E-3</v>
      </c>
      <c r="AY11" s="43">
        <v>-2.3499999999999999E-4</v>
      </c>
      <c r="AZ11" s="43">
        <v>-2.34E-4</v>
      </c>
      <c r="BA11" s="43">
        <v>-2.13E-4</v>
      </c>
      <c r="BB11" s="30">
        <v>2.5066456729937372E-3</v>
      </c>
      <c r="BC11" s="43">
        <v>-2.3800000000000001E-4</v>
      </c>
      <c r="BD11" s="43">
        <v>-2.3499999999999999E-4</v>
      </c>
      <c r="BE11" s="43">
        <v>-2.1100000000000001E-4</v>
      </c>
      <c r="BG11" s="30">
        <v>2.0889373229937367E-3</v>
      </c>
      <c r="BH11" s="43">
        <v>-2.23E-4</v>
      </c>
      <c r="BI11" s="43">
        <v>-2.23E-4</v>
      </c>
      <c r="BJ11" s="43">
        <v>-2.1900000000000001E-4</v>
      </c>
      <c r="BK11" s="30">
        <v>2.5066456729937372E-3</v>
      </c>
      <c r="BL11" s="43">
        <v>-2.22E-4</v>
      </c>
      <c r="BM11" s="43">
        <v>-2.22E-4</v>
      </c>
      <c r="BN11" s="43">
        <v>-2.1900000000000001E-4</v>
      </c>
      <c r="BP11" s="30">
        <v>2.0889373229937367E-3</v>
      </c>
      <c r="BQ11" s="43">
        <v>-1.95E-4</v>
      </c>
      <c r="BR11" s="43">
        <v>-1.85E-4</v>
      </c>
      <c r="BS11" s="43">
        <v>-8.7999999999999998E-5</v>
      </c>
      <c r="BT11" s="30">
        <v>2.5066456729937372E-3</v>
      </c>
      <c r="BU11" s="43">
        <v>-1.9699999999999999E-4</v>
      </c>
      <c r="BV11" s="43">
        <v>-1.8699999999999999E-4</v>
      </c>
      <c r="BW11" s="43">
        <v>-8.7000000000000001E-5</v>
      </c>
      <c r="BY11" s="30">
        <v>2.0889373229937367E-3</v>
      </c>
      <c r="BZ11" s="43">
        <v>-2.1800000000000001E-4</v>
      </c>
      <c r="CA11" s="43">
        <v>-2.04E-4</v>
      </c>
      <c r="CB11" s="43">
        <v>-6.4999999999999994E-5</v>
      </c>
      <c r="CC11" s="30">
        <v>2.5066456729937372E-3</v>
      </c>
      <c r="CD11" s="43">
        <v>-2.1800000000000001E-4</v>
      </c>
      <c r="CE11" s="43">
        <v>-2.04E-4</v>
      </c>
      <c r="CF11" s="43">
        <v>-6.4999999999999994E-5</v>
      </c>
      <c r="CH11" s="30">
        <v>2.0889373229937367E-3</v>
      </c>
      <c r="CI11" s="43">
        <v>-2.4699999999999999E-4</v>
      </c>
      <c r="CJ11" s="43">
        <v>-2.4699999999999999E-4</v>
      </c>
      <c r="CK11" s="43">
        <v>-2.0100000000000001E-4</v>
      </c>
      <c r="CL11" s="30">
        <v>2.5066456729937372E-3</v>
      </c>
      <c r="CM11" s="43">
        <v>-2.5099999999999998E-4</v>
      </c>
      <c r="CN11" s="43">
        <v>-2.5099999999999998E-4</v>
      </c>
      <c r="CO11" s="43">
        <v>-1.9699999999999999E-4</v>
      </c>
      <c r="CQ11" s="30">
        <v>2.0889373229937367E-3</v>
      </c>
      <c r="CR11" s="43">
        <v>-2.31E-4</v>
      </c>
      <c r="CS11" s="43">
        <v>-2.31E-4</v>
      </c>
      <c r="CT11" s="43">
        <v>-2.13E-4</v>
      </c>
      <c r="CU11" s="30">
        <v>2.5066456729937372E-3</v>
      </c>
      <c r="CV11" s="43">
        <v>-2.33E-4</v>
      </c>
      <c r="CW11" s="43">
        <v>-2.33E-4</v>
      </c>
      <c r="CX11" s="43">
        <v>-2.1100000000000001E-4</v>
      </c>
    </row>
    <row r="12" spans="2:103" x14ac:dyDescent="0.25">
      <c r="B12" s="76">
        <v>21</v>
      </c>
      <c r="C12" s="76"/>
      <c r="H12" s="2">
        <v>4.1771230572993701E-2</v>
      </c>
      <c r="I12" s="1">
        <v>-4.033204516914626E-3</v>
      </c>
      <c r="J12" s="2">
        <v>0.2292713866768068</v>
      </c>
      <c r="K12" s="1"/>
      <c r="N12" s="30">
        <v>2.78511790632707E-3</v>
      </c>
      <c r="O12" s="43">
        <v>-2.8600000000000001E-4</v>
      </c>
      <c r="P12" s="43">
        <v>-2.7E-4</v>
      </c>
      <c r="Q12" s="43">
        <v>-9.6000000000000002E-5</v>
      </c>
      <c r="R12" s="30">
        <v>3.3420623729937368E-3</v>
      </c>
      <c r="S12" s="43">
        <v>-2.8299999999999999E-4</v>
      </c>
      <c r="T12" s="43">
        <v>-2.6699999999999998E-4</v>
      </c>
      <c r="U12" s="43">
        <v>-9.7999999999999997E-5</v>
      </c>
      <c r="W12" s="30">
        <v>2.78511790632707E-3</v>
      </c>
      <c r="X12" s="43">
        <v>-3.7599999999999998E-4</v>
      </c>
      <c r="Y12" s="43">
        <v>-3.4600000000000001E-4</v>
      </c>
      <c r="Z12" s="43">
        <v>-1.7E-5</v>
      </c>
      <c r="AA12" s="30">
        <v>3.3420623729937368E-3</v>
      </c>
      <c r="AB12" s="43">
        <v>-3.7599999999999998E-4</v>
      </c>
      <c r="AC12" s="43">
        <v>-3.4600000000000001E-4</v>
      </c>
      <c r="AD12" s="43">
        <v>-1.7E-5</v>
      </c>
      <c r="AF12" s="30">
        <v>2.78511790632707E-3</v>
      </c>
      <c r="AG12" s="43">
        <v>-2.3800000000000001E-4</v>
      </c>
      <c r="AH12" s="43">
        <v>-2.3499999999999999E-4</v>
      </c>
      <c r="AI12" s="43">
        <v>-2.1100000000000001E-4</v>
      </c>
      <c r="AJ12" s="30">
        <v>3.3420623729937368E-3</v>
      </c>
      <c r="AK12" s="43">
        <v>-2.41E-4</v>
      </c>
      <c r="AL12" s="43">
        <v>-2.3800000000000001E-4</v>
      </c>
      <c r="AM12" s="43">
        <v>-2.0799999999999999E-4</v>
      </c>
      <c r="AO12" s="30">
        <v>2.78511790632707E-3</v>
      </c>
      <c r="AP12" s="43">
        <v>-2.24E-4</v>
      </c>
      <c r="AQ12" s="43">
        <v>-2.24E-4</v>
      </c>
      <c r="AR12" s="43">
        <v>-2.1699999999999999E-4</v>
      </c>
      <c r="AS12" s="30">
        <v>3.3420623729937368E-3</v>
      </c>
      <c r="AT12" s="43">
        <v>-2.24E-4</v>
      </c>
      <c r="AU12" s="43">
        <v>-2.24E-4</v>
      </c>
      <c r="AV12" s="43">
        <v>-2.1699999999999999E-4</v>
      </c>
      <c r="AX12" s="30">
        <v>2.78511790632707E-3</v>
      </c>
      <c r="AY12" s="43">
        <v>-2.3900000000000001E-4</v>
      </c>
      <c r="AZ12" s="43">
        <v>-2.3699999999999999E-4</v>
      </c>
      <c r="BA12" s="43">
        <v>-2.1000000000000001E-4</v>
      </c>
      <c r="BB12" s="30">
        <v>3.3420623729937368E-3</v>
      </c>
      <c r="BC12" s="43">
        <v>-2.42E-4</v>
      </c>
      <c r="BD12" s="43">
        <v>-2.3900000000000001E-4</v>
      </c>
      <c r="BE12" s="43">
        <v>-2.0699999999999999E-4</v>
      </c>
      <c r="BG12" s="30">
        <v>2.78511790632707E-3</v>
      </c>
      <c r="BH12" s="43">
        <v>-2.22E-4</v>
      </c>
      <c r="BI12" s="43">
        <v>-2.22E-4</v>
      </c>
      <c r="BJ12" s="43">
        <v>-2.1900000000000001E-4</v>
      </c>
      <c r="BK12" s="30">
        <v>3.3420623729937368E-3</v>
      </c>
      <c r="BL12" s="43">
        <v>-2.22E-4</v>
      </c>
      <c r="BM12" s="43">
        <v>-2.22E-4</v>
      </c>
      <c r="BN12" s="43">
        <v>-2.1900000000000001E-4</v>
      </c>
      <c r="BP12" s="30">
        <v>2.78511790632707E-3</v>
      </c>
      <c r="BQ12" s="43">
        <v>-1.9799999999999999E-4</v>
      </c>
      <c r="BR12" s="43">
        <v>-1.8799999999999999E-4</v>
      </c>
      <c r="BS12" s="43">
        <v>-8.6000000000000003E-5</v>
      </c>
      <c r="BT12" s="30">
        <v>3.3420623729937368E-3</v>
      </c>
      <c r="BU12" s="43">
        <v>-2.0100000000000001E-4</v>
      </c>
      <c r="BV12" s="43">
        <v>-1.9000000000000001E-4</v>
      </c>
      <c r="BW12" s="43">
        <v>-8.3999999999999995E-5</v>
      </c>
      <c r="BY12" s="30">
        <v>2.78511790632707E-3</v>
      </c>
      <c r="BZ12" s="43">
        <v>-2.1699999999999999E-4</v>
      </c>
      <c r="CA12" s="43">
        <v>-2.04E-4</v>
      </c>
      <c r="CB12" s="43">
        <v>-6.6000000000000005E-5</v>
      </c>
      <c r="CC12" s="30">
        <v>3.3420623729937368E-3</v>
      </c>
      <c r="CD12" s="43">
        <v>-2.1699999999999999E-4</v>
      </c>
      <c r="CE12" s="43">
        <v>-2.03E-4</v>
      </c>
      <c r="CF12" s="43">
        <v>-6.6000000000000005E-5</v>
      </c>
      <c r="CH12" s="30">
        <v>2.78511790632707E-3</v>
      </c>
      <c r="CI12" s="43">
        <v>-2.5399999999999999E-4</v>
      </c>
      <c r="CJ12" s="43">
        <v>-2.5399999999999999E-4</v>
      </c>
      <c r="CK12" s="43">
        <v>-1.94E-4</v>
      </c>
      <c r="CL12" s="30">
        <v>3.3420623729937368E-3</v>
      </c>
      <c r="CM12" s="43">
        <v>-2.5999999999999998E-4</v>
      </c>
      <c r="CN12" s="43">
        <v>-2.5999999999999998E-4</v>
      </c>
      <c r="CO12" s="43">
        <v>-1.8900000000000001E-4</v>
      </c>
      <c r="CQ12" s="30">
        <v>2.78511790632707E-3</v>
      </c>
      <c r="CR12" s="43">
        <v>-2.34E-4</v>
      </c>
      <c r="CS12" s="43">
        <v>-2.34E-4</v>
      </c>
      <c r="CT12" s="43">
        <v>-2.1000000000000001E-4</v>
      </c>
      <c r="CU12" s="30">
        <v>3.3420623729937368E-3</v>
      </c>
      <c r="CV12" s="43">
        <v>-2.3599999999999999E-4</v>
      </c>
      <c r="CW12" s="43">
        <v>-2.3599999999999999E-4</v>
      </c>
      <c r="CX12" s="43">
        <v>-2.0799999999999999E-4</v>
      </c>
    </row>
    <row r="13" spans="2:103" x14ac:dyDescent="0.25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>
        <v>3.4812984896604032E-3</v>
      </c>
      <c r="O13" s="43">
        <v>-2.8200000000000002E-4</v>
      </c>
      <c r="P13" s="43">
        <v>-2.6699999999999998E-4</v>
      </c>
      <c r="Q13" s="43">
        <v>-9.7999999999999997E-5</v>
      </c>
      <c r="R13" s="30">
        <v>4.1774790729937365E-3</v>
      </c>
      <c r="S13" s="43">
        <v>-2.7799999999999998E-4</v>
      </c>
      <c r="T13" s="43">
        <v>-2.63E-4</v>
      </c>
      <c r="U13" s="43">
        <v>-1.01E-4</v>
      </c>
      <c r="W13" s="30">
        <v>3.4812984896604032E-3</v>
      </c>
      <c r="X13" s="43">
        <v>-3.7599999999999998E-4</v>
      </c>
      <c r="Y13" s="43">
        <v>-3.4600000000000001E-4</v>
      </c>
      <c r="Z13" s="43">
        <v>-1.7E-5</v>
      </c>
      <c r="AA13" s="30">
        <v>4.1774790729937365E-3</v>
      </c>
      <c r="AB13" s="43">
        <v>-3.7599999999999998E-4</v>
      </c>
      <c r="AC13" s="43">
        <v>-3.4600000000000001E-4</v>
      </c>
      <c r="AD13" s="43">
        <v>-1.5999999999999999E-5</v>
      </c>
      <c r="AF13" s="30">
        <v>3.4812984896604032E-3</v>
      </c>
      <c r="AG13" s="43">
        <v>-2.42E-4</v>
      </c>
      <c r="AH13" s="43">
        <v>-2.3900000000000001E-4</v>
      </c>
      <c r="AI13" s="43">
        <v>-2.0799999999999999E-4</v>
      </c>
      <c r="AJ13" s="30">
        <v>4.1774790729937365E-3</v>
      </c>
      <c r="AK13" s="43">
        <v>-2.4499999999999999E-4</v>
      </c>
      <c r="AL13" s="43">
        <v>-2.42E-4</v>
      </c>
      <c r="AM13" s="43">
        <v>-2.05E-4</v>
      </c>
      <c r="AO13" s="30">
        <v>3.4812984896604032E-3</v>
      </c>
      <c r="AP13" s="43">
        <v>-2.24E-4</v>
      </c>
      <c r="AQ13" s="43">
        <v>-2.24E-4</v>
      </c>
      <c r="AR13" s="43">
        <v>-2.1699999999999999E-4</v>
      </c>
      <c r="AS13" s="30">
        <v>4.1774790729937365E-3</v>
      </c>
      <c r="AT13" s="43">
        <v>-2.2499999999999999E-4</v>
      </c>
      <c r="AU13" s="43">
        <v>-2.24E-4</v>
      </c>
      <c r="AV13" s="43">
        <v>-2.1699999999999999E-4</v>
      </c>
      <c r="AX13" s="30">
        <v>3.4812984896604032E-3</v>
      </c>
      <c r="AY13" s="43">
        <v>-2.43E-4</v>
      </c>
      <c r="AZ13" s="43">
        <v>-2.4000000000000001E-4</v>
      </c>
      <c r="BA13" s="43">
        <v>-2.0699999999999999E-4</v>
      </c>
      <c r="BB13" s="30">
        <v>4.1774790729937365E-3</v>
      </c>
      <c r="BC13" s="43">
        <v>-2.4699999999999999E-4</v>
      </c>
      <c r="BD13" s="43">
        <v>-2.43E-4</v>
      </c>
      <c r="BE13" s="43">
        <v>-2.04E-4</v>
      </c>
      <c r="BG13" s="30">
        <v>3.4812984896604032E-3</v>
      </c>
      <c r="BH13" s="43">
        <v>-2.22E-4</v>
      </c>
      <c r="BI13" s="43">
        <v>-2.22E-4</v>
      </c>
      <c r="BJ13" s="43">
        <v>-2.1900000000000001E-4</v>
      </c>
      <c r="BK13" s="30">
        <v>4.1774790729937365E-3</v>
      </c>
      <c r="BL13" s="43">
        <v>-2.22E-4</v>
      </c>
      <c r="BM13" s="43">
        <v>-2.22E-4</v>
      </c>
      <c r="BN13" s="43">
        <v>-2.1900000000000001E-4</v>
      </c>
      <c r="BP13" s="30">
        <v>3.4812984896604032E-3</v>
      </c>
      <c r="BQ13" s="43">
        <v>-2.02E-4</v>
      </c>
      <c r="BR13" s="43">
        <v>-1.9100000000000001E-4</v>
      </c>
      <c r="BS13" s="43">
        <v>-8.2999999999999998E-5</v>
      </c>
      <c r="BT13" s="30">
        <v>4.1774790729937365E-3</v>
      </c>
      <c r="BU13" s="43">
        <v>-2.05E-4</v>
      </c>
      <c r="BV13" s="43">
        <v>-1.94E-4</v>
      </c>
      <c r="BW13" s="43">
        <v>-8.1000000000000004E-5</v>
      </c>
      <c r="BY13" s="30">
        <v>3.4812984896604032E-3</v>
      </c>
      <c r="BZ13" s="43">
        <v>-2.1699999999999999E-4</v>
      </c>
      <c r="CA13" s="43">
        <v>-2.03E-4</v>
      </c>
      <c r="CB13" s="43">
        <v>-6.7000000000000002E-5</v>
      </c>
      <c r="CC13" s="30">
        <v>4.1774790729937365E-3</v>
      </c>
      <c r="CD13" s="43">
        <v>-2.1599999999999999E-4</v>
      </c>
      <c r="CE13" s="43">
        <v>-2.03E-4</v>
      </c>
      <c r="CF13" s="43">
        <v>-6.7000000000000002E-5</v>
      </c>
      <c r="CH13" s="30">
        <v>3.4812984896604032E-3</v>
      </c>
      <c r="CI13" s="43">
        <v>-2.61E-4</v>
      </c>
      <c r="CJ13" s="43">
        <v>-2.61E-4</v>
      </c>
      <c r="CK13" s="43">
        <v>-1.8699999999999999E-4</v>
      </c>
      <c r="CL13" s="30">
        <v>4.1774790729937365E-3</v>
      </c>
      <c r="CM13" s="43">
        <v>-2.6800000000000001E-4</v>
      </c>
      <c r="CN13" s="43">
        <v>-2.6899999999999998E-4</v>
      </c>
      <c r="CO13" s="43">
        <v>-1.8000000000000001E-4</v>
      </c>
      <c r="CQ13" s="30">
        <v>3.4812984896604032E-3</v>
      </c>
      <c r="CR13" s="43">
        <v>-2.3699999999999999E-4</v>
      </c>
      <c r="CS13" s="43">
        <v>-2.3599999999999999E-4</v>
      </c>
      <c r="CT13" s="43">
        <v>-2.0699999999999999E-4</v>
      </c>
      <c r="CU13" s="30">
        <v>4.1774790729937365E-3</v>
      </c>
      <c r="CV13" s="43">
        <v>-2.3900000000000001E-4</v>
      </c>
      <c r="CW13" s="43">
        <v>-2.3900000000000001E-4</v>
      </c>
      <c r="CX13" s="43">
        <v>-2.04E-4</v>
      </c>
    </row>
    <row r="14" spans="2:103" x14ac:dyDescent="0.25">
      <c r="B14" s="76"/>
      <c r="C14" s="76"/>
      <c r="H14" s="2">
        <v>0</v>
      </c>
      <c r="I14" s="1">
        <v>-5.3776060225528347E-3</v>
      </c>
      <c r="J14" s="2">
        <v>0</v>
      </c>
      <c r="K14" s="1"/>
      <c r="N14" s="30">
        <v>4.1774790729937365E-3</v>
      </c>
      <c r="O14" s="43">
        <v>-2.7799999999999998E-4</v>
      </c>
      <c r="P14" s="43">
        <v>-2.63E-4</v>
      </c>
      <c r="Q14" s="43">
        <v>-1.01E-4</v>
      </c>
      <c r="R14" s="30">
        <v>5.0128957729937357E-3</v>
      </c>
      <c r="S14" s="43">
        <v>-2.7300000000000002E-4</v>
      </c>
      <c r="T14" s="43">
        <v>-2.5999999999999998E-4</v>
      </c>
      <c r="U14" s="43">
        <v>-1.0399999999999999E-4</v>
      </c>
      <c r="W14" s="30">
        <v>4.1774790729937365E-3</v>
      </c>
      <c r="X14" s="43">
        <v>-3.7599999999999998E-4</v>
      </c>
      <c r="Y14" s="43">
        <v>-3.4600000000000001E-4</v>
      </c>
      <c r="Z14" s="43">
        <v>-1.5999999999999999E-5</v>
      </c>
      <c r="AA14" s="30">
        <v>5.0128957729937357E-3</v>
      </c>
      <c r="AB14" s="43">
        <v>-3.7599999999999998E-4</v>
      </c>
      <c r="AC14" s="43">
        <v>-3.4600000000000001E-4</v>
      </c>
      <c r="AD14" s="43">
        <v>-1.5E-5</v>
      </c>
      <c r="AF14" s="30">
        <v>4.1774790729937365E-3</v>
      </c>
      <c r="AG14" s="43">
        <v>-2.4499999999999999E-4</v>
      </c>
      <c r="AH14" s="43">
        <v>-2.42E-4</v>
      </c>
      <c r="AI14" s="43">
        <v>-2.05E-4</v>
      </c>
      <c r="AJ14" s="30">
        <v>5.0128957729937357E-3</v>
      </c>
      <c r="AK14" s="43">
        <v>-2.5000000000000001E-4</v>
      </c>
      <c r="AL14" s="43">
        <v>-2.4499999999999999E-4</v>
      </c>
      <c r="AM14" s="43">
        <v>-2.0100000000000001E-4</v>
      </c>
      <c r="AO14" s="30">
        <v>4.1774790729937365E-3</v>
      </c>
      <c r="AP14" s="43">
        <v>-2.2499999999999999E-4</v>
      </c>
      <c r="AQ14" s="43">
        <v>-2.24E-4</v>
      </c>
      <c r="AR14" s="43">
        <v>-2.1699999999999999E-4</v>
      </c>
      <c r="AS14" s="30">
        <v>5.0128957729937357E-3</v>
      </c>
      <c r="AT14" s="43">
        <v>-2.2499999999999999E-4</v>
      </c>
      <c r="AU14" s="43">
        <v>-2.24E-4</v>
      </c>
      <c r="AV14" s="43">
        <v>-2.1699999999999999E-4</v>
      </c>
      <c r="AX14" s="30">
        <v>4.1774790729937365E-3</v>
      </c>
      <c r="AY14" s="43">
        <v>-2.4699999999999999E-4</v>
      </c>
      <c r="AZ14" s="43">
        <v>-2.43E-4</v>
      </c>
      <c r="BA14" s="43">
        <v>-2.04E-4</v>
      </c>
      <c r="BB14" s="30">
        <v>5.0128957729937357E-3</v>
      </c>
      <c r="BC14" s="43">
        <v>-2.5099999999999998E-4</v>
      </c>
      <c r="BD14" s="43">
        <v>-2.4699999999999999E-4</v>
      </c>
      <c r="BE14" s="43">
        <v>-2.0000000000000001E-4</v>
      </c>
      <c r="BG14" s="30">
        <v>4.1774790729937365E-3</v>
      </c>
      <c r="BH14" s="43">
        <v>-2.22E-4</v>
      </c>
      <c r="BI14" s="43">
        <v>-2.22E-4</v>
      </c>
      <c r="BJ14" s="43">
        <v>-2.1900000000000001E-4</v>
      </c>
      <c r="BK14" s="30">
        <v>5.0128957729937357E-3</v>
      </c>
      <c r="BL14" s="43">
        <v>-2.23E-4</v>
      </c>
      <c r="BM14" s="43">
        <v>-2.23E-4</v>
      </c>
      <c r="BN14" s="43">
        <v>-2.1900000000000001E-4</v>
      </c>
      <c r="BP14" s="30">
        <v>4.1774790729937365E-3</v>
      </c>
      <c r="BQ14" s="43">
        <v>-2.05E-4</v>
      </c>
      <c r="BR14" s="43">
        <v>-1.94E-4</v>
      </c>
      <c r="BS14" s="43">
        <v>-8.1000000000000004E-5</v>
      </c>
      <c r="BT14" s="30">
        <v>5.0128957729937357E-3</v>
      </c>
      <c r="BU14" s="43">
        <v>-2.0900000000000001E-4</v>
      </c>
      <c r="BV14" s="43">
        <v>-1.9699999999999999E-4</v>
      </c>
      <c r="BW14" s="43">
        <v>-7.7999999999999999E-5</v>
      </c>
      <c r="BY14" s="30">
        <v>4.1774790729937365E-3</v>
      </c>
      <c r="BZ14" s="43">
        <v>-2.1599999999999999E-4</v>
      </c>
      <c r="CA14" s="43">
        <v>-2.03E-4</v>
      </c>
      <c r="CB14" s="43">
        <v>-6.7000000000000002E-5</v>
      </c>
      <c r="CC14" s="30">
        <v>5.0128957729937357E-3</v>
      </c>
      <c r="CD14" s="43">
        <v>-2.1599999999999999E-4</v>
      </c>
      <c r="CE14" s="43">
        <v>-2.02E-4</v>
      </c>
      <c r="CF14" s="43">
        <v>-6.7999999999999999E-5</v>
      </c>
      <c r="CH14" s="30">
        <v>4.1774790729937365E-3</v>
      </c>
      <c r="CI14" s="43">
        <v>-2.6800000000000001E-4</v>
      </c>
      <c r="CJ14" s="43">
        <v>-2.6899999999999998E-4</v>
      </c>
      <c r="CK14" s="43">
        <v>-1.8000000000000001E-4</v>
      </c>
      <c r="CL14" s="30">
        <v>5.0128957729937357E-3</v>
      </c>
      <c r="CM14" s="43">
        <v>-2.7700000000000001E-4</v>
      </c>
      <c r="CN14" s="43">
        <v>-2.7700000000000001E-4</v>
      </c>
      <c r="CO14" s="43">
        <v>-1.7200000000000001E-4</v>
      </c>
      <c r="CQ14" s="30">
        <v>4.1774790729937365E-3</v>
      </c>
      <c r="CR14" s="43">
        <v>-2.3900000000000001E-4</v>
      </c>
      <c r="CS14" s="43">
        <v>-2.3900000000000001E-4</v>
      </c>
      <c r="CT14" s="43">
        <v>-2.04E-4</v>
      </c>
      <c r="CU14" s="30">
        <v>5.0128957729937357E-3</v>
      </c>
      <c r="CV14" s="43">
        <v>-2.43E-4</v>
      </c>
      <c r="CW14" s="43">
        <v>-2.43E-4</v>
      </c>
      <c r="CX14" s="43">
        <v>-2.0100000000000001E-4</v>
      </c>
    </row>
    <row r="15" spans="2:103" x14ac:dyDescent="0.25">
      <c r="B15" s="76"/>
      <c r="C15" s="76"/>
      <c r="H15" s="2">
        <v>4.1771230572993701E-2</v>
      </c>
      <c r="I15" s="1">
        <v>-5.3776060225528347E-3</v>
      </c>
      <c r="J15" s="2">
        <v>0.2292713866768068</v>
      </c>
      <c r="K15" s="1"/>
      <c r="N15" s="30">
        <v>4.8736596563270698E-3</v>
      </c>
      <c r="O15" s="43">
        <v>-2.7399999999999999E-4</v>
      </c>
      <c r="P15" s="43">
        <v>-2.5999999999999998E-4</v>
      </c>
      <c r="Q15" s="43">
        <v>-1.03E-4</v>
      </c>
      <c r="R15" s="30">
        <v>5.8483124729937358E-3</v>
      </c>
      <c r="S15" s="43">
        <v>-2.6899999999999998E-4</v>
      </c>
      <c r="T15" s="43">
        <v>-2.5599999999999999E-4</v>
      </c>
      <c r="U15" s="43">
        <v>-1.07E-4</v>
      </c>
      <c r="W15" s="30">
        <v>4.8736596563270698E-3</v>
      </c>
      <c r="X15" s="43">
        <v>-3.7599999999999998E-4</v>
      </c>
      <c r="Y15" s="43">
        <v>-3.4600000000000001E-4</v>
      </c>
      <c r="Z15" s="43">
        <v>-1.5E-5</v>
      </c>
      <c r="AA15" s="30">
        <v>5.8483124729937358E-3</v>
      </c>
      <c r="AB15" s="43">
        <v>-3.7599999999999998E-4</v>
      </c>
      <c r="AC15" s="43">
        <v>-3.4600000000000001E-4</v>
      </c>
      <c r="AD15" s="43">
        <v>-1.4E-5</v>
      </c>
      <c r="AF15" s="30">
        <v>4.8736596563270698E-3</v>
      </c>
      <c r="AG15" s="43">
        <v>-2.4899999999999998E-4</v>
      </c>
      <c r="AH15" s="43">
        <v>-2.4499999999999999E-4</v>
      </c>
      <c r="AI15" s="43">
        <v>-2.02E-4</v>
      </c>
      <c r="AJ15" s="30">
        <v>5.8483124729937358E-3</v>
      </c>
      <c r="AK15" s="43">
        <v>-2.5399999999999999E-4</v>
      </c>
      <c r="AL15" s="43">
        <v>-2.4899999999999998E-4</v>
      </c>
      <c r="AM15" s="43">
        <v>-1.9699999999999999E-4</v>
      </c>
      <c r="AO15" s="30">
        <v>4.8736596563270698E-3</v>
      </c>
      <c r="AP15" s="43">
        <v>-2.2499999999999999E-4</v>
      </c>
      <c r="AQ15" s="43">
        <v>-2.24E-4</v>
      </c>
      <c r="AR15" s="43">
        <v>-2.1699999999999999E-4</v>
      </c>
      <c r="AS15" s="30">
        <v>5.8483124729937358E-3</v>
      </c>
      <c r="AT15" s="43">
        <v>-2.2499999999999999E-4</v>
      </c>
      <c r="AU15" s="43">
        <v>-2.2499999999999999E-4</v>
      </c>
      <c r="AV15" s="43">
        <v>-2.1599999999999999E-4</v>
      </c>
      <c r="AX15" s="30">
        <v>4.8736596563270698E-3</v>
      </c>
      <c r="AY15" s="43">
        <v>-2.5000000000000001E-4</v>
      </c>
      <c r="AZ15" s="43">
        <v>-2.4600000000000002E-4</v>
      </c>
      <c r="BA15" s="43">
        <v>-2.0100000000000001E-4</v>
      </c>
      <c r="BB15" s="30">
        <v>5.8483124729937358E-3</v>
      </c>
      <c r="BC15" s="43">
        <v>-2.5599999999999999E-4</v>
      </c>
      <c r="BD15" s="43">
        <v>-2.5000000000000001E-4</v>
      </c>
      <c r="BE15" s="43">
        <v>-1.9699999999999999E-4</v>
      </c>
      <c r="BG15" s="30">
        <v>4.8736596563270698E-3</v>
      </c>
      <c r="BH15" s="43">
        <v>-2.23E-4</v>
      </c>
      <c r="BI15" s="43">
        <v>-2.23E-4</v>
      </c>
      <c r="BJ15" s="43">
        <v>-2.1900000000000001E-4</v>
      </c>
      <c r="BK15" s="30">
        <v>5.8483124729937358E-3</v>
      </c>
      <c r="BL15" s="43">
        <v>-2.23E-4</v>
      </c>
      <c r="BM15" s="43">
        <v>-2.23E-4</v>
      </c>
      <c r="BN15" s="43">
        <v>-2.1900000000000001E-4</v>
      </c>
      <c r="BP15" s="30">
        <v>4.8736596563270698E-3</v>
      </c>
      <c r="BQ15" s="43">
        <v>-2.0900000000000001E-4</v>
      </c>
      <c r="BR15" s="43">
        <v>-1.9699999999999999E-4</v>
      </c>
      <c r="BS15" s="43">
        <v>-7.7999999999999999E-5</v>
      </c>
      <c r="BT15" s="30">
        <v>5.8483124729937358E-3</v>
      </c>
      <c r="BU15" s="43">
        <v>-2.14E-4</v>
      </c>
      <c r="BV15" s="43">
        <v>-2.0100000000000001E-4</v>
      </c>
      <c r="BW15" s="43">
        <v>-7.4999999999999993E-5</v>
      </c>
      <c r="BY15" s="30">
        <v>4.8736596563270698E-3</v>
      </c>
      <c r="BZ15" s="43">
        <v>-2.1599999999999999E-4</v>
      </c>
      <c r="CA15" s="43">
        <v>-2.02E-4</v>
      </c>
      <c r="CB15" s="43">
        <v>-6.7999999999999999E-5</v>
      </c>
      <c r="CC15" s="30">
        <v>5.8483124729937358E-3</v>
      </c>
      <c r="CD15" s="43">
        <v>-2.1499999999999999E-4</v>
      </c>
      <c r="CE15" s="43">
        <v>-2.02E-4</v>
      </c>
      <c r="CF15" s="43">
        <v>-6.8999999999999997E-5</v>
      </c>
      <c r="CH15" s="30">
        <v>4.8736596563270698E-3</v>
      </c>
      <c r="CI15" s="43">
        <v>-2.7500000000000002E-4</v>
      </c>
      <c r="CJ15" s="43">
        <v>-2.7599999999999999E-4</v>
      </c>
      <c r="CK15" s="43">
        <v>-1.73E-4</v>
      </c>
      <c r="CL15" s="30">
        <v>5.8483124729937358E-3</v>
      </c>
      <c r="CM15" s="43">
        <v>-2.8499999999999999E-4</v>
      </c>
      <c r="CN15" s="43">
        <v>-2.8600000000000001E-4</v>
      </c>
      <c r="CO15" s="43">
        <v>-1.63E-4</v>
      </c>
      <c r="CQ15" s="30">
        <v>4.8736596563270698E-3</v>
      </c>
      <c r="CR15" s="43">
        <v>-2.42E-4</v>
      </c>
      <c r="CS15" s="43">
        <v>-2.42E-4</v>
      </c>
      <c r="CT15" s="43">
        <v>-2.02E-4</v>
      </c>
      <c r="CU15" s="30">
        <v>5.8483124729937358E-3</v>
      </c>
      <c r="CV15" s="43">
        <v>-2.4600000000000002E-4</v>
      </c>
      <c r="CW15" s="43">
        <v>-2.4600000000000002E-4</v>
      </c>
      <c r="CX15" s="43">
        <v>-1.9799999999999999E-4</v>
      </c>
    </row>
    <row r="16" spans="2:103" x14ac:dyDescent="0.25">
      <c r="B16" s="76"/>
      <c r="C16" s="76"/>
      <c r="N16" s="30">
        <v>5.5698402396604039E-3</v>
      </c>
      <c r="O16" s="43">
        <v>-2.7E-4</v>
      </c>
      <c r="P16" s="43">
        <v>-2.5700000000000001E-4</v>
      </c>
      <c r="Q16" s="43">
        <v>-1.06E-4</v>
      </c>
      <c r="R16" s="30">
        <v>6.6837291729937359E-3</v>
      </c>
      <c r="S16" s="43">
        <v>-2.6400000000000002E-4</v>
      </c>
      <c r="T16" s="43">
        <v>-2.52E-4</v>
      </c>
      <c r="U16" s="43">
        <v>-1.1E-4</v>
      </c>
      <c r="W16" s="30">
        <v>5.5698402396604039E-3</v>
      </c>
      <c r="X16" s="43">
        <v>-3.7599999999999998E-4</v>
      </c>
      <c r="Y16" s="43">
        <v>-3.4600000000000001E-4</v>
      </c>
      <c r="Z16" s="43">
        <v>-1.4E-5</v>
      </c>
      <c r="AA16" s="30">
        <v>6.6837291729937359E-3</v>
      </c>
      <c r="AB16" s="43">
        <v>-3.7599999999999998E-4</v>
      </c>
      <c r="AC16" s="43">
        <v>-3.4600000000000001E-4</v>
      </c>
      <c r="AD16" s="43">
        <v>-1.2999999999999999E-5</v>
      </c>
      <c r="AF16" s="30">
        <v>5.5698402396604039E-3</v>
      </c>
      <c r="AG16" s="43">
        <v>-2.5300000000000002E-4</v>
      </c>
      <c r="AH16" s="43">
        <v>-2.4800000000000001E-4</v>
      </c>
      <c r="AI16" s="43">
        <v>-1.9900000000000001E-4</v>
      </c>
      <c r="AJ16" s="30">
        <v>6.6837291729937359E-3</v>
      </c>
      <c r="AK16" s="43">
        <v>-2.5900000000000001E-4</v>
      </c>
      <c r="AL16" s="43">
        <v>-2.5300000000000002E-4</v>
      </c>
      <c r="AM16" s="43">
        <v>-1.94E-4</v>
      </c>
      <c r="AO16" s="30">
        <v>5.5698402396604039E-3</v>
      </c>
      <c r="AP16" s="43">
        <v>-2.2499999999999999E-4</v>
      </c>
      <c r="AQ16" s="43">
        <v>-2.2499999999999999E-4</v>
      </c>
      <c r="AR16" s="43">
        <v>-2.1699999999999999E-4</v>
      </c>
      <c r="AS16" s="30">
        <v>6.6837291729937359E-3</v>
      </c>
      <c r="AT16" s="43">
        <v>-2.2499999999999999E-4</v>
      </c>
      <c r="AU16" s="43">
        <v>-2.2499999999999999E-4</v>
      </c>
      <c r="AV16" s="43">
        <v>-2.1599999999999999E-4</v>
      </c>
      <c r="AX16" s="30">
        <v>5.5698402396604039E-3</v>
      </c>
      <c r="AY16" s="43">
        <v>-2.5399999999999999E-4</v>
      </c>
      <c r="AZ16" s="43">
        <v>-2.4899999999999998E-4</v>
      </c>
      <c r="BA16" s="43">
        <v>-1.9799999999999999E-4</v>
      </c>
      <c r="BB16" s="30">
        <v>6.6837291729937359E-3</v>
      </c>
      <c r="BC16" s="43">
        <v>-2.5999999999999998E-4</v>
      </c>
      <c r="BD16" s="43">
        <v>-2.5399999999999999E-4</v>
      </c>
      <c r="BE16" s="43">
        <v>-1.93E-4</v>
      </c>
      <c r="BG16" s="30">
        <v>5.5698402396604039E-3</v>
      </c>
      <c r="BH16" s="43">
        <v>-2.23E-4</v>
      </c>
      <c r="BI16" s="43">
        <v>-2.23E-4</v>
      </c>
      <c r="BJ16" s="43">
        <v>-2.1900000000000001E-4</v>
      </c>
      <c r="BK16" s="30">
        <v>6.6837291729937359E-3</v>
      </c>
      <c r="BL16" s="43">
        <v>-2.23E-4</v>
      </c>
      <c r="BM16" s="43">
        <v>-2.23E-4</v>
      </c>
      <c r="BN16" s="43">
        <v>-2.1800000000000001E-4</v>
      </c>
      <c r="BP16" s="30">
        <v>5.5698402396604039E-3</v>
      </c>
      <c r="BQ16" s="43">
        <v>-2.12E-4</v>
      </c>
      <c r="BR16" s="43">
        <v>-2.0000000000000001E-4</v>
      </c>
      <c r="BS16" s="43">
        <v>-7.6000000000000004E-5</v>
      </c>
      <c r="BT16" s="30">
        <v>6.6837291729937359E-3</v>
      </c>
      <c r="BU16" s="43">
        <v>-2.1800000000000001E-4</v>
      </c>
      <c r="BV16" s="43">
        <v>-2.05E-4</v>
      </c>
      <c r="BW16" s="43">
        <v>-7.2000000000000002E-5</v>
      </c>
      <c r="BY16" s="30">
        <v>5.5698402396604039E-3</v>
      </c>
      <c r="BZ16" s="43">
        <v>-2.1499999999999999E-4</v>
      </c>
      <c r="CA16" s="43">
        <v>-2.02E-4</v>
      </c>
      <c r="CB16" s="43">
        <v>-6.8999999999999997E-5</v>
      </c>
      <c r="CC16" s="30">
        <v>6.6837291729937359E-3</v>
      </c>
      <c r="CD16" s="43">
        <v>-2.1499999999999999E-4</v>
      </c>
      <c r="CE16" s="43">
        <v>-2.02E-4</v>
      </c>
      <c r="CF16" s="43">
        <v>-6.9999999999999994E-5</v>
      </c>
      <c r="CH16" s="30">
        <v>5.5698402396604039E-3</v>
      </c>
      <c r="CI16" s="43">
        <v>-2.8299999999999999E-4</v>
      </c>
      <c r="CJ16" s="43">
        <v>-2.8299999999999999E-4</v>
      </c>
      <c r="CK16" s="43">
        <v>-1.66E-4</v>
      </c>
      <c r="CL16" s="30">
        <v>6.6837291729937359E-3</v>
      </c>
      <c r="CM16" s="43">
        <v>-2.9399999999999999E-4</v>
      </c>
      <c r="CN16" s="43">
        <v>-2.9500000000000001E-4</v>
      </c>
      <c r="CO16" s="43">
        <v>-1.55E-4</v>
      </c>
      <c r="CQ16" s="30">
        <v>5.5698402396604039E-3</v>
      </c>
      <c r="CR16" s="43">
        <v>-2.4499999999999999E-4</v>
      </c>
      <c r="CS16" s="43">
        <v>-2.4499999999999999E-4</v>
      </c>
      <c r="CT16" s="43">
        <v>-1.9900000000000001E-4</v>
      </c>
      <c r="CU16" s="30">
        <v>6.6837291729937359E-3</v>
      </c>
      <c r="CV16" s="43">
        <v>-2.4899999999999998E-4</v>
      </c>
      <c r="CW16" s="43">
        <v>-2.4899999999999998E-4</v>
      </c>
      <c r="CX16" s="43">
        <v>-1.94E-4</v>
      </c>
    </row>
    <row r="17" spans="2:102" x14ac:dyDescent="0.25">
      <c r="B17" s="76"/>
      <c r="C17" s="76"/>
      <c r="H17" s="75" t="s">
        <v>105</v>
      </c>
      <c r="I17" s="75"/>
      <c r="J17" s="75"/>
      <c r="K17" s="75"/>
      <c r="N17" s="30">
        <v>6.2660208229937371E-3</v>
      </c>
      <c r="O17" s="43">
        <v>-2.6699999999999998E-4</v>
      </c>
      <c r="P17" s="43">
        <v>-2.5399999999999999E-4</v>
      </c>
      <c r="Q17" s="43">
        <v>-1.08E-4</v>
      </c>
      <c r="R17" s="30">
        <v>7.5191458729937351E-3</v>
      </c>
      <c r="S17" s="43">
        <v>-2.5999999999999998E-4</v>
      </c>
      <c r="T17" s="43">
        <v>-2.4800000000000001E-4</v>
      </c>
      <c r="U17" s="43">
        <v>-1.13E-4</v>
      </c>
      <c r="W17" s="30">
        <v>6.2660208229937371E-3</v>
      </c>
      <c r="X17" s="43">
        <v>-3.7599999999999998E-4</v>
      </c>
      <c r="Y17" s="43">
        <v>-3.4600000000000001E-4</v>
      </c>
      <c r="Z17" s="43">
        <v>-1.4E-5</v>
      </c>
      <c r="AA17" s="30">
        <v>7.5191458729937351E-3</v>
      </c>
      <c r="AB17" s="43">
        <v>-3.7599999999999998E-4</v>
      </c>
      <c r="AC17" s="43">
        <v>-3.4600000000000001E-4</v>
      </c>
      <c r="AD17" s="43">
        <v>-1.2E-5</v>
      </c>
      <c r="AF17" s="30">
        <v>6.2660208229937371E-3</v>
      </c>
      <c r="AG17" s="43">
        <v>-2.5599999999999999E-4</v>
      </c>
      <c r="AH17" s="43">
        <v>-2.5099999999999998E-4</v>
      </c>
      <c r="AI17" s="43">
        <v>-1.9599999999999999E-4</v>
      </c>
      <c r="AJ17" s="30">
        <v>7.5191458729937351E-3</v>
      </c>
      <c r="AK17" s="43">
        <v>-2.63E-4</v>
      </c>
      <c r="AL17" s="43">
        <v>-2.5700000000000001E-4</v>
      </c>
      <c r="AM17" s="43">
        <v>-1.9000000000000001E-4</v>
      </c>
      <c r="AO17" s="30">
        <v>6.2660208229937371E-3</v>
      </c>
      <c r="AP17" s="43">
        <v>-2.2499999999999999E-4</v>
      </c>
      <c r="AQ17" s="43">
        <v>-2.2499999999999999E-4</v>
      </c>
      <c r="AR17" s="43">
        <v>-2.1599999999999999E-4</v>
      </c>
      <c r="AS17" s="30">
        <v>7.5191458729937351E-3</v>
      </c>
      <c r="AT17" s="43">
        <v>-2.2599999999999999E-4</v>
      </c>
      <c r="AU17" s="43">
        <v>-2.2499999999999999E-4</v>
      </c>
      <c r="AV17" s="43">
        <v>-2.1599999999999999E-4</v>
      </c>
      <c r="AX17" s="30">
        <v>6.2660208229937371E-3</v>
      </c>
      <c r="AY17" s="43">
        <v>-2.5799999999999998E-4</v>
      </c>
      <c r="AZ17" s="43">
        <v>-2.52E-4</v>
      </c>
      <c r="BA17" s="43">
        <v>-1.95E-4</v>
      </c>
      <c r="BB17" s="30">
        <v>7.5191458729937351E-3</v>
      </c>
      <c r="BC17" s="43">
        <v>-2.6499999999999999E-4</v>
      </c>
      <c r="BD17" s="43">
        <v>-2.5799999999999998E-4</v>
      </c>
      <c r="BE17" s="43">
        <v>-1.8900000000000001E-4</v>
      </c>
      <c r="BG17" s="30">
        <v>6.2660208229937371E-3</v>
      </c>
      <c r="BH17" s="43">
        <v>-2.23E-4</v>
      </c>
      <c r="BI17" s="43">
        <v>-2.23E-4</v>
      </c>
      <c r="BJ17" s="43">
        <v>-2.1900000000000001E-4</v>
      </c>
      <c r="BK17" s="30">
        <v>7.5191458729937351E-3</v>
      </c>
      <c r="BL17" s="43">
        <v>-2.24E-4</v>
      </c>
      <c r="BM17" s="43">
        <v>-2.23E-4</v>
      </c>
      <c r="BN17" s="43">
        <v>-2.1800000000000001E-4</v>
      </c>
      <c r="BP17" s="30">
        <v>6.2660208229937371E-3</v>
      </c>
      <c r="BQ17" s="43">
        <v>-2.1599999999999999E-4</v>
      </c>
      <c r="BR17" s="43">
        <v>-2.03E-4</v>
      </c>
      <c r="BS17" s="43">
        <v>-7.2999999999999999E-5</v>
      </c>
      <c r="BT17" s="30">
        <v>7.5191458729937351E-3</v>
      </c>
      <c r="BU17" s="43">
        <v>-2.22E-4</v>
      </c>
      <c r="BV17" s="43">
        <v>-2.0799999999999999E-4</v>
      </c>
      <c r="BW17" s="43">
        <v>-6.8999999999999997E-5</v>
      </c>
      <c r="BY17" s="30">
        <v>6.2660208229937371E-3</v>
      </c>
      <c r="BZ17" s="43">
        <v>-2.1499999999999999E-4</v>
      </c>
      <c r="CA17" s="43">
        <v>-2.02E-4</v>
      </c>
      <c r="CB17" s="43">
        <v>-6.9999999999999994E-5</v>
      </c>
      <c r="CC17" s="30">
        <v>7.5191458729937351E-3</v>
      </c>
      <c r="CD17" s="43">
        <v>-2.14E-4</v>
      </c>
      <c r="CE17" s="43">
        <v>-2.0100000000000001E-4</v>
      </c>
      <c r="CF17" s="43">
        <v>-7.1000000000000005E-5</v>
      </c>
      <c r="CH17" s="30">
        <v>6.2660208229937371E-3</v>
      </c>
      <c r="CI17" s="43">
        <v>-2.9E-4</v>
      </c>
      <c r="CJ17" s="43">
        <v>-2.9E-4</v>
      </c>
      <c r="CK17" s="43">
        <v>-1.5899999999999999E-4</v>
      </c>
      <c r="CL17" s="30">
        <v>7.5191458729937351E-3</v>
      </c>
      <c r="CM17" s="43">
        <v>-3.0299999999999999E-4</v>
      </c>
      <c r="CN17" s="43">
        <v>-3.0299999999999999E-4</v>
      </c>
      <c r="CO17" s="43">
        <v>-1.46E-4</v>
      </c>
      <c r="CQ17" s="30">
        <v>6.2660208229937371E-3</v>
      </c>
      <c r="CR17" s="43">
        <v>-2.4800000000000001E-4</v>
      </c>
      <c r="CS17" s="43">
        <v>-2.4800000000000001E-4</v>
      </c>
      <c r="CT17" s="43">
        <v>-1.9599999999999999E-4</v>
      </c>
      <c r="CU17" s="30">
        <v>7.5191458729937351E-3</v>
      </c>
      <c r="CV17" s="43">
        <v>-2.5300000000000002E-4</v>
      </c>
      <c r="CW17" s="43">
        <v>-2.5300000000000002E-4</v>
      </c>
      <c r="CX17" s="43">
        <v>-1.9100000000000001E-4</v>
      </c>
    </row>
    <row r="18" spans="2:102" x14ac:dyDescent="0.25">
      <c r="H18" s="71" t="s">
        <v>65</v>
      </c>
      <c r="I18" s="71"/>
      <c r="J18" s="71" t="s">
        <v>65</v>
      </c>
      <c r="K18" s="71"/>
      <c r="N18" s="30">
        <v>6.9622014063270713E-3</v>
      </c>
      <c r="O18" s="43">
        <v>-2.63E-4</v>
      </c>
      <c r="P18" s="43">
        <v>-2.5000000000000001E-4</v>
      </c>
      <c r="Q18" s="43">
        <v>-1.11E-4</v>
      </c>
      <c r="R18" s="30">
        <v>8.3545625729937352E-3</v>
      </c>
      <c r="S18" s="43">
        <v>-2.5500000000000002E-4</v>
      </c>
      <c r="T18" s="43">
        <v>-2.4399999999999999E-4</v>
      </c>
      <c r="U18" s="43">
        <v>-1.16E-4</v>
      </c>
      <c r="W18" s="30">
        <v>6.9622014063270713E-3</v>
      </c>
      <c r="X18" s="43">
        <v>-3.7599999999999998E-4</v>
      </c>
      <c r="Y18" s="43">
        <v>-3.4600000000000001E-4</v>
      </c>
      <c r="Z18" s="43">
        <v>-1.2999999999999999E-5</v>
      </c>
      <c r="AA18" s="30">
        <v>8.3545625729937352E-3</v>
      </c>
      <c r="AB18" s="43">
        <v>-3.7599999999999998E-4</v>
      </c>
      <c r="AC18" s="43">
        <v>-3.4600000000000001E-4</v>
      </c>
      <c r="AD18" s="43">
        <v>-1.2E-5</v>
      </c>
      <c r="AF18" s="30">
        <v>6.9622014063270713E-3</v>
      </c>
      <c r="AG18" s="43">
        <v>-2.5999999999999998E-4</v>
      </c>
      <c r="AH18" s="43">
        <v>-2.5399999999999999E-4</v>
      </c>
      <c r="AI18" s="43">
        <v>-1.93E-4</v>
      </c>
      <c r="AJ18" s="30">
        <v>8.3545625729937352E-3</v>
      </c>
      <c r="AK18" s="43">
        <v>-2.6800000000000001E-4</v>
      </c>
      <c r="AL18" s="43">
        <v>-2.5999999999999998E-4</v>
      </c>
      <c r="AM18" s="43">
        <v>-1.8699999999999999E-4</v>
      </c>
      <c r="AO18" s="30">
        <v>6.9622014063270713E-3</v>
      </c>
      <c r="AP18" s="43">
        <v>-2.2599999999999999E-4</v>
      </c>
      <c r="AQ18" s="43">
        <v>-2.2499999999999999E-4</v>
      </c>
      <c r="AR18" s="43">
        <v>-2.1599999999999999E-4</v>
      </c>
      <c r="AS18" s="30">
        <v>8.3545625729937352E-3</v>
      </c>
      <c r="AT18" s="43">
        <v>-2.2599999999999999E-4</v>
      </c>
      <c r="AU18" s="43">
        <v>-2.2499999999999999E-4</v>
      </c>
      <c r="AV18" s="43">
        <v>-2.1599999999999999E-4</v>
      </c>
      <c r="AX18" s="30">
        <v>6.9622014063270713E-3</v>
      </c>
      <c r="AY18" s="43">
        <v>-2.6200000000000003E-4</v>
      </c>
      <c r="AZ18" s="43">
        <v>-2.5500000000000002E-4</v>
      </c>
      <c r="BA18" s="43">
        <v>-1.92E-4</v>
      </c>
      <c r="BB18" s="30">
        <v>8.3545625729937352E-3</v>
      </c>
      <c r="BC18" s="43">
        <v>-2.6899999999999998E-4</v>
      </c>
      <c r="BD18" s="43">
        <v>-2.6200000000000003E-4</v>
      </c>
      <c r="BE18" s="43">
        <v>-1.8599999999999999E-4</v>
      </c>
      <c r="BG18" s="30">
        <v>6.9622014063270713E-3</v>
      </c>
      <c r="BH18" s="43">
        <v>-2.23E-4</v>
      </c>
      <c r="BI18" s="43">
        <v>-2.23E-4</v>
      </c>
      <c r="BJ18" s="43">
        <v>-2.1800000000000001E-4</v>
      </c>
      <c r="BK18" s="30">
        <v>8.3545625729937352E-3</v>
      </c>
      <c r="BL18" s="43">
        <v>-2.24E-4</v>
      </c>
      <c r="BM18" s="43">
        <v>-2.24E-4</v>
      </c>
      <c r="BN18" s="43">
        <v>-2.1800000000000001E-4</v>
      </c>
      <c r="BP18" s="30">
        <v>6.9622014063270713E-3</v>
      </c>
      <c r="BQ18" s="43">
        <v>-2.1900000000000001E-4</v>
      </c>
      <c r="BR18" s="43">
        <v>-2.0599999999999999E-4</v>
      </c>
      <c r="BS18" s="43">
        <v>-7.1000000000000005E-5</v>
      </c>
      <c r="BT18" s="30">
        <v>8.3545625729937352E-3</v>
      </c>
      <c r="BU18" s="43">
        <v>-2.2699999999999999E-4</v>
      </c>
      <c r="BV18" s="43">
        <v>-2.12E-4</v>
      </c>
      <c r="BW18" s="43">
        <v>-6.6000000000000005E-5</v>
      </c>
      <c r="BY18" s="30">
        <v>6.9622014063270713E-3</v>
      </c>
      <c r="BZ18" s="43">
        <v>-2.14E-4</v>
      </c>
      <c r="CA18" s="43">
        <v>-2.0100000000000001E-4</v>
      </c>
      <c r="CB18" s="43">
        <v>-7.1000000000000005E-5</v>
      </c>
      <c r="CC18" s="30">
        <v>8.3545625729937352E-3</v>
      </c>
      <c r="CD18" s="43">
        <v>-2.13E-4</v>
      </c>
      <c r="CE18" s="43">
        <v>-2.0100000000000001E-4</v>
      </c>
      <c r="CF18" s="43">
        <v>-7.2999999999999999E-5</v>
      </c>
      <c r="CH18" s="30">
        <v>6.9622014063270713E-3</v>
      </c>
      <c r="CI18" s="43">
        <v>-2.9700000000000001E-4</v>
      </c>
      <c r="CJ18" s="43">
        <v>-2.9799999999999998E-4</v>
      </c>
      <c r="CK18" s="43">
        <v>-1.5200000000000001E-4</v>
      </c>
      <c r="CL18" s="30">
        <v>8.3545625729937352E-3</v>
      </c>
      <c r="CM18" s="43">
        <v>-3.1100000000000002E-4</v>
      </c>
      <c r="CN18" s="43">
        <v>-3.1199999999999999E-4</v>
      </c>
      <c r="CO18" s="43">
        <v>-1.3799999999999999E-4</v>
      </c>
      <c r="CQ18" s="30">
        <v>6.9622014063270713E-3</v>
      </c>
      <c r="CR18" s="43">
        <v>-2.5000000000000001E-4</v>
      </c>
      <c r="CS18" s="43">
        <v>-2.5000000000000001E-4</v>
      </c>
      <c r="CT18" s="43">
        <v>-1.93E-4</v>
      </c>
      <c r="CU18" s="30">
        <v>8.3545625729937352E-3</v>
      </c>
      <c r="CV18" s="43">
        <v>-2.5599999999999999E-4</v>
      </c>
      <c r="CW18" s="43">
        <v>-2.5599999999999999E-4</v>
      </c>
      <c r="CX18" s="43">
        <v>-1.8799999999999999E-4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7.6583819896604045E-3</v>
      </c>
      <c r="O19" s="43">
        <v>-2.5900000000000001E-4</v>
      </c>
      <c r="P19" s="43">
        <v>-2.4699999999999999E-4</v>
      </c>
      <c r="Q19" s="43">
        <v>-1.13E-4</v>
      </c>
      <c r="R19" s="30">
        <v>8.3545625729937352E-3</v>
      </c>
      <c r="S19" s="43">
        <v>-2.5500000000000002E-4</v>
      </c>
      <c r="T19" s="43">
        <v>-2.4399999999999999E-4</v>
      </c>
      <c r="U19" s="43">
        <v>-1.16E-4</v>
      </c>
      <c r="W19" s="30">
        <v>7.6583819896604045E-3</v>
      </c>
      <c r="X19" s="43">
        <v>-3.7599999999999998E-4</v>
      </c>
      <c r="Y19" s="43">
        <v>-3.4600000000000001E-4</v>
      </c>
      <c r="Z19" s="43">
        <v>-1.2E-5</v>
      </c>
      <c r="AA19" s="30">
        <v>8.3545625729937352E-3</v>
      </c>
      <c r="AB19" s="43">
        <v>-3.7599999999999998E-4</v>
      </c>
      <c r="AC19" s="43">
        <v>-3.4600000000000001E-4</v>
      </c>
      <c r="AD19" s="43">
        <v>-1.2E-5</v>
      </c>
      <c r="AF19" s="30">
        <v>7.6583819896604045E-3</v>
      </c>
      <c r="AG19" s="43">
        <v>-2.6400000000000002E-4</v>
      </c>
      <c r="AH19" s="43">
        <v>-2.5700000000000001E-4</v>
      </c>
      <c r="AI19" s="43">
        <v>-1.9000000000000001E-4</v>
      </c>
      <c r="AJ19" s="30">
        <v>8.3545625729937352E-3</v>
      </c>
      <c r="AK19" s="43">
        <v>-2.6800000000000001E-4</v>
      </c>
      <c r="AL19" s="43">
        <v>-2.5999999999999998E-4</v>
      </c>
      <c r="AM19" s="43">
        <v>-1.8699999999999999E-4</v>
      </c>
      <c r="AO19" s="30">
        <v>7.6583819896604045E-3</v>
      </c>
      <c r="AP19" s="43">
        <v>-2.2599999999999999E-4</v>
      </c>
      <c r="AQ19" s="43">
        <v>-2.2499999999999999E-4</v>
      </c>
      <c r="AR19" s="43">
        <v>-2.1599999999999999E-4</v>
      </c>
      <c r="AS19" s="30">
        <v>8.3545625729937352E-3</v>
      </c>
      <c r="AT19" s="43">
        <v>-2.2599999999999999E-4</v>
      </c>
      <c r="AU19" s="43">
        <v>-2.2499999999999999E-4</v>
      </c>
      <c r="AV19" s="43">
        <v>-2.1599999999999999E-4</v>
      </c>
      <c r="AX19" s="30">
        <v>7.6583819896604045E-3</v>
      </c>
      <c r="AY19" s="43">
        <v>-2.6499999999999999E-4</v>
      </c>
      <c r="AZ19" s="43">
        <v>-2.5900000000000001E-4</v>
      </c>
      <c r="BA19" s="43">
        <v>-1.8900000000000001E-4</v>
      </c>
      <c r="BB19" s="30">
        <v>8.3545625729937352E-3</v>
      </c>
      <c r="BC19" s="43">
        <v>-2.6899999999999998E-4</v>
      </c>
      <c r="BD19" s="43">
        <v>-2.6200000000000003E-4</v>
      </c>
      <c r="BE19" s="43">
        <v>-1.8599999999999999E-4</v>
      </c>
      <c r="BG19" s="30">
        <v>7.6583819896604045E-3</v>
      </c>
      <c r="BH19" s="43">
        <v>-2.24E-4</v>
      </c>
      <c r="BI19" s="43">
        <v>-2.23E-4</v>
      </c>
      <c r="BJ19" s="43">
        <v>-2.1800000000000001E-4</v>
      </c>
      <c r="BK19" s="30">
        <v>8.3545625729937352E-3</v>
      </c>
      <c r="BL19" s="43">
        <v>-2.24E-4</v>
      </c>
      <c r="BM19" s="43">
        <v>-2.24E-4</v>
      </c>
      <c r="BN19" s="43">
        <v>-2.1800000000000001E-4</v>
      </c>
      <c r="BP19" s="30">
        <v>7.6583819896604045E-3</v>
      </c>
      <c r="BQ19" s="43">
        <v>-2.23E-4</v>
      </c>
      <c r="BR19" s="43">
        <v>-2.0900000000000001E-4</v>
      </c>
      <c r="BS19" s="43">
        <v>-6.7999999999999999E-5</v>
      </c>
      <c r="BT19" s="30">
        <v>8.3545625729937352E-3</v>
      </c>
      <c r="BU19" s="43">
        <v>-2.2699999999999999E-4</v>
      </c>
      <c r="BV19" s="43">
        <v>-2.12E-4</v>
      </c>
      <c r="BW19" s="43">
        <v>-6.6000000000000005E-5</v>
      </c>
      <c r="BY19" s="30">
        <v>7.6583819896604045E-3</v>
      </c>
      <c r="BZ19" s="43">
        <v>-2.14E-4</v>
      </c>
      <c r="CA19" s="43">
        <v>-2.0100000000000001E-4</v>
      </c>
      <c r="CB19" s="43">
        <v>-7.2000000000000002E-5</v>
      </c>
      <c r="CC19" s="30">
        <v>8.3545625729937352E-3</v>
      </c>
      <c r="CD19" s="43">
        <v>-2.13E-4</v>
      </c>
      <c r="CE19" s="43">
        <v>-2.0100000000000001E-4</v>
      </c>
      <c r="CF19" s="43">
        <v>-7.2999999999999999E-5</v>
      </c>
      <c r="CH19" s="30">
        <v>7.6583819896604045E-3</v>
      </c>
      <c r="CI19" s="43">
        <v>-3.0400000000000002E-4</v>
      </c>
      <c r="CJ19" s="43">
        <v>-3.0499999999999999E-4</v>
      </c>
      <c r="CK19" s="43">
        <v>-1.45E-4</v>
      </c>
      <c r="CL19" s="30">
        <v>8.3545625729937352E-3</v>
      </c>
      <c r="CM19" s="43">
        <v>-3.1100000000000002E-4</v>
      </c>
      <c r="CN19" s="43">
        <v>-3.1199999999999999E-4</v>
      </c>
      <c r="CO19" s="43">
        <v>-1.3799999999999999E-4</v>
      </c>
      <c r="CQ19" s="30">
        <v>7.6583819896604045E-3</v>
      </c>
      <c r="CR19" s="43">
        <v>-2.5300000000000002E-4</v>
      </c>
      <c r="CS19" s="43">
        <v>-2.5300000000000002E-4</v>
      </c>
      <c r="CT19" s="43">
        <v>-1.9100000000000001E-4</v>
      </c>
      <c r="CU19" s="30">
        <v>8.3545625729937352E-3</v>
      </c>
      <c r="CV19" s="43">
        <v>-2.5599999999999999E-4</v>
      </c>
      <c r="CW19" s="43">
        <v>-2.5599999999999999E-4</v>
      </c>
      <c r="CX19" s="43">
        <v>-1.8799999999999999E-4</v>
      </c>
    </row>
    <row r="20" spans="2:102" x14ac:dyDescent="0.25">
      <c r="H20" s="2">
        <v>4.1771230572993701E-2</v>
      </c>
      <c r="I20" s="1">
        <v>-2.5000000000000001E-3</v>
      </c>
      <c r="J20" s="2">
        <v>0.2292713866768068</v>
      </c>
      <c r="K20" s="1"/>
      <c r="N20" s="30">
        <v>8.3545625729937369E-3</v>
      </c>
      <c r="O20" s="43">
        <v>-2.5500000000000002E-4</v>
      </c>
      <c r="P20" s="43">
        <v>-2.4399999999999999E-4</v>
      </c>
      <c r="Q20" s="43">
        <v>-1.16E-4</v>
      </c>
      <c r="R20" s="30">
        <v>9.1899792729937362E-3</v>
      </c>
      <c r="S20" s="43">
        <v>-2.5099999999999998E-4</v>
      </c>
      <c r="T20" s="43">
        <v>-2.4000000000000001E-4</v>
      </c>
      <c r="U20" s="43">
        <v>-1.1900000000000001E-4</v>
      </c>
      <c r="W20" s="30">
        <v>8.3545625729937369E-3</v>
      </c>
      <c r="X20" s="43">
        <v>-3.7599999999999998E-4</v>
      </c>
      <c r="Y20" s="43">
        <v>-3.4600000000000001E-4</v>
      </c>
      <c r="Z20" s="43">
        <v>-1.2E-5</v>
      </c>
      <c r="AA20" s="30">
        <v>9.1899792729937362E-3</v>
      </c>
      <c r="AB20" s="43">
        <v>-3.7599999999999998E-4</v>
      </c>
      <c r="AC20" s="43">
        <v>-3.4600000000000001E-4</v>
      </c>
      <c r="AD20" s="43">
        <v>-1.1E-5</v>
      </c>
      <c r="AF20" s="30">
        <v>8.3545625729937369E-3</v>
      </c>
      <c r="AG20" s="43">
        <v>-2.6800000000000001E-4</v>
      </c>
      <c r="AH20" s="43">
        <v>-2.5999999999999998E-4</v>
      </c>
      <c r="AI20" s="43">
        <v>-1.8699999999999999E-4</v>
      </c>
      <c r="AJ20" s="30">
        <v>9.1899792729937362E-3</v>
      </c>
      <c r="AK20" s="43">
        <v>-2.72E-4</v>
      </c>
      <c r="AL20" s="43">
        <v>-2.6400000000000002E-4</v>
      </c>
      <c r="AM20" s="43">
        <v>-1.83E-4</v>
      </c>
      <c r="AO20" s="30">
        <v>8.3545625729937369E-3</v>
      </c>
      <c r="AP20" s="43">
        <v>-2.2599999999999999E-4</v>
      </c>
      <c r="AQ20" s="43">
        <v>-2.2499999999999999E-4</v>
      </c>
      <c r="AR20" s="43">
        <v>-2.1599999999999999E-4</v>
      </c>
      <c r="AS20" s="30">
        <v>9.1899792729937362E-3</v>
      </c>
      <c r="AT20" s="43">
        <v>-2.2599999999999999E-4</v>
      </c>
      <c r="AU20" s="43">
        <v>-2.2599999999999999E-4</v>
      </c>
      <c r="AV20" s="43">
        <v>-2.1499999999999999E-4</v>
      </c>
      <c r="AX20" s="30">
        <v>8.3545625729937369E-3</v>
      </c>
      <c r="AY20" s="43">
        <v>-2.6899999999999998E-4</v>
      </c>
      <c r="AZ20" s="43">
        <v>-2.6200000000000003E-4</v>
      </c>
      <c r="BA20" s="43">
        <v>-1.8599999999999999E-4</v>
      </c>
      <c r="BB20" s="30">
        <v>9.1899792729937362E-3</v>
      </c>
      <c r="BC20" s="43">
        <v>-2.7399999999999999E-4</v>
      </c>
      <c r="BD20" s="43">
        <v>-2.6499999999999999E-4</v>
      </c>
      <c r="BE20" s="43">
        <v>-1.8200000000000001E-4</v>
      </c>
      <c r="BG20" s="30">
        <v>8.3545625729937369E-3</v>
      </c>
      <c r="BH20" s="43">
        <v>-2.24E-4</v>
      </c>
      <c r="BI20" s="43">
        <v>-2.24E-4</v>
      </c>
      <c r="BJ20" s="43">
        <v>-2.1800000000000001E-4</v>
      </c>
      <c r="BK20" s="30">
        <v>9.1899792729937362E-3</v>
      </c>
      <c r="BL20" s="43">
        <v>-2.24E-4</v>
      </c>
      <c r="BM20" s="43">
        <v>-2.24E-4</v>
      </c>
      <c r="BN20" s="43">
        <v>-2.1800000000000001E-4</v>
      </c>
      <c r="BP20" s="30">
        <v>8.3545625729937369E-3</v>
      </c>
      <c r="BQ20" s="43">
        <v>-2.2699999999999999E-4</v>
      </c>
      <c r="BR20" s="43">
        <v>-2.12E-4</v>
      </c>
      <c r="BS20" s="43">
        <v>-6.6000000000000005E-5</v>
      </c>
      <c r="BT20" s="30">
        <v>9.1899792729937362E-3</v>
      </c>
      <c r="BU20" s="43">
        <v>-2.31E-4</v>
      </c>
      <c r="BV20" s="43">
        <v>-2.1599999999999999E-4</v>
      </c>
      <c r="BW20" s="43">
        <v>-6.3E-5</v>
      </c>
      <c r="BY20" s="30">
        <v>8.3545625729937369E-3</v>
      </c>
      <c r="BZ20" s="43">
        <v>-2.13E-4</v>
      </c>
      <c r="CA20" s="43">
        <v>-2.0100000000000001E-4</v>
      </c>
      <c r="CB20" s="43">
        <v>-7.2999999999999999E-5</v>
      </c>
      <c r="CC20" s="30">
        <v>9.1899792729937362E-3</v>
      </c>
      <c r="CD20" s="43">
        <v>-2.13E-4</v>
      </c>
      <c r="CE20" s="43">
        <v>-2.0000000000000001E-4</v>
      </c>
      <c r="CF20" s="43">
        <v>-7.3999999999999996E-5</v>
      </c>
      <c r="CH20" s="30">
        <v>8.3545625729937369E-3</v>
      </c>
      <c r="CI20" s="43">
        <v>-3.1100000000000002E-4</v>
      </c>
      <c r="CJ20" s="43">
        <v>-3.1199999999999999E-4</v>
      </c>
      <c r="CK20" s="43">
        <v>-1.3799999999999999E-4</v>
      </c>
      <c r="CL20" s="30">
        <v>9.1899792729937362E-3</v>
      </c>
      <c r="CM20" s="43">
        <v>-3.2000000000000003E-4</v>
      </c>
      <c r="CN20" s="43">
        <v>-3.21E-4</v>
      </c>
      <c r="CO20" s="43">
        <v>-1.2899999999999999E-4</v>
      </c>
      <c r="CQ20" s="30">
        <v>8.3545625729937369E-3</v>
      </c>
      <c r="CR20" s="43">
        <v>-2.5599999999999999E-4</v>
      </c>
      <c r="CS20" s="43">
        <v>-2.5599999999999999E-4</v>
      </c>
      <c r="CT20" s="43">
        <v>-1.8799999999999999E-4</v>
      </c>
      <c r="CU20" s="30">
        <v>9.1899792729937362E-3</v>
      </c>
      <c r="CV20" s="43">
        <v>-2.5900000000000001E-4</v>
      </c>
      <c r="CW20" s="43">
        <v>-2.5900000000000001E-4</v>
      </c>
      <c r="CX20" s="43">
        <v>-1.85E-4</v>
      </c>
    </row>
    <row r="21" spans="2:102" x14ac:dyDescent="0.25">
      <c r="H21" s="71" t="s">
        <v>85</v>
      </c>
      <c r="I21" s="71"/>
      <c r="J21" s="71" t="s">
        <v>85</v>
      </c>
      <c r="K21" s="71"/>
      <c r="N21" s="30">
        <v>9.0507431563270711E-3</v>
      </c>
      <c r="O21" s="43">
        <v>-2.5099999999999998E-4</v>
      </c>
      <c r="P21" s="43">
        <v>-2.4000000000000001E-4</v>
      </c>
      <c r="Q21" s="43">
        <v>-1.18E-4</v>
      </c>
      <c r="R21" s="30">
        <v>1.0025395972993735E-2</v>
      </c>
      <c r="S21" s="43">
        <v>-2.4600000000000002E-4</v>
      </c>
      <c r="T21" s="43">
        <v>-2.3599999999999999E-4</v>
      </c>
      <c r="U21" s="43">
        <v>-1.22E-4</v>
      </c>
      <c r="W21" s="30">
        <v>9.0507431563270711E-3</v>
      </c>
      <c r="X21" s="43">
        <v>-3.7599999999999998E-4</v>
      </c>
      <c r="Y21" s="43">
        <v>-3.4600000000000001E-4</v>
      </c>
      <c r="Z21" s="43">
        <v>-1.1E-5</v>
      </c>
      <c r="AA21" s="30">
        <v>1.0025395972993735E-2</v>
      </c>
      <c r="AB21" s="43">
        <v>-3.7599999999999998E-4</v>
      </c>
      <c r="AC21" s="43">
        <v>-3.4600000000000001E-4</v>
      </c>
      <c r="AD21" s="43">
        <v>-1.0000000000000001E-5</v>
      </c>
      <c r="AF21" s="30">
        <v>9.0507431563270711E-3</v>
      </c>
      <c r="AG21" s="43">
        <v>-2.7099999999999997E-4</v>
      </c>
      <c r="AH21" s="43">
        <v>-2.63E-4</v>
      </c>
      <c r="AI21" s="43">
        <v>-1.84E-4</v>
      </c>
      <c r="AJ21" s="30">
        <v>1.0025395972993735E-2</v>
      </c>
      <c r="AK21" s="43">
        <v>-2.7700000000000001E-4</v>
      </c>
      <c r="AL21" s="43">
        <v>-2.6800000000000001E-4</v>
      </c>
      <c r="AM21" s="43">
        <v>-1.7899999999999999E-4</v>
      </c>
      <c r="AO21" s="30">
        <v>9.0507431563270711E-3</v>
      </c>
      <c r="AP21" s="43">
        <v>-2.2599999999999999E-4</v>
      </c>
      <c r="AQ21" s="43">
        <v>-2.2599999999999999E-4</v>
      </c>
      <c r="AR21" s="43">
        <v>-2.1599999999999999E-4</v>
      </c>
      <c r="AS21" s="30">
        <v>1.0025395972993735E-2</v>
      </c>
      <c r="AT21" s="43">
        <v>-2.2699999999999999E-4</v>
      </c>
      <c r="AU21" s="43">
        <v>-2.2599999999999999E-4</v>
      </c>
      <c r="AV21" s="43">
        <v>-2.1499999999999999E-4</v>
      </c>
      <c r="AX21" s="30">
        <v>9.0507431563270711E-3</v>
      </c>
      <c r="AY21" s="43">
        <v>-2.7300000000000002E-4</v>
      </c>
      <c r="AZ21" s="43">
        <v>-2.6499999999999999E-4</v>
      </c>
      <c r="BA21" s="43">
        <v>-1.83E-4</v>
      </c>
      <c r="BB21" s="30">
        <v>1.0025395972993735E-2</v>
      </c>
      <c r="BC21" s="43">
        <v>-2.7799999999999998E-4</v>
      </c>
      <c r="BD21" s="43">
        <v>-2.6899999999999998E-4</v>
      </c>
      <c r="BE21" s="43">
        <v>-1.7899999999999999E-4</v>
      </c>
      <c r="BG21" s="30">
        <v>9.0507431563270711E-3</v>
      </c>
      <c r="BH21" s="43">
        <v>-2.24E-4</v>
      </c>
      <c r="BI21" s="43">
        <v>-2.24E-4</v>
      </c>
      <c r="BJ21" s="43">
        <v>-2.1800000000000001E-4</v>
      </c>
      <c r="BK21" s="30">
        <v>1.0025395972993735E-2</v>
      </c>
      <c r="BL21" s="43">
        <v>-2.24E-4</v>
      </c>
      <c r="BM21" s="43">
        <v>-2.24E-4</v>
      </c>
      <c r="BN21" s="43">
        <v>-2.1800000000000001E-4</v>
      </c>
      <c r="BP21" s="30">
        <v>9.0507431563270711E-3</v>
      </c>
      <c r="BQ21" s="43">
        <v>-2.3000000000000001E-4</v>
      </c>
      <c r="BR21" s="43">
        <v>-2.1499999999999999E-4</v>
      </c>
      <c r="BS21" s="43">
        <v>-6.3E-5</v>
      </c>
      <c r="BT21" s="30">
        <v>1.0025395972993735E-2</v>
      </c>
      <c r="BU21" s="43">
        <v>-2.3599999999999999E-4</v>
      </c>
      <c r="BV21" s="43">
        <v>-2.1900000000000001E-4</v>
      </c>
      <c r="BW21" s="43">
        <v>-6.0000000000000002E-5</v>
      </c>
      <c r="BY21" s="30">
        <v>9.0507431563270711E-3</v>
      </c>
      <c r="BZ21" s="43">
        <v>-2.13E-4</v>
      </c>
      <c r="CA21" s="43">
        <v>-2.0000000000000001E-4</v>
      </c>
      <c r="CB21" s="43">
        <v>-7.2999999999999999E-5</v>
      </c>
      <c r="CC21" s="30">
        <v>1.0025395972993735E-2</v>
      </c>
      <c r="CD21" s="43">
        <v>-2.12E-4</v>
      </c>
      <c r="CE21" s="43">
        <v>-2.0000000000000001E-4</v>
      </c>
      <c r="CF21" s="43">
        <v>-7.4999999999999993E-5</v>
      </c>
      <c r="CH21" s="30">
        <v>9.0507431563270711E-3</v>
      </c>
      <c r="CI21" s="43">
        <v>-3.1799999999999998E-4</v>
      </c>
      <c r="CJ21" s="43">
        <v>-3.19E-4</v>
      </c>
      <c r="CK21" s="43">
        <v>-1.2999999999999999E-4</v>
      </c>
      <c r="CL21" s="30">
        <v>1.0025395972993735E-2</v>
      </c>
      <c r="CM21" s="43">
        <v>-3.28E-4</v>
      </c>
      <c r="CN21" s="43">
        <v>-3.3E-4</v>
      </c>
      <c r="CO21" s="43">
        <v>-1.21E-4</v>
      </c>
      <c r="CQ21" s="30">
        <v>9.0507431563270711E-3</v>
      </c>
      <c r="CR21" s="43">
        <v>-2.5900000000000001E-4</v>
      </c>
      <c r="CS21" s="43">
        <v>-2.5900000000000001E-4</v>
      </c>
      <c r="CT21" s="43">
        <v>-1.85E-4</v>
      </c>
      <c r="CU21" s="30">
        <v>1.0025395972993735E-2</v>
      </c>
      <c r="CV21" s="43">
        <v>-2.6200000000000003E-4</v>
      </c>
      <c r="CW21" s="43">
        <v>-2.63E-4</v>
      </c>
      <c r="CX21" s="43">
        <v>-1.8100000000000001E-4</v>
      </c>
    </row>
    <row r="22" spans="2:102" x14ac:dyDescent="0.25">
      <c r="H22" s="2">
        <v>0</v>
      </c>
      <c r="I22" s="1">
        <v>-4.033204516914626E-3</v>
      </c>
      <c r="J22" s="2">
        <v>0</v>
      </c>
      <c r="K22" s="1"/>
      <c r="N22" s="30">
        <v>9.7469237396604052E-3</v>
      </c>
      <c r="O22" s="43">
        <v>-2.4800000000000001E-4</v>
      </c>
      <c r="P22" s="43">
        <v>-2.3699999999999999E-4</v>
      </c>
      <c r="Q22" s="43">
        <v>-1.21E-4</v>
      </c>
      <c r="R22" s="30">
        <v>1.0860812672993735E-2</v>
      </c>
      <c r="S22" s="43">
        <v>-2.41E-4</v>
      </c>
      <c r="T22" s="43">
        <v>-2.32E-4</v>
      </c>
      <c r="U22" s="43">
        <v>-1.25E-4</v>
      </c>
      <c r="W22" s="30">
        <v>9.7469237396604052E-3</v>
      </c>
      <c r="X22" s="43">
        <v>-3.7599999999999998E-4</v>
      </c>
      <c r="Y22" s="43">
        <v>-3.4600000000000001E-4</v>
      </c>
      <c r="Z22" s="43">
        <v>-1.0000000000000001E-5</v>
      </c>
      <c r="AA22" s="30">
        <v>1.0860812672993735E-2</v>
      </c>
      <c r="AB22" s="43">
        <v>-3.7599999999999998E-4</v>
      </c>
      <c r="AC22" s="43">
        <v>-3.4600000000000001E-4</v>
      </c>
      <c r="AD22" s="43">
        <v>-9.0000000000000002E-6</v>
      </c>
      <c r="AF22" s="30">
        <v>9.7469237396604052E-3</v>
      </c>
      <c r="AG22" s="43">
        <v>-2.7500000000000002E-4</v>
      </c>
      <c r="AH22" s="43">
        <v>-2.6699999999999998E-4</v>
      </c>
      <c r="AI22" s="43">
        <v>-1.8100000000000001E-4</v>
      </c>
      <c r="AJ22" s="30">
        <v>1.0860812672993735E-2</v>
      </c>
      <c r="AK22" s="43">
        <v>-2.81E-4</v>
      </c>
      <c r="AL22" s="43">
        <v>-2.72E-4</v>
      </c>
      <c r="AM22" s="43">
        <v>-1.76E-4</v>
      </c>
      <c r="AO22" s="30">
        <v>9.7469237396604052E-3</v>
      </c>
      <c r="AP22" s="43">
        <v>-2.2599999999999999E-4</v>
      </c>
      <c r="AQ22" s="43">
        <v>-2.2599999999999999E-4</v>
      </c>
      <c r="AR22" s="43">
        <v>-2.1499999999999999E-4</v>
      </c>
      <c r="AS22" s="30">
        <v>1.0860812672993735E-2</v>
      </c>
      <c r="AT22" s="43">
        <v>-2.2699999999999999E-4</v>
      </c>
      <c r="AU22" s="43">
        <v>-2.2599999999999999E-4</v>
      </c>
      <c r="AV22" s="43">
        <v>-2.1499999999999999E-4</v>
      </c>
      <c r="AX22" s="30">
        <v>9.7469237396604052E-3</v>
      </c>
      <c r="AY22" s="43">
        <v>-2.7700000000000001E-4</v>
      </c>
      <c r="AZ22" s="43">
        <v>-2.6800000000000001E-4</v>
      </c>
      <c r="BA22" s="43">
        <v>-1.8000000000000001E-4</v>
      </c>
      <c r="BB22" s="30">
        <v>1.0860812672993735E-2</v>
      </c>
      <c r="BC22" s="43">
        <v>-2.8299999999999999E-4</v>
      </c>
      <c r="BD22" s="43">
        <v>-2.7300000000000002E-4</v>
      </c>
      <c r="BE22" s="43">
        <v>-1.75E-4</v>
      </c>
      <c r="BG22" s="30">
        <v>9.7469237396604052E-3</v>
      </c>
      <c r="BH22" s="43">
        <v>-2.24E-4</v>
      </c>
      <c r="BI22" s="43">
        <v>-2.24E-4</v>
      </c>
      <c r="BJ22" s="43">
        <v>-2.1800000000000001E-4</v>
      </c>
      <c r="BK22" s="30">
        <v>1.0860812672993735E-2</v>
      </c>
      <c r="BL22" s="43">
        <v>-2.2499999999999999E-4</v>
      </c>
      <c r="BM22" s="43">
        <v>-2.24E-4</v>
      </c>
      <c r="BN22" s="43">
        <v>-2.1699999999999999E-4</v>
      </c>
      <c r="BP22" s="30">
        <v>9.7469237396604052E-3</v>
      </c>
      <c r="BQ22" s="43">
        <v>-2.34E-4</v>
      </c>
      <c r="BR22" s="43">
        <v>-2.1800000000000001E-4</v>
      </c>
      <c r="BS22" s="43">
        <v>-6.0999999999999999E-5</v>
      </c>
      <c r="BT22" s="30">
        <v>1.0860812672993735E-2</v>
      </c>
      <c r="BU22" s="43">
        <v>-2.4000000000000001E-4</v>
      </c>
      <c r="BV22" s="43">
        <v>-2.23E-4</v>
      </c>
      <c r="BW22" s="43">
        <v>-5.7000000000000003E-5</v>
      </c>
      <c r="BY22" s="30">
        <v>9.7469237396604052E-3</v>
      </c>
      <c r="BZ22" s="43">
        <v>-2.12E-4</v>
      </c>
      <c r="CA22" s="43">
        <v>-2.0000000000000001E-4</v>
      </c>
      <c r="CB22" s="43">
        <v>-7.3999999999999996E-5</v>
      </c>
      <c r="CC22" s="30">
        <v>1.0860812672993735E-2</v>
      </c>
      <c r="CD22" s="43">
        <v>-2.12E-4</v>
      </c>
      <c r="CE22" s="43">
        <v>-1.9900000000000001E-4</v>
      </c>
      <c r="CF22" s="43">
        <v>-7.6000000000000004E-5</v>
      </c>
      <c r="CH22" s="30">
        <v>9.7469237396604052E-3</v>
      </c>
      <c r="CI22" s="43">
        <v>-3.2600000000000001E-4</v>
      </c>
      <c r="CJ22" s="43">
        <v>-3.2699999999999998E-4</v>
      </c>
      <c r="CK22" s="43">
        <v>-1.2300000000000001E-4</v>
      </c>
      <c r="CL22" s="30">
        <v>1.0860812672993735E-2</v>
      </c>
      <c r="CM22" s="43">
        <v>-3.3700000000000001E-4</v>
      </c>
      <c r="CN22" s="43">
        <v>-3.3799999999999998E-4</v>
      </c>
      <c r="CO22" s="43">
        <v>-1.12E-4</v>
      </c>
      <c r="CQ22" s="30">
        <v>9.7469237396604052E-3</v>
      </c>
      <c r="CR22" s="43">
        <v>-2.61E-4</v>
      </c>
      <c r="CS22" s="43">
        <v>-2.6200000000000003E-4</v>
      </c>
      <c r="CT22" s="43">
        <v>-1.8200000000000001E-4</v>
      </c>
      <c r="CU22" s="30">
        <v>1.0860812672993735E-2</v>
      </c>
      <c r="CV22" s="43">
        <v>-2.6600000000000001E-4</v>
      </c>
      <c r="CW22" s="43">
        <v>-2.6600000000000001E-4</v>
      </c>
      <c r="CX22" s="43">
        <v>-1.7799999999999999E-4</v>
      </c>
    </row>
    <row r="23" spans="2:102" x14ac:dyDescent="0.25">
      <c r="H23" s="2">
        <v>4.1771230572993701E-2</v>
      </c>
      <c r="I23" s="1">
        <v>-4.033204516914626E-3</v>
      </c>
      <c r="J23" s="2">
        <v>0.2292713866768068</v>
      </c>
      <c r="K23" s="1"/>
      <c r="N23" s="30">
        <v>1.0443104322993739E-2</v>
      </c>
      <c r="O23" s="43">
        <v>-2.4399999999999999E-4</v>
      </c>
      <c r="P23" s="43">
        <v>-2.34E-4</v>
      </c>
      <c r="Q23" s="43">
        <v>-1.2400000000000001E-4</v>
      </c>
      <c r="R23" s="30">
        <v>1.1696229372993734E-2</v>
      </c>
      <c r="S23" s="43">
        <v>-2.3699999999999999E-4</v>
      </c>
      <c r="T23" s="43">
        <v>-2.2800000000000001E-4</v>
      </c>
      <c r="U23" s="43">
        <v>-1.2799999999999999E-4</v>
      </c>
      <c r="W23" s="30">
        <v>1.0443104322993739E-2</v>
      </c>
      <c r="X23" s="43">
        <v>-3.7599999999999998E-4</v>
      </c>
      <c r="Y23" s="43">
        <v>-3.4600000000000001E-4</v>
      </c>
      <c r="Z23" s="43">
        <v>-9.0000000000000002E-6</v>
      </c>
      <c r="AA23" s="30">
        <v>1.1696229372993734E-2</v>
      </c>
      <c r="AB23" s="43">
        <v>-3.7599999999999998E-4</v>
      </c>
      <c r="AC23" s="43">
        <v>-3.4600000000000001E-4</v>
      </c>
      <c r="AD23" s="43">
        <v>-7.9999999999999996E-6</v>
      </c>
      <c r="AF23" s="30">
        <v>1.0443104322993739E-2</v>
      </c>
      <c r="AG23" s="43">
        <v>-2.7900000000000001E-4</v>
      </c>
      <c r="AH23" s="43">
        <v>-2.7E-4</v>
      </c>
      <c r="AI23" s="43">
        <v>-1.7799999999999999E-4</v>
      </c>
      <c r="AJ23" s="30">
        <v>1.1696229372993734E-2</v>
      </c>
      <c r="AK23" s="43">
        <v>-2.8499999999999999E-4</v>
      </c>
      <c r="AL23" s="43">
        <v>-2.7500000000000002E-4</v>
      </c>
      <c r="AM23" s="43">
        <v>-1.7200000000000001E-4</v>
      </c>
      <c r="AO23" s="30">
        <v>1.0443104322993739E-2</v>
      </c>
      <c r="AP23" s="43">
        <v>-2.2699999999999999E-4</v>
      </c>
      <c r="AQ23" s="43">
        <v>-2.2599999999999999E-4</v>
      </c>
      <c r="AR23" s="43">
        <v>-2.1499999999999999E-4</v>
      </c>
      <c r="AS23" s="30">
        <v>1.1696229372993734E-2</v>
      </c>
      <c r="AT23" s="43">
        <v>-2.2699999999999999E-4</v>
      </c>
      <c r="AU23" s="43">
        <v>-2.2599999999999999E-4</v>
      </c>
      <c r="AV23" s="43">
        <v>-2.1499999999999999E-4</v>
      </c>
      <c r="AX23" s="30">
        <v>1.0443104322993739E-2</v>
      </c>
      <c r="AY23" s="43">
        <v>-2.7999999999999998E-4</v>
      </c>
      <c r="AZ23" s="43">
        <v>-2.7099999999999997E-4</v>
      </c>
      <c r="BA23" s="43">
        <v>-1.7699999999999999E-4</v>
      </c>
      <c r="BB23" s="30">
        <v>1.1696229372993734E-2</v>
      </c>
      <c r="BC23" s="43">
        <v>-2.8699999999999998E-4</v>
      </c>
      <c r="BD23" s="43">
        <v>-2.7700000000000001E-4</v>
      </c>
      <c r="BE23" s="43">
        <v>-1.7100000000000001E-4</v>
      </c>
      <c r="BG23" s="30">
        <v>1.0443104322993739E-2</v>
      </c>
      <c r="BH23" s="43">
        <v>-2.2499999999999999E-4</v>
      </c>
      <c r="BI23" s="43">
        <v>-2.24E-4</v>
      </c>
      <c r="BJ23" s="43">
        <v>-2.1699999999999999E-4</v>
      </c>
      <c r="BK23" s="30">
        <v>1.1696229372993734E-2</v>
      </c>
      <c r="BL23" s="43">
        <v>-2.2499999999999999E-4</v>
      </c>
      <c r="BM23" s="43">
        <v>-2.2499999999999999E-4</v>
      </c>
      <c r="BN23" s="43">
        <v>-2.1699999999999999E-4</v>
      </c>
      <c r="BP23" s="30">
        <v>1.0443104322993739E-2</v>
      </c>
      <c r="BQ23" s="43">
        <v>-2.3800000000000001E-4</v>
      </c>
      <c r="BR23" s="43">
        <v>-2.2100000000000001E-4</v>
      </c>
      <c r="BS23" s="43">
        <v>-5.8E-5</v>
      </c>
      <c r="BT23" s="30">
        <v>1.1696229372993734E-2</v>
      </c>
      <c r="BU23" s="43">
        <v>-2.4399999999999999E-4</v>
      </c>
      <c r="BV23" s="43">
        <v>-2.2699999999999999E-4</v>
      </c>
      <c r="BW23" s="43">
        <v>-5.3999999999999998E-5</v>
      </c>
      <c r="BY23" s="30">
        <v>1.0443104322993739E-2</v>
      </c>
      <c r="BZ23" s="43">
        <v>-2.12E-4</v>
      </c>
      <c r="CA23" s="43">
        <v>-1.9900000000000001E-4</v>
      </c>
      <c r="CB23" s="43">
        <v>-7.4999999999999993E-5</v>
      </c>
      <c r="CC23" s="30">
        <v>1.1696229372993734E-2</v>
      </c>
      <c r="CD23" s="43">
        <v>-2.1100000000000001E-4</v>
      </c>
      <c r="CE23" s="43">
        <v>-1.9900000000000001E-4</v>
      </c>
      <c r="CF23" s="43">
        <v>-7.7000000000000001E-5</v>
      </c>
      <c r="CH23" s="30">
        <v>1.0443104322993739E-2</v>
      </c>
      <c r="CI23" s="43">
        <v>-3.3300000000000002E-4</v>
      </c>
      <c r="CJ23" s="43">
        <v>-3.3399999999999999E-4</v>
      </c>
      <c r="CK23" s="43">
        <v>-1.16E-4</v>
      </c>
      <c r="CL23" s="30">
        <v>1.1696229372993734E-2</v>
      </c>
      <c r="CM23" s="43">
        <v>-3.4600000000000001E-4</v>
      </c>
      <c r="CN23" s="43">
        <v>-3.4699999999999998E-4</v>
      </c>
      <c r="CO23" s="43">
        <v>-1.03E-4</v>
      </c>
      <c r="CQ23" s="30">
        <v>1.0443104322993739E-2</v>
      </c>
      <c r="CR23" s="43">
        <v>-2.6400000000000002E-4</v>
      </c>
      <c r="CS23" s="43">
        <v>-2.6400000000000002E-4</v>
      </c>
      <c r="CT23" s="43">
        <v>-1.8000000000000001E-4</v>
      </c>
      <c r="CU23" s="30">
        <v>1.1696229372993734E-2</v>
      </c>
      <c r="CV23" s="43">
        <v>-2.6899999999999998E-4</v>
      </c>
      <c r="CW23" s="43">
        <v>-2.6899999999999998E-4</v>
      </c>
      <c r="CX23" s="43">
        <v>-1.75E-4</v>
      </c>
    </row>
    <row r="24" spans="2:102" x14ac:dyDescent="0.25">
      <c r="H24" s="71" t="s">
        <v>86</v>
      </c>
      <c r="I24" s="71"/>
      <c r="J24" s="71" t="s">
        <v>86</v>
      </c>
      <c r="K24" s="71"/>
      <c r="N24" s="30">
        <v>1.1139284906327072E-2</v>
      </c>
      <c r="O24" s="43">
        <v>-2.4000000000000001E-4</v>
      </c>
      <c r="P24" s="43">
        <v>-2.31E-4</v>
      </c>
      <c r="Q24" s="43">
        <v>-1.26E-4</v>
      </c>
      <c r="R24" s="30">
        <v>1.2531646072993735E-2</v>
      </c>
      <c r="S24" s="43">
        <v>-2.32E-4</v>
      </c>
      <c r="T24" s="43">
        <v>-2.24E-4</v>
      </c>
      <c r="U24" s="43">
        <v>-1.3100000000000001E-4</v>
      </c>
      <c r="W24" s="30">
        <v>1.1139284906327072E-2</v>
      </c>
      <c r="X24" s="43">
        <v>-3.7599999999999998E-4</v>
      </c>
      <c r="Y24" s="43">
        <v>-3.4600000000000001E-4</v>
      </c>
      <c r="Z24" s="43">
        <v>-9.0000000000000002E-6</v>
      </c>
      <c r="AA24" s="30">
        <v>1.2531646072993735E-2</v>
      </c>
      <c r="AB24" s="43">
        <v>-3.7599999999999998E-4</v>
      </c>
      <c r="AC24" s="43">
        <v>-3.4600000000000001E-4</v>
      </c>
      <c r="AD24" s="43">
        <v>-6.9999999999999999E-6</v>
      </c>
      <c r="AF24" s="30">
        <v>1.1139284906327072E-2</v>
      </c>
      <c r="AG24" s="43">
        <v>-2.8299999999999999E-4</v>
      </c>
      <c r="AH24" s="43">
        <v>-2.7300000000000002E-4</v>
      </c>
      <c r="AI24" s="43">
        <v>-1.75E-4</v>
      </c>
      <c r="AJ24" s="30">
        <v>1.2531646072993735E-2</v>
      </c>
      <c r="AK24" s="43">
        <v>-2.9E-4</v>
      </c>
      <c r="AL24" s="43">
        <v>-2.7900000000000001E-4</v>
      </c>
      <c r="AM24" s="43">
        <v>-1.6899999999999999E-4</v>
      </c>
      <c r="AO24" s="30">
        <v>1.1139284906327072E-2</v>
      </c>
      <c r="AP24" s="43">
        <v>-2.2699999999999999E-4</v>
      </c>
      <c r="AQ24" s="43">
        <v>-2.2599999999999999E-4</v>
      </c>
      <c r="AR24" s="43">
        <v>-2.1499999999999999E-4</v>
      </c>
      <c r="AS24" s="30">
        <v>1.2531646072993735E-2</v>
      </c>
      <c r="AT24" s="43">
        <v>-2.2699999999999999E-4</v>
      </c>
      <c r="AU24" s="43">
        <v>-2.2699999999999999E-4</v>
      </c>
      <c r="AV24" s="43">
        <v>-2.14E-4</v>
      </c>
      <c r="AX24" s="30">
        <v>1.1139284906327072E-2</v>
      </c>
      <c r="AY24" s="43">
        <v>-2.8400000000000002E-4</v>
      </c>
      <c r="AZ24" s="43">
        <v>-2.7399999999999999E-4</v>
      </c>
      <c r="BA24" s="43">
        <v>-1.74E-4</v>
      </c>
      <c r="BB24" s="30">
        <v>1.2531646072993735E-2</v>
      </c>
      <c r="BC24" s="43">
        <v>-2.92E-4</v>
      </c>
      <c r="BD24" s="43">
        <v>-2.81E-4</v>
      </c>
      <c r="BE24" s="43">
        <v>-1.6799999999999999E-4</v>
      </c>
      <c r="BG24" s="30">
        <v>1.1139284906327072E-2</v>
      </c>
      <c r="BH24" s="43">
        <v>-2.2499999999999999E-4</v>
      </c>
      <c r="BI24" s="43">
        <v>-2.24E-4</v>
      </c>
      <c r="BJ24" s="43">
        <v>-2.1699999999999999E-4</v>
      </c>
      <c r="BK24" s="30">
        <v>1.2531646072993735E-2</v>
      </c>
      <c r="BL24" s="43">
        <v>-2.2499999999999999E-4</v>
      </c>
      <c r="BM24" s="43">
        <v>-2.2499999999999999E-4</v>
      </c>
      <c r="BN24" s="43">
        <v>-2.1699999999999999E-4</v>
      </c>
      <c r="BP24" s="30">
        <v>1.1139284906327072E-2</v>
      </c>
      <c r="BQ24" s="43">
        <v>-2.42E-4</v>
      </c>
      <c r="BR24" s="43">
        <v>-2.2499999999999999E-4</v>
      </c>
      <c r="BS24" s="43">
        <v>-5.5999999999999999E-5</v>
      </c>
      <c r="BT24" s="30">
        <v>1.2531646072993735E-2</v>
      </c>
      <c r="BU24" s="43">
        <v>-2.4899999999999998E-4</v>
      </c>
      <c r="BV24" s="43">
        <v>-2.31E-4</v>
      </c>
      <c r="BW24" s="43">
        <v>-5.1E-5</v>
      </c>
      <c r="BY24" s="30">
        <v>1.1139284906327072E-2</v>
      </c>
      <c r="BZ24" s="43">
        <v>-2.1100000000000001E-4</v>
      </c>
      <c r="CA24" s="43">
        <v>-1.9900000000000001E-4</v>
      </c>
      <c r="CB24" s="43">
        <v>-7.6000000000000004E-5</v>
      </c>
      <c r="CC24" s="30">
        <v>1.2531646072993735E-2</v>
      </c>
      <c r="CD24" s="43">
        <v>-2.1000000000000001E-4</v>
      </c>
      <c r="CE24" s="43">
        <v>-1.9799999999999999E-4</v>
      </c>
      <c r="CF24" s="43">
        <v>-7.7999999999999999E-5</v>
      </c>
      <c r="CH24" s="30">
        <v>1.1139284906327072E-2</v>
      </c>
      <c r="CI24" s="43">
        <v>-3.4000000000000002E-4</v>
      </c>
      <c r="CJ24" s="43">
        <v>-3.4099999999999999E-4</v>
      </c>
      <c r="CK24" s="43">
        <v>-1.0900000000000001E-4</v>
      </c>
      <c r="CL24" s="30">
        <v>1.2531646072993735E-2</v>
      </c>
      <c r="CM24" s="43">
        <v>-3.5399999999999999E-4</v>
      </c>
      <c r="CN24" s="43">
        <v>-3.5599999999999998E-4</v>
      </c>
      <c r="CO24" s="43">
        <v>-9.5000000000000005E-5</v>
      </c>
      <c r="CQ24" s="30">
        <v>1.1139284906327072E-2</v>
      </c>
      <c r="CR24" s="43">
        <v>-2.6699999999999998E-4</v>
      </c>
      <c r="CS24" s="43">
        <v>-2.6699999999999998E-4</v>
      </c>
      <c r="CT24" s="43">
        <v>-1.7699999999999999E-4</v>
      </c>
      <c r="CU24" s="30">
        <v>1.2531646072993735E-2</v>
      </c>
      <c r="CV24" s="43">
        <v>-2.72E-4</v>
      </c>
      <c r="CW24" s="43">
        <v>-2.7300000000000002E-4</v>
      </c>
      <c r="CX24" s="43">
        <v>-1.7200000000000001E-4</v>
      </c>
    </row>
    <row r="25" spans="2:102" x14ac:dyDescent="0.25">
      <c r="H25" s="2">
        <v>0</v>
      </c>
      <c r="I25" s="1">
        <v>-5.3776060225528347E-3</v>
      </c>
      <c r="J25" s="2">
        <v>0</v>
      </c>
      <c r="K25" s="1"/>
      <c r="N25" s="30">
        <v>1.1835465489660406E-2</v>
      </c>
      <c r="O25" s="43">
        <v>-2.3599999999999999E-4</v>
      </c>
      <c r="P25" s="43">
        <v>-2.2699999999999999E-4</v>
      </c>
      <c r="Q25" s="43">
        <v>-1.2899999999999999E-4</v>
      </c>
      <c r="R25" s="30">
        <v>1.3367062772993734E-2</v>
      </c>
      <c r="S25" s="43">
        <v>-2.2800000000000001E-4</v>
      </c>
      <c r="T25" s="43">
        <v>-2.2000000000000001E-4</v>
      </c>
      <c r="U25" s="43">
        <v>-1.34E-4</v>
      </c>
      <c r="W25" s="30">
        <v>1.1835465489660406E-2</v>
      </c>
      <c r="X25" s="43">
        <v>-3.7599999999999998E-4</v>
      </c>
      <c r="Y25" s="43">
        <v>-3.4600000000000001E-4</v>
      </c>
      <c r="Z25" s="43">
        <v>-7.9999999999999996E-6</v>
      </c>
      <c r="AA25" s="30">
        <v>1.3367062772993734E-2</v>
      </c>
      <c r="AB25" s="43">
        <v>-3.7599999999999998E-4</v>
      </c>
      <c r="AC25" s="43">
        <v>-3.4600000000000001E-4</v>
      </c>
      <c r="AD25" s="43">
        <v>-6.0000000000000002E-6</v>
      </c>
      <c r="AF25" s="30">
        <v>1.1835465489660406E-2</v>
      </c>
      <c r="AG25" s="43">
        <v>-2.8600000000000001E-4</v>
      </c>
      <c r="AH25" s="43">
        <v>-2.7599999999999999E-4</v>
      </c>
      <c r="AI25" s="43">
        <v>-1.7200000000000001E-4</v>
      </c>
      <c r="AJ25" s="30">
        <v>1.3367062772993734E-2</v>
      </c>
      <c r="AK25" s="43">
        <v>-2.9399999999999999E-4</v>
      </c>
      <c r="AL25" s="43">
        <v>-2.8299999999999999E-4</v>
      </c>
      <c r="AM25" s="43">
        <v>-1.65E-4</v>
      </c>
      <c r="AO25" s="30">
        <v>1.1835465489660406E-2</v>
      </c>
      <c r="AP25" s="43">
        <v>-2.2699999999999999E-4</v>
      </c>
      <c r="AQ25" s="43">
        <v>-2.2599999999999999E-4</v>
      </c>
      <c r="AR25" s="43">
        <v>-2.1499999999999999E-4</v>
      </c>
      <c r="AS25" s="30">
        <v>1.3367062772993734E-2</v>
      </c>
      <c r="AT25" s="43">
        <v>-2.2800000000000001E-4</v>
      </c>
      <c r="AU25" s="43">
        <v>-2.2699999999999999E-4</v>
      </c>
      <c r="AV25" s="43">
        <v>-2.14E-4</v>
      </c>
      <c r="AX25" s="30">
        <v>1.1835465489660406E-2</v>
      </c>
      <c r="AY25" s="43">
        <v>-2.8800000000000001E-4</v>
      </c>
      <c r="AZ25" s="43">
        <v>-2.7700000000000001E-4</v>
      </c>
      <c r="BA25" s="43">
        <v>-1.7100000000000001E-4</v>
      </c>
      <c r="BB25" s="30">
        <v>1.3367062772993734E-2</v>
      </c>
      <c r="BC25" s="43">
        <v>-2.9599999999999998E-4</v>
      </c>
      <c r="BD25" s="43">
        <v>-2.8400000000000002E-4</v>
      </c>
      <c r="BE25" s="43">
        <v>-1.64E-4</v>
      </c>
      <c r="BG25" s="30">
        <v>1.1835465489660406E-2</v>
      </c>
      <c r="BH25" s="43">
        <v>-2.2499999999999999E-4</v>
      </c>
      <c r="BI25" s="43">
        <v>-2.2499999999999999E-4</v>
      </c>
      <c r="BJ25" s="43">
        <v>-2.1699999999999999E-4</v>
      </c>
      <c r="BK25" s="30">
        <v>1.3367062772993734E-2</v>
      </c>
      <c r="BL25" s="43">
        <v>-2.2599999999999999E-4</v>
      </c>
      <c r="BM25" s="43">
        <v>-2.2499999999999999E-4</v>
      </c>
      <c r="BN25" s="43">
        <v>-2.1699999999999999E-4</v>
      </c>
      <c r="BP25" s="30">
        <v>1.1835465489660406E-2</v>
      </c>
      <c r="BQ25" s="43">
        <v>-2.4499999999999999E-4</v>
      </c>
      <c r="BR25" s="43">
        <v>-2.2800000000000001E-4</v>
      </c>
      <c r="BS25" s="43">
        <v>-5.3000000000000001E-5</v>
      </c>
      <c r="BT25" s="30">
        <v>1.3367062772993734E-2</v>
      </c>
      <c r="BU25" s="43">
        <v>-2.5300000000000002E-4</v>
      </c>
      <c r="BV25" s="43">
        <v>-2.34E-4</v>
      </c>
      <c r="BW25" s="43">
        <v>-4.8000000000000001E-5</v>
      </c>
      <c r="BY25" s="30">
        <v>1.1835465489660406E-2</v>
      </c>
      <c r="BZ25" s="43">
        <v>-2.1100000000000001E-4</v>
      </c>
      <c r="CA25" s="43">
        <v>-1.9900000000000001E-4</v>
      </c>
      <c r="CB25" s="43">
        <v>-7.7000000000000001E-5</v>
      </c>
      <c r="CC25" s="30">
        <v>1.3367062772993734E-2</v>
      </c>
      <c r="CD25" s="43">
        <v>-2.1000000000000001E-4</v>
      </c>
      <c r="CE25" s="43">
        <v>-1.9799999999999999E-4</v>
      </c>
      <c r="CF25" s="43">
        <v>-7.8999999999999996E-5</v>
      </c>
      <c r="CH25" s="30">
        <v>1.1835465489660406E-2</v>
      </c>
      <c r="CI25" s="43">
        <v>-3.4699999999999998E-4</v>
      </c>
      <c r="CJ25" s="43">
        <v>-3.48E-4</v>
      </c>
      <c r="CK25" s="43">
        <v>-1.02E-4</v>
      </c>
      <c r="CL25" s="30">
        <v>1.3367062772993734E-2</v>
      </c>
      <c r="CM25" s="43">
        <v>-3.6299999999999999E-4</v>
      </c>
      <c r="CN25" s="43">
        <v>-3.6499999999999998E-4</v>
      </c>
      <c r="CO25" s="43">
        <v>-8.6000000000000003E-5</v>
      </c>
      <c r="CQ25" s="30">
        <v>1.1835465489660406E-2</v>
      </c>
      <c r="CR25" s="43">
        <v>-2.7E-4</v>
      </c>
      <c r="CS25" s="43">
        <v>-2.7E-4</v>
      </c>
      <c r="CT25" s="43">
        <v>-1.74E-4</v>
      </c>
      <c r="CU25" s="30">
        <v>1.3367062772993734E-2</v>
      </c>
      <c r="CV25" s="43">
        <v>-2.7599999999999999E-4</v>
      </c>
      <c r="CW25" s="43">
        <v>-2.7599999999999999E-4</v>
      </c>
      <c r="CX25" s="43">
        <v>-1.6799999999999999E-4</v>
      </c>
    </row>
    <row r="26" spans="2:102" ht="14.45" customHeight="1" x14ac:dyDescent="0.25">
      <c r="H26" s="2">
        <v>4.1771230572993701E-2</v>
      </c>
      <c r="I26" s="1">
        <v>-5.3776060225528347E-3</v>
      </c>
      <c r="J26" s="2">
        <v>0.2292713866768068</v>
      </c>
      <c r="K26" s="1"/>
      <c r="N26" s="30">
        <v>1.253164607299374E-2</v>
      </c>
      <c r="O26" s="43">
        <v>-2.32E-4</v>
      </c>
      <c r="P26" s="43">
        <v>-2.24E-4</v>
      </c>
      <c r="Q26" s="43">
        <v>-1.3100000000000001E-4</v>
      </c>
      <c r="R26" s="30">
        <v>1.4202479472993733E-2</v>
      </c>
      <c r="S26" s="43">
        <v>-2.23E-4</v>
      </c>
      <c r="T26" s="43">
        <v>-2.1599999999999999E-4</v>
      </c>
      <c r="U26" s="43">
        <v>-1.37E-4</v>
      </c>
      <c r="W26" s="30">
        <v>1.253164607299374E-2</v>
      </c>
      <c r="X26" s="43">
        <v>-3.7599999999999998E-4</v>
      </c>
      <c r="Y26" s="43">
        <v>-3.4600000000000001E-4</v>
      </c>
      <c r="Z26" s="43">
        <v>-6.9999999999999999E-6</v>
      </c>
      <c r="AA26" s="30">
        <v>1.4202479472993733E-2</v>
      </c>
      <c r="AB26" s="43">
        <v>-3.7599999999999998E-4</v>
      </c>
      <c r="AC26" s="43">
        <v>-3.4600000000000001E-4</v>
      </c>
      <c r="AD26" s="43">
        <v>-6.0000000000000002E-6</v>
      </c>
      <c r="AF26" s="30">
        <v>1.253164607299374E-2</v>
      </c>
      <c r="AG26" s="43">
        <v>-2.9E-4</v>
      </c>
      <c r="AH26" s="43">
        <v>-2.7900000000000001E-4</v>
      </c>
      <c r="AI26" s="43">
        <v>-1.6899999999999999E-4</v>
      </c>
      <c r="AJ26" s="30">
        <v>1.4202479472993733E-2</v>
      </c>
      <c r="AK26" s="43">
        <v>-2.99E-4</v>
      </c>
      <c r="AL26" s="43">
        <v>-2.8600000000000001E-4</v>
      </c>
      <c r="AM26" s="43">
        <v>-1.6100000000000001E-4</v>
      </c>
      <c r="AO26" s="30">
        <v>1.253164607299374E-2</v>
      </c>
      <c r="AP26" s="43">
        <v>-2.2699999999999999E-4</v>
      </c>
      <c r="AQ26" s="43">
        <v>-2.2599999999999999E-4</v>
      </c>
      <c r="AR26" s="43">
        <v>-2.1499999999999999E-4</v>
      </c>
      <c r="AS26" s="30">
        <v>1.4202479472993733E-2</v>
      </c>
      <c r="AT26" s="43">
        <v>-2.2800000000000001E-4</v>
      </c>
      <c r="AU26" s="43">
        <v>-2.2699999999999999E-4</v>
      </c>
      <c r="AV26" s="43">
        <v>-2.14E-4</v>
      </c>
      <c r="AX26" s="30">
        <v>1.253164607299374E-2</v>
      </c>
      <c r="AY26" s="43">
        <v>-2.92E-4</v>
      </c>
      <c r="AZ26" s="43">
        <v>-2.7999999999999998E-4</v>
      </c>
      <c r="BA26" s="43">
        <v>-1.6799999999999999E-4</v>
      </c>
      <c r="BB26" s="30">
        <v>1.4202479472993733E-2</v>
      </c>
      <c r="BC26" s="43">
        <v>-3.01E-4</v>
      </c>
      <c r="BD26" s="43">
        <v>-2.8800000000000001E-4</v>
      </c>
      <c r="BE26" s="43">
        <v>-1.6100000000000001E-4</v>
      </c>
      <c r="BG26" s="30">
        <v>1.253164607299374E-2</v>
      </c>
      <c r="BH26" s="43">
        <v>-2.2499999999999999E-4</v>
      </c>
      <c r="BI26" s="43">
        <v>-2.2499999999999999E-4</v>
      </c>
      <c r="BJ26" s="43">
        <v>-2.1699999999999999E-4</v>
      </c>
      <c r="BK26" s="30">
        <v>1.4202479472993733E-2</v>
      </c>
      <c r="BL26" s="43">
        <v>-2.2599999999999999E-4</v>
      </c>
      <c r="BM26" s="43">
        <v>-2.2499999999999999E-4</v>
      </c>
      <c r="BN26" s="43">
        <v>-2.1699999999999999E-4</v>
      </c>
      <c r="BP26" s="30">
        <v>1.253164607299374E-2</v>
      </c>
      <c r="BQ26" s="43">
        <v>-2.4899999999999998E-4</v>
      </c>
      <c r="BR26" s="43">
        <v>-2.31E-4</v>
      </c>
      <c r="BS26" s="43">
        <v>-5.1E-5</v>
      </c>
      <c r="BT26" s="30">
        <v>1.4202479472993733E-2</v>
      </c>
      <c r="BU26" s="43">
        <v>-2.5799999999999998E-4</v>
      </c>
      <c r="BV26" s="43">
        <v>-2.3800000000000001E-4</v>
      </c>
      <c r="BW26" s="43">
        <v>-4.5000000000000003E-5</v>
      </c>
      <c r="BY26" s="30">
        <v>1.253164607299374E-2</v>
      </c>
      <c r="BZ26" s="43">
        <v>-2.1000000000000001E-4</v>
      </c>
      <c r="CA26" s="43">
        <v>-1.9799999999999999E-4</v>
      </c>
      <c r="CB26" s="43">
        <v>-7.7999999999999999E-5</v>
      </c>
      <c r="CC26" s="30">
        <v>1.4202479472993733E-2</v>
      </c>
      <c r="CD26" s="43">
        <v>-2.0900000000000001E-4</v>
      </c>
      <c r="CE26" s="43">
        <v>-1.9699999999999999E-4</v>
      </c>
      <c r="CF26" s="43">
        <v>-8.0000000000000007E-5</v>
      </c>
      <c r="CH26" s="30">
        <v>1.253164607299374E-2</v>
      </c>
      <c r="CI26" s="43">
        <v>-3.5399999999999999E-4</v>
      </c>
      <c r="CJ26" s="43">
        <v>-3.5599999999999998E-4</v>
      </c>
      <c r="CK26" s="43">
        <v>-9.5000000000000005E-5</v>
      </c>
      <c r="CL26" s="30">
        <v>1.4202479472993733E-2</v>
      </c>
      <c r="CM26" s="43">
        <v>-3.7199999999999999E-4</v>
      </c>
      <c r="CN26" s="43">
        <v>-3.7300000000000001E-4</v>
      </c>
      <c r="CO26" s="43">
        <v>-7.7999999999999999E-5</v>
      </c>
      <c r="CQ26" s="30">
        <v>1.253164607299374E-2</v>
      </c>
      <c r="CR26" s="43">
        <v>-2.72E-4</v>
      </c>
      <c r="CS26" s="43">
        <v>-2.7300000000000002E-4</v>
      </c>
      <c r="CT26" s="43">
        <v>-1.7200000000000001E-4</v>
      </c>
      <c r="CU26" s="30">
        <v>1.4202479472993733E-2</v>
      </c>
      <c r="CV26" s="43">
        <v>-2.7900000000000001E-4</v>
      </c>
      <c r="CW26" s="43">
        <v>-2.7900000000000001E-4</v>
      </c>
      <c r="CX26" s="43">
        <v>-1.65E-4</v>
      </c>
    </row>
    <row r="27" spans="2:102" x14ac:dyDescent="0.25">
      <c r="N27" s="30">
        <v>1.3227826656327074E-2</v>
      </c>
      <c r="O27" s="43">
        <v>-2.2900000000000001E-4</v>
      </c>
      <c r="P27" s="43">
        <v>-2.2100000000000001E-4</v>
      </c>
      <c r="Q27" s="43">
        <v>-1.34E-4</v>
      </c>
      <c r="R27" s="30">
        <v>1.5037896172993734E-2</v>
      </c>
      <c r="S27" s="43">
        <v>-2.1900000000000001E-4</v>
      </c>
      <c r="T27" s="43">
        <v>-2.12E-4</v>
      </c>
      <c r="U27" s="43">
        <v>-1.3999999999999999E-4</v>
      </c>
      <c r="W27" s="30">
        <v>1.3227826656327074E-2</v>
      </c>
      <c r="X27" s="43">
        <v>-3.7599999999999998E-4</v>
      </c>
      <c r="Y27" s="43">
        <v>-3.4600000000000001E-4</v>
      </c>
      <c r="Z27" s="43">
        <v>-6.9999999999999999E-6</v>
      </c>
      <c r="AA27" s="30">
        <v>1.5037896172993734E-2</v>
      </c>
      <c r="AB27" s="43">
        <v>-3.7599999999999998E-4</v>
      </c>
      <c r="AC27" s="43">
        <v>-3.4600000000000001E-4</v>
      </c>
      <c r="AD27" s="43">
        <v>-5.0000000000000004E-6</v>
      </c>
      <c r="AF27" s="30">
        <v>1.3227826656327074E-2</v>
      </c>
      <c r="AG27" s="43">
        <v>-2.9399999999999999E-4</v>
      </c>
      <c r="AH27" s="43">
        <v>-2.8200000000000002E-4</v>
      </c>
      <c r="AI27" s="43">
        <v>-1.66E-4</v>
      </c>
      <c r="AJ27" s="30">
        <v>1.5037896172993734E-2</v>
      </c>
      <c r="AK27" s="43">
        <v>-3.0299999999999999E-4</v>
      </c>
      <c r="AL27" s="43">
        <v>-2.9E-4</v>
      </c>
      <c r="AM27" s="43">
        <v>-1.5799999999999999E-4</v>
      </c>
      <c r="AO27" s="30">
        <v>1.3227826656327074E-2</v>
      </c>
      <c r="AP27" s="43">
        <v>-2.2800000000000001E-4</v>
      </c>
      <c r="AQ27" s="43">
        <v>-2.2699999999999999E-4</v>
      </c>
      <c r="AR27" s="43">
        <v>-2.14E-4</v>
      </c>
      <c r="AS27" s="30">
        <v>1.5037896172993734E-2</v>
      </c>
      <c r="AT27" s="43">
        <v>-2.2800000000000001E-4</v>
      </c>
      <c r="AU27" s="43">
        <v>-2.2699999999999999E-4</v>
      </c>
      <c r="AV27" s="43">
        <v>-2.14E-4</v>
      </c>
      <c r="AX27" s="30">
        <v>1.3227826656327074E-2</v>
      </c>
      <c r="AY27" s="43">
        <v>-2.9500000000000001E-4</v>
      </c>
      <c r="AZ27" s="43">
        <v>-2.8400000000000002E-4</v>
      </c>
      <c r="BA27" s="43">
        <v>-1.65E-4</v>
      </c>
      <c r="BB27" s="30">
        <v>1.5037896172993734E-2</v>
      </c>
      <c r="BC27" s="43">
        <v>-3.0499999999999999E-4</v>
      </c>
      <c r="BD27" s="43">
        <v>-2.92E-4</v>
      </c>
      <c r="BE27" s="43">
        <v>-1.5699999999999999E-4</v>
      </c>
      <c r="BG27" s="30">
        <v>1.3227826656327074E-2</v>
      </c>
      <c r="BH27" s="43">
        <v>-2.2599999999999999E-4</v>
      </c>
      <c r="BI27" s="43">
        <v>-2.2499999999999999E-4</v>
      </c>
      <c r="BJ27" s="43">
        <v>-2.1699999999999999E-4</v>
      </c>
      <c r="BK27" s="30">
        <v>1.5037896172993734E-2</v>
      </c>
      <c r="BL27" s="43">
        <v>-2.2599999999999999E-4</v>
      </c>
      <c r="BM27" s="43">
        <v>-2.2499999999999999E-4</v>
      </c>
      <c r="BN27" s="43">
        <v>-2.1599999999999999E-4</v>
      </c>
      <c r="BP27" s="30">
        <v>1.3227826656327074E-2</v>
      </c>
      <c r="BQ27" s="43">
        <v>-2.5300000000000002E-4</v>
      </c>
      <c r="BR27" s="43">
        <v>-2.34E-4</v>
      </c>
      <c r="BS27" s="43">
        <v>-4.8000000000000001E-5</v>
      </c>
      <c r="BT27" s="30">
        <v>1.5037896172993734E-2</v>
      </c>
      <c r="BU27" s="43">
        <v>-2.6200000000000003E-4</v>
      </c>
      <c r="BV27" s="43">
        <v>-2.42E-4</v>
      </c>
      <c r="BW27" s="43">
        <v>-4.1999999999999998E-5</v>
      </c>
      <c r="BY27" s="30">
        <v>1.3227826656327074E-2</v>
      </c>
      <c r="BZ27" s="43">
        <v>-2.1000000000000001E-4</v>
      </c>
      <c r="CA27" s="43">
        <v>-1.9799999999999999E-4</v>
      </c>
      <c r="CB27" s="43">
        <v>-7.8999999999999996E-5</v>
      </c>
      <c r="CC27" s="30">
        <v>1.5037896172993734E-2</v>
      </c>
      <c r="CD27" s="43">
        <v>-2.0900000000000001E-4</v>
      </c>
      <c r="CE27" s="43">
        <v>-1.9699999999999999E-4</v>
      </c>
      <c r="CF27" s="43">
        <v>-8.1000000000000004E-5</v>
      </c>
      <c r="CH27" s="30">
        <v>1.3227826656327074E-2</v>
      </c>
      <c r="CI27" s="43">
        <v>-3.6099999999999999E-4</v>
      </c>
      <c r="CJ27" s="43">
        <v>-3.6299999999999999E-4</v>
      </c>
      <c r="CK27" s="43">
        <v>-8.7999999999999998E-5</v>
      </c>
      <c r="CL27" s="30">
        <v>1.5037896172993734E-2</v>
      </c>
      <c r="CM27" s="43">
        <v>-3.8000000000000002E-4</v>
      </c>
      <c r="CN27" s="43">
        <v>-3.8200000000000002E-4</v>
      </c>
      <c r="CO27" s="43">
        <v>-6.8999999999999997E-5</v>
      </c>
      <c r="CQ27" s="30">
        <v>1.3227826656327074E-2</v>
      </c>
      <c r="CR27" s="43">
        <v>-2.7500000000000002E-4</v>
      </c>
      <c r="CS27" s="43">
        <v>-2.7500000000000002E-4</v>
      </c>
      <c r="CT27" s="43">
        <v>-1.6899999999999999E-4</v>
      </c>
      <c r="CU27" s="30">
        <v>1.5037896172993734E-2</v>
      </c>
      <c r="CV27" s="43">
        <v>-2.8200000000000002E-4</v>
      </c>
      <c r="CW27" s="43">
        <v>-2.8299999999999999E-4</v>
      </c>
      <c r="CX27" s="43">
        <v>-1.6200000000000001E-4</v>
      </c>
    </row>
    <row r="28" spans="2:102" x14ac:dyDescent="0.25">
      <c r="N28" s="30">
        <v>1.3924007239660407E-2</v>
      </c>
      <c r="O28" s="43">
        <v>-2.2499999999999999E-4</v>
      </c>
      <c r="P28" s="43">
        <v>-2.1699999999999999E-4</v>
      </c>
      <c r="Q28" s="43">
        <v>-1.36E-4</v>
      </c>
      <c r="R28" s="30">
        <v>1.5873312872993733E-2</v>
      </c>
      <c r="S28" s="43">
        <v>-2.2100000000000001E-4</v>
      </c>
      <c r="T28" s="43">
        <v>-2.14E-4</v>
      </c>
      <c r="U28" s="43">
        <v>-1.37E-4</v>
      </c>
      <c r="W28" s="30">
        <v>1.3924007239660407E-2</v>
      </c>
      <c r="X28" s="43">
        <v>-3.7599999999999998E-4</v>
      </c>
      <c r="Y28" s="43">
        <v>-3.4600000000000001E-4</v>
      </c>
      <c r="Z28" s="43">
        <v>-6.0000000000000002E-6</v>
      </c>
      <c r="AA28" s="30">
        <v>1.5873312872993733E-2</v>
      </c>
      <c r="AB28" s="43">
        <v>-3.7599999999999998E-4</v>
      </c>
      <c r="AC28" s="43">
        <v>-3.4600000000000001E-4</v>
      </c>
      <c r="AD28" s="43">
        <v>-3.9999999999999998E-6</v>
      </c>
      <c r="AF28" s="30">
        <v>1.3924007239660407E-2</v>
      </c>
      <c r="AG28" s="43">
        <v>-2.9799999999999998E-4</v>
      </c>
      <c r="AH28" s="43">
        <v>-2.8499999999999999E-4</v>
      </c>
      <c r="AI28" s="43">
        <v>-1.6200000000000001E-4</v>
      </c>
      <c r="AJ28" s="30">
        <v>1.5873312872993733E-2</v>
      </c>
      <c r="AK28" s="43">
        <v>-3.0800000000000001E-4</v>
      </c>
      <c r="AL28" s="43">
        <v>-2.9399999999999999E-4</v>
      </c>
      <c r="AM28" s="43">
        <v>-1.54E-4</v>
      </c>
      <c r="AO28" s="30">
        <v>1.3924007239660407E-2</v>
      </c>
      <c r="AP28" s="43">
        <v>-2.2800000000000001E-4</v>
      </c>
      <c r="AQ28" s="43">
        <v>-2.2699999999999999E-4</v>
      </c>
      <c r="AR28" s="43">
        <v>-2.14E-4</v>
      </c>
      <c r="AS28" s="30">
        <v>1.5873312872993733E-2</v>
      </c>
      <c r="AT28" s="43">
        <v>-2.2800000000000001E-4</v>
      </c>
      <c r="AU28" s="43">
        <v>-2.2699999999999999E-4</v>
      </c>
      <c r="AV28" s="43">
        <v>-2.14E-4</v>
      </c>
      <c r="AX28" s="30">
        <v>1.3924007239660407E-2</v>
      </c>
      <c r="AY28" s="43">
        <v>-2.99E-4</v>
      </c>
      <c r="AZ28" s="43">
        <v>-2.8699999999999998E-4</v>
      </c>
      <c r="BA28" s="43">
        <v>-1.6200000000000001E-4</v>
      </c>
      <c r="BB28" s="30">
        <v>1.5873312872993733E-2</v>
      </c>
      <c r="BC28" s="43">
        <v>-3.1E-4</v>
      </c>
      <c r="BD28" s="43">
        <v>-2.9599999999999998E-4</v>
      </c>
      <c r="BE28" s="43">
        <v>-1.5300000000000001E-4</v>
      </c>
      <c r="BG28" s="30">
        <v>1.3924007239660407E-2</v>
      </c>
      <c r="BH28" s="43">
        <v>-2.2599999999999999E-4</v>
      </c>
      <c r="BI28" s="43">
        <v>-2.2499999999999999E-4</v>
      </c>
      <c r="BJ28" s="43">
        <v>-2.1699999999999999E-4</v>
      </c>
      <c r="BK28" s="30">
        <v>1.5873312872993733E-2</v>
      </c>
      <c r="BL28" s="43">
        <v>-2.2599999999999999E-4</v>
      </c>
      <c r="BM28" s="43">
        <v>-2.2599999999999999E-4</v>
      </c>
      <c r="BN28" s="43">
        <v>-2.1599999999999999E-4</v>
      </c>
      <c r="BP28" s="30">
        <v>1.3924007239660407E-2</v>
      </c>
      <c r="BQ28" s="43">
        <v>-2.5599999999999999E-4</v>
      </c>
      <c r="BR28" s="43">
        <v>-2.3699999999999999E-4</v>
      </c>
      <c r="BS28" s="43">
        <v>-4.5000000000000003E-5</v>
      </c>
      <c r="BT28" s="30">
        <v>1.5873312872993733E-2</v>
      </c>
      <c r="BU28" s="43">
        <v>-2.6699999999999998E-4</v>
      </c>
      <c r="BV28" s="43">
        <v>-2.4600000000000002E-4</v>
      </c>
      <c r="BW28" s="43">
        <v>-3.8000000000000002E-5</v>
      </c>
      <c r="BY28" s="30">
        <v>1.3924007239660407E-2</v>
      </c>
      <c r="BZ28" s="43">
        <v>-2.0900000000000001E-4</v>
      </c>
      <c r="CA28" s="43">
        <v>-1.9799999999999999E-4</v>
      </c>
      <c r="CB28" s="43">
        <v>-7.8999999999999996E-5</v>
      </c>
      <c r="CC28" s="30">
        <v>1.5873312872993733E-2</v>
      </c>
      <c r="CD28" s="43">
        <v>-2.0799999999999999E-4</v>
      </c>
      <c r="CE28" s="43">
        <v>-1.9599999999999999E-4</v>
      </c>
      <c r="CF28" s="43">
        <v>-8.2000000000000001E-5</v>
      </c>
      <c r="CH28" s="30">
        <v>1.3924007239660407E-2</v>
      </c>
      <c r="CI28" s="43">
        <v>-3.6900000000000002E-4</v>
      </c>
      <c r="CJ28" s="43">
        <v>-3.6999999999999999E-4</v>
      </c>
      <c r="CK28" s="43">
        <v>-8.1000000000000004E-5</v>
      </c>
      <c r="CL28" s="30">
        <v>1.5873312872993733E-2</v>
      </c>
      <c r="CM28" s="43">
        <v>-3.8900000000000002E-4</v>
      </c>
      <c r="CN28" s="43">
        <v>-3.9100000000000002E-4</v>
      </c>
      <c r="CO28" s="43">
        <v>-6.0999999999999999E-5</v>
      </c>
      <c r="CQ28" s="30">
        <v>1.3924007239660407E-2</v>
      </c>
      <c r="CR28" s="43">
        <v>-2.7799999999999998E-4</v>
      </c>
      <c r="CS28" s="43">
        <v>-2.7799999999999998E-4</v>
      </c>
      <c r="CT28" s="43">
        <v>-1.66E-4</v>
      </c>
      <c r="CU28" s="30">
        <v>1.5873312872993733E-2</v>
      </c>
      <c r="CV28" s="43">
        <v>-2.8499999999999999E-4</v>
      </c>
      <c r="CW28" s="43">
        <v>-2.8600000000000001E-4</v>
      </c>
      <c r="CX28" s="43">
        <v>-1.5899999999999999E-4</v>
      </c>
    </row>
    <row r="29" spans="2:102" x14ac:dyDescent="0.25">
      <c r="N29" s="30">
        <v>1.4620187822993741E-2</v>
      </c>
      <c r="O29" s="43">
        <v>-2.2100000000000001E-4</v>
      </c>
      <c r="P29" s="43">
        <v>-2.14E-4</v>
      </c>
      <c r="Q29" s="43">
        <v>-1.3899999999999999E-4</v>
      </c>
      <c r="R29" s="30">
        <v>1.6708729572993734E-2</v>
      </c>
      <c r="S29" s="43">
        <v>-2.2499999999999999E-4</v>
      </c>
      <c r="T29" s="43">
        <v>-2.1699999999999999E-4</v>
      </c>
      <c r="U29" s="43">
        <v>-1.3300000000000001E-4</v>
      </c>
      <c r="W29" s="30">
        <v>1.4620187822993741E-2</v>
      </c>
      <c r="X29" s="43">
        <v>-3.7599999999999998E-4</v>
      </c>
      <c r="Y29" s="43">
        <v>-3.4600000000000001E-4</v>
      </c>
      <c r="Z29" s="43">
        <v>-5.0000000000000004E-6</v>
      </c>
      <c r="AA29" s="30">
        <v>1.6708729572993734E-2</v>
      </c>
      <c r="AB29" s="43">
        <v>-3.7599999999999998E-4</v>
      </c>
      <c r="AC29" s="43">
        <v>-3.4600000000000001E-4</v>
      </c>
      <c r="AD29" s="43">
        <v>-3.0000000000000001E-6</v>
      </c>
      <c r="AF29" s="30">
        <v>1.4620187822993741E-2</v>
      </c>
      <c r="AG29" s="43">
        <v>-3.01E-4</v>
      </c>
      <c r="AH29" s="43">
        <v>-2.8800000000000001E-4</v>
      </c>
      <c r="AI29" s="43">
        <v>-1.5899999999999999E-4</v>
      </c>
      <c r="AJ29" s="30">
        <v>1.6708729572993734E-2</v>
      </c>
      <c r="AK29" s="43">
        <v>-3.1199999999999999E-4</v>
      </c>
      <c r="AL29" s="43">
        <v>-2.9799999999999998E-4</v>
      </c>
      <c r="AM29" s="43">
        <v>-1.5100000000000001E-4</v>
      </c>
      <c r="AO29" s="30">
        <v>1.4620187822993741E-2</v>
      </c>
      <c r="AP29" s="43">
        <v>-2.2800000000000001E-4</v>
      </c>
      <c r="AQ29" s="43">
        <v>-2.2699999999999999E-4</v>
      </c>
      <c r="AR29" s="43">
        <v>-2.14E-4</v>
      </c>
      <c r="AS29" s="30">
        <v>1.6708729572993734E-2</v>
      </c>
      <c r="AT29" s="43">
        <v>-2.2900000000000001E-4</v>
      </c>
      <c r="AU29" s="43">
        <v>-2.2800000000000001E-4</v>
      </c>
      <c r="AV29" s="43">
        <v>-2.13E-4</v>
      </c>
      <c r="AX29" s="30">
        <v>1.4620187822993741E-2</v>
      </c>
      <c r="AY29" s="43">
        <v>-3.0299999999999999E-4</v>
      </c>
      <c r="AZ29" s="43">
        <v>-2.9E-4</v>
      </c>
      <c r="BA29" s="43">
        <v>-1.5899999999999999E-4</v>
      </c>
      <c r="BB29" s="30">
        <v>1.6708729572993734E-2</v>
      </c>
      <c r="BC29" s="43">
        <v>-3.1399999999999999E-4</v>
      </c>
      <c r="BD29" s="43">
        <v>-2.99E-4</v>
      </c>
      <c r="BE29" s="43">
        <v>-1.4999999999999999E-4</v>
      </c>
      <c r="BG29" s="30">
        <v>1.4620187822993741E-2</v>
      </c>
      <c r="BH29" s="43">
        <v>-2.2599999999999999E-4</v>
      </c>
      <c r="BI29" s="43">
        <v>-2.2499999999999999E-4</v>
      </c>
      <c r="BJ29" s="43">
        <v>-2.1599999999999999E-4</v>
      </c>
      <c r="BK29" s="30">
        <v>1.6708729572993734E-2</v>
      </c>
      <c r="BL29" s="43">
        <v>-2.2699999999999999E-4</v>
      </c>
      <c r="BM29" s="43">
        <v>-2.2599999999999999E-4</v>
      </c>
      <c r="BN29" s="43">
        <v>-2.1599999999999999E-4</v>
      </c>
      <c r="BP29" s="30">
        <v>1.4620187822993741E-2</v>
      </c>
      <c r="BQ29" s="43">
        <v>-2.5999999999999998E-4</v>
      </c>
      <c r="BR29" s="43">
        <v>-2.4000000000000001E-4</v>
      </c>
      <c r="BS29" s="43">
        <v>-4.3000000000000002E-5</v>
      </c>
      <c r="BT29" s="30">
        <v>1.6708729572993734E-2</v>
      </c>
      <c r="BU29" s="43">
        <v>-2.7099999999999997E-4</v>
      </c>
      <c r="BV29" s="43">
        <v>-2.4899999999999998E-4</v>
      </c>
      <c r="BW29" s="43">
        <v>-3.4999999999999997E-5</v>
      </c>
      <c r="BY29" s="30">
        <v>1.4620187822993741E-2</v>
      </c>
      <c r="BZ29" s="43">
        <v>-2.0900000000000001E-4</v>
      </c>
      <c r="CA29" s="43">
        <v>-1.9699999999999999E-4</v>
      </c>
      <c r="CB29" s="43">
        <v>-8.0000000000000007E-5</v>
      </c>
      <c r="CC29" s="30">
        <v>1.6708729572993734E-2</v>
      </c>
      <c r="CD29" s="43">
        <v>-2.0699999999999999E-4</v>
      </c>
      <c r="CE29" s="43">
        <v>-1.9599999999999999E-4</v>
      </c>
      <c r="CF29" s="43">
        <v>-8.2999999999999998E-5</v>
      </c>
      <c r="CH29" s="30">
        <v>1.4620187822993741E-2</v>
      </c>
      <c r="CI29" s="43">
        <v>-3.7599999999999998E-4</v>
      </c>
      <c r="CJ29" s="43">
        <v>-3.7800000000000003E-4</v>
      </c>
      <c r="CK29" s="43">
        <v>-7.3999999999999996E-5</v>
      </c>
      <c r="CL29" s="30">
        <v>1.6708729572993734E-2</v>
      </c>
      <c r="CM29" s="43">
        <v>-3.9800000000000002E-4</v>
      </c>
      <c r="CN29" s="43">
        <v>-3.9899999999999999E-4</v>
      </c>
      <c r="CO29" s="43">
        <v>-5.1999999999999997E-5</v>
      </c>
      <c r="CQ29" s="30">
        <v>1.4620187822993741E-2</v>
      </c>
      <c r="CR29" s="43">
        <v>-2.81E-4</v>
      </c>
      <c r="CS29" s="43">
        <v>-2.81E-4</v>
      </c>
      <c r="CT29" s="43">
        <v>-1.63E-4</v>
      </c>
      <c r="CU29" s="30">
        <v>1.6708729572993734E-2</v>
      </c>
      <c r="CV29" s="43">
        <v>-2.8899999999999998E-4</v>
      </c>
      <c r="CW29" s="43">
        <v>-2.8899999999999998E-4</v>
      </c>
      <c r="CX29" s="43">
        <v>-1.55E-4</v>
      </c>
    </row>
    <row r="30" spans="2:102" x14ac:dyDescent="0.25">
      <c r="N30" s="30">
        <v>1.5316368406327075E-2</v>
      </c>
      <c r="O30" s="43">
        <v>-2.1900000000000001E-4</v>
      </c>
      <c r="P30" s="43">
        <v>-2.12E-4</v>
      </c>
      <c r="Q30" s="43">
        <v>-1.3999999999999999E-4</v>
      </c>
      <c r="R30" s="30">
        <v>1.6708729572993734E-2</v>
      </c>
      <c r="S30" s="43">
        <v>-2.2499999999999999E-4</v>
      </c>
      <c r="T30" s="43">
        <v>-2.1699999999999999E-4</v>
      </c>
      <c r="U30" s="43">
        <v>-1.3300000000000001E-4</v>
      </c>
      <c r="W30" s="30">
        <v>1.5316368406327075E-2</v>
      </c>
      <c r="X30" s="43">
        <v>-3.7599999999999998E-4</v>
      </c>
      <c r="Y30" s="43">
        <v>-3.4600000000000001E-4</v>
      </c>
      <c r="Z30" s="43">
        <v>-3.9999999999999998E-6</v>
      </c>
      <c r="AA30" s="30">
        <v>1.6708729572993734E-2</v>
      </c>
      <c r="AB30" s="43">
        <v>-3.7599999999999998E-4</v>
      </c>
      <c r="AC30" s="43">
        <v>-3.4600000000000001E-4</v>
      </c>
      <c r="AD30" s="43">
        <v>-3.0000000000000001E-6</v>
      </c>
      <c r="AF30" s="30">
        <v>1.5316368406327075E-2</v>
      </c>
      <c r="AG30" s="43">
        <v>-3.0499999999999999E-4</v>
      </c>
      <c r="AH30" s="43">
        <v>-2.92E-4</v>
      </c>
      <c r="AI30" s="43">
        <v>-1.56E-4</v>
      </c>
      <c r="AJ30" s="30">
        <v>1.6708729572993734E-2</v>
      </c>
      <c r="AK30" s="43">
        <v>-3.1199999999999999E-4</v>
      </c>
      <c r="AL30" s="43">
        <v>-2.9799999999999998E-4</v>
      </c>
      <c r="AM30" s="43">
        <v>-1.5100000000000001E-4</v>
      </c>
      <c r="AO30" s="30">
        <v>1.5316368406327075E-2</v>
      </c>
      <c r="AP30" s="43">
        <v>-2.2800000000000001E-4</v>
      </c>
      <c r="AQ30" s="43">
        <v>-2.2699999999999999E-4</v>
      </c>
      <c r="AR30" s="43">
        <v>-2.14E-4</v>
      </c>
      <c r="AS30" s="30">
        <v>1.6708729572993734E-2</v>
      </c>
      <c r="AT30" s="43">
        <v>-2.2900000000000001E-4</v>
      </c>
      <c r="AU30" s="43">
        <v>-2.2800000000000001E-4</v>
      </c>
      <c r="AV30" s="43">
        <v>-2.13E-4</v>
      </c>
      <c r="AX30" s="30">
        <v>1.5316368406327075E-2</v>
      </c>
      <c r="AY30" s="43">
        <v>-3.0699999999999998E-4</v>
      </c>
      <c r="AZ30" s="43">
        <v>-2.9300000000000002E-4</v>
      </c>
      <c r="BA30" s="43">
        <v>-1.56E-4</v>
      </c>
      <c r="BB30" s="30">
        <v>1.6708729572993734E-2</v>
      </c>
      <c r="BC30" s="43">
        <v>-3.1399999999999999E-4</v>
      </c>
      <c r="BD30" s="43">
        <v>-2.99E-4</v>
      </c>
      <c r="BE30" s="43">
        <v>-1.4999999999999999E-4</v>
      </c>
      <c r="BG30" s="30">
        <v>1.5316368406327075E-2</v>
      </c>
      <c r="BH30" s="43">
        <v>-2.2599999999999999E-4</v>
      </c>
      <c r="BI30" s="43">
        <v>-2.2599999999999999E-4</v>
      </c>
      <c r="BJ30" s="43">
        <v>-2.1599999999999999E-4</v>
      </c>
      <c r="BK30" s="30">
        <v>1.6708729572993734E-2</v>
      </c>
      <c r="BL30" s="43">
        <v>-2.2699999999999999E-4</v>
      </c>
      <c r="BM30" s="43">
        <v>-2.2599999999999999E-4</v>
      </c>
      <c r="BN30" s="43">
        <v>-2.1599999999999999E-4</v>
      </c>
      <c r="BP30" s="30">
        <v>1.5316368406327075E-2</v>
      </c>
      <c r="BQ30" s="43">
        <v>-2.6400000000000002E-4</v>
      </c>
      <c r="BR30" s="43">
        <v>-2.43E-4</v>
      </c>
      <c r="BS30" s="43">
        <v>-4.0000000000000003E-5</v>
      </c>
      <c r="BT30" s="30">
        <v>1.6708729572993734E-2</v>
      </c>
      <c r="BU30" s="43">
        <v>-2.7099999999999997E-4</v>
      </c>
      <c r="BV30" s="43">
        <v>-2.4899999999999998E-4</v>
      </c>
      <c r="BW30" s="43">
        <v>-3.4999999999999997E-5</v>
      </c>
      <c r="BY30" s="30">
        <v>1.5316368406327075E-2</v>
      </c>
      <c r="BZ30" s="43">
        <v>-2.0799999999999999E-4</v>
      </c>
      <c r="CA30" s="43">
        <v>-1.9699999999999999E-4</v>
      </c>
      <c r="CB30" s="43">
        <v>-8.1000000000000004E-5</v>
      </c>
      <c r="CC30" s="30">
        <v>1.6708729572993734E-2</v>
      </c>
      <c r="CD30" s="43">
        <v>-2.0699999999999999E-4</v>
      </c>
      <c r="CE30" s="43">
        <v>-1.9599999999999999E-4</v>
      </c>
      <c r="CF30" s="43">
        <v>-8.2999999999999998E-5</v>
      </c>
      <c r="CH30" s="30">
        <v>1.5316368406327075E-2</v>
      </c>
      <c r="CI30" s="43">
        <v>-3.8299999999999999E-4</v>
      </c>
      <c r="CJ30" s="43">
        <v>-3.8499999999999998E-4</v>
      </c>
      <c r="CK30" s="43">
        <v>-6.7000000000000002E-5</v>
      </c>
      <c r="CL30" s="30">
        <v>1.6708729572993734E-2</v>
      </c>
      <c r="CM30" s="43">
        <v>-3.9800000000000002E-4</v>
      </c>
      <c r="CN30" s="43">
        <v>-3.9899999999999999E-4</v>
      </c>
      <c r="CO30" s="43">
        <v>-5.1999999999999997E-5</v>
      </c>
      <c r="CQ30" s="30">
        <v>1.5316368406327075E-2</v>
      </c>
      <c r="CR30" s="43">
        <v>-2.8299999999999999E-4</v>
      </c>
      <c r="CS30" s="43">
        <v>-2.8400000000000002E-4</v>
      </c>
      <c r="CT30" s="43">
        <v>-1.6100000000000001E-4</v>
      </c>
      <c r="CU30" s="30">
        <v>1.6708729572993734E-2</v>
      </c>
      <c r="CV30" s="43">
        <v>-2.8899999999999998E-4</v>
      </c>
      <c r="CW30" s="43">
        <v>-2.8899999999999998E-4</v>
      </c>
      <c r="CX30" s="43">
        <v>-1.55E-4</v>
      </c>
    </row>
    <row r="31" spans="2:102" x14ac:dyDescent="0.25">
      <c r="N31" s="30">
        <v>1.6012548989660407E-2</v>
      </c>
      <c r="O31" s="43">
        <v>-2.22E-4</v>
      </c>
      <c r="P31" s="43">
        <v>-2.1499999999999999E-4</v>
      </c>
      <c r="Q31" s="43">
        <v>-1.37E-4</v>
      </c>
      <c r="R31" s="30">
        <v>1.7544146272993732E-2</v>
      </c>
      <c r="S31" s="43">
        <v>-2.2900000000000001E-4</v>
      </c>
      <c r="T31" s="43">
        <v>-2.2000000000000001E-4</v>
      </c>
      <c r="U31" s="43">
        <v>-1.2999999999999999E-4</v>
      </c>
      <c r="W31" s="30">
        <v>1.6012548989660407E-2</v>
      </c>
      <c r="X31" s="43">
        <v>-3.7599999999999998E-4</v>
      </c>
      <c r="Y31" s="43">
        <v>-3.4600000000000001E-4</v>
      </c>
      <c r="Z31" s="43">
        <v>-3.9999999999999998E-6</v>
      </c>
      <c r="AA31" s="30">
        <v>1.7544146272993732E-2</v>
      </c>
      <c r="AB31" s="43">
        <v>-3.7599999999999998E-4</v>
      </c>
      <c r="AC31" s="43">
        <v>-3.4600000000000001E-4</v>
      </c>
      <c r="AD31" s="43">
        <v>-1.9999999999999999E-6</v>
      </c>
      <c r="AF31" s="30">
        <v>1.6012548989660407E-2</v>
      </c>
      <c r="AG31" s="43">
        <v>-3.0899999999999998E-4</v>
      </c>
      <c r="AH31" s="43">
        <v>-2.9500000000000001E-4</v>
      </c>
      <c r="AI31" s="43">
        <v>-1.5300000000000001E-4</v>
      </c>
      <c r="AJ31" s="30">
        <v>1.7544146272993732E-2</v>
      </c>
      <c r="AK31" s="43">
        <v>-3.1700000000000001E-4</v>
      </c>
      <c r="AL31" s="43">
        <v>-3.01E-4</v>
      </c>
      <c r="AM31" s="43">
        <v>-1.47E-4</v>
      </c>
      <c r="AO31" s="30">
        <v>1.6012548989660407E-2</v>
      </c>
      <c r="AP31" s="43">
        <v>-2.2800000000000001E-4</v>
      </c>
      <c r="AQ31" s="43">
        <v>-2.2699999999999999E-4</v>
      </c>
      <c r="AR31" s="43">
        <v>-2.14E-4</v>
      </c>
      <c r="AS31" s="30">
        <v>1.7544146272993732E-2</v>
      </c>
      <c r="AT31" s="43">
        <v>-2.2900000000000001E-4</v>
      </c>
      <c r="AU31" s="43">
        <v>-2.2800000000000001E-4</v>
      </c>
      <c r="AV31" s="43">
        <v>-2.13E-4</v>
      </c>
      <c r="AX31" s="30">
        <v>1.6012548989660407E-2</v>
      </c>
      <c r="AY31" s="43">
        <v>-3.1E-4</v>
      </c>
      <c r="AZ31" s="43">
        <v>-2.9599999999999998E-4</v>
      </c>
      <c r="BA31" s="43">
        <v>-1.5300000000000001E-4</v>
      </c>
      <c r="BB31" s="30">
        <v>1.7544146272993732E-2</v>
      </c>
      <c r="BC31" s="43">
        <v>-3.19E-4</v>
      </c>
      <c r="BD31" s="43">
        <v>-3.0299999999999999E-4</v>
      </c>
      <c r="BE31" s="43">
        <v>-1.46E-4</v>
      </c>
      <c r="BG31" s="30">
        <v>1.6012548989660407E-2</v>
      </c>
      <c r="BH31" s="43">
        <v>-2.2599999999999999E-4</v>
      </c>
      <c r="BI31" s="43">
        <v>-2.2599999999999999E-4</v>
      </c>
      <c r="BJ31" s="43">
        <v>-2.1599999999999999E-4</v>
      </c>
      <c r="BK31" s="30">
        <v>1.7544146272993732E-2</v>
      </c>
      <c r="BL31" s="43">
        <v>-2.2699999999999999E-4</v>
      </c>
      <c r="BM31" s="43">
        <v>-2.2599999999999999E-4</v>
      </c>
      <c r="BN31" s="43">
        <v>-2.1599999999999999E-4</v>
      </c>
      <c r="BP31" s="30">
        <v>1.6012548989660407E-2</v>
      </c>
      <c r="BQ31" s="43">
        <v>-2.6699999999999998E-4</v>
      </c>
      <c r="BR31" s="43">
        <v>-2.4600000000000002E-4</v>
      </c>
      <c r="BS31" s="43">
        <v>-3.8000000000000002E-5</v>
      </c>
      <c r="BT31" s="30">
        <v>1.7544146272993732E-2</v>
      </c>
      <c r="BU31" s="43">
        <v>-2.7500000000000002E-4</v>
      </c>
      <c r="BV31" s="43">
        <v>-2.5300000000000002E-4</v>
      </c>
      <c r="BW31" s="43">
        <v>-3.1999999999999999E-5</v>
      </c>
      <c r="BY31" s="30">
        <v>1.6012548989660407E-2</v>
      </c>
      <c r="BZ31" s="43">
        <v>-2.0799999999999999E-4</v>
      </c>
      <c r="CA31" s="43">
        <v>-1.9599999999999999E-4</v>
      </c>
      <c r="CB31" s="43">
        <v>-8.2000000000000001E-5</v>
      </c>
      <c r="CC31" s="30">
        <v>1.7544146272993732E-2</v>
      </c>
      <c r="CD31" s="43">
        <v>-2.0699999999999999E-4</v>
      </c>
      <c r="CE31" s="43">
        <v>-1.95E-4</v>
      </c>
      <c r="CF31" s="43">
        <v>-8.3999999999999995E-5</v>
      </c>
      <c r="CH31" s="30">
        <v>1.6012548989660407E-2</v>
      </c>
      <c r="CI31" s="43">
        <v>-3.8999999999999999E-4</v>
      </c>
      <c r="CJ31" s="43">
        <v>-3.9199999999999999E-4</v>
      </c>
      <c r="CK31" s="43">
        <v>-5.8999999999999998E-5</v>
      </c>
      <c r="CL31" s="30">
        <v>1.7544146272993732E-2</v>
      </c>
      <c r="CM31" s="43">
        <v>-4.06E-4</v>
      </c>
      <c r="CN31" s="43">
        <v>-4.08E-4</v>
      </c>
      <c r="CO31" s="43">
        <v>-4.3999999999999999E-5</v>
      </c>
      <c r="CQ31" s="30">
        <v>1.6012548989660407E-2</v>
      </c>
      <c r="CR31" s="43">
        <v>-2.8600000000000001E-4</v>
      </c>
      <c r="CS31" s="43">
        <v>-2.8600000000000001E-4</v>
      </c>
      <c r="CT31" s="43">
        <v>-1.5799999999999999E-4</v>
      </c>
      <c r="CU31" s="30">
        <v>1.7544146272993732E-2</v>
      </c>
      <c r="CV31" s="43">
        <v>-2.92E-4</v>
      </c>
      <c r="CW31" s="43">
        <v>-2.9300000000000002E-4</v>
      </c>
      <c r="CX31" s="43">
        <v>-1.5200000000000001E-4</v>
      </c>
    </row>
    <row r="32" spans="2:102" x14ac:dyDescent="0.25">
      <c r="H32" s="1"/>
      <c r="I32" s="1"/>
      <c r="N32" s="30">
        <v>1.6708729572993741E-2</v>
      </c>
      <c r="O32" s="43">
        <v>-2.2499999999999999E-4</v>
      </c>
      <c r="P32" s="43">
        <v>-2.1699999999999999E-4</v>
      </c>
      <c r="Q32" s="43">
        <v>-1.3300000000000001E-4</v>
      </c>
      <c r="R32" s="30">
        <v>1.8379562972993733E-2</v>
      </c>
      <c r="S32" s="43">
        <v>-2.32E-4</v>
      </c>
      <c r="T32" s="43">
        <v>-2.24E-4</v>
      </c>
      <c r="U32" s="43">
        <v>-1.26E-4</v>
      </c>
      <c r="W32" s="30">
        <v>1.6708729572993741E-2</v>
      </c>
      <c r="X32" s="43">
        <v>-3.7599999999999998E-4</v>
      </c>
      <c r="Y32" s="43">
        <v>-3.4600000000000001E-4</v>
      </c>
      <c r="Z32" s="43">
        <v>-3.0000000000000001E-6</v>
      </c>
      <c r="AA32" s="30">
        <v>1.8379562972993733E-2</v>
      </c>
      <c r="AB32" s="43">
        <v>-3.77E-4</v>
      </c>
      <c r="AC32" s="43">
        <v>-3.4600000000000001E-4</v>
      </c>
      <c r="AD32" s="43">
        <v>-9.9999999999999995E-7</v>
      </c>
      <c r="AF32" s="30">
        <v>1.6708729572993741E-2</v>
      </c>
      <c r="AG32" s="43">
        <v>-3.1199999999999999E-4</v>
      </c>
      <c r="AH32" s="43">
        <v>-2.9799999999999998E-4</v>
      </c>
      <c r="AI32" s="43">
        <v>-1.4999999999999999E-4</v>
      </c>
      <c r="AJ32" s="30">
        <v>1.8379562972993733E-2</v>
      </c>
      <c r="AK32" s="43">
        <v>-3.21E-4</v>
      </c>
      <c r="AL32" s="43">
        <v>-3.0499999999999999E-4</v>
      </c>
      <c r="AM32" s="43">
        <v>-1.4300000000000001E-4</v>
      </c>
      <c r="AO32" s="30">
        <v>1.6708729572993741E-2</v>
      </c>
      <c r="AP32" s="43">
        <v>-2.2900000000000001E-4</v>
      </c>
      <c r="AQ32" s="43">
        <v>-2.2800000000000001E-4</v>
      </c>
      <c r="AR32" s="43">
        <v>-2.13E-4</v>
      </c>
      <c r="AS32" s="30">
        <v>1.8379562972993733E-2</v>
      </c>
      <c r="AT32" s="43">
        <v>-2.2900000000000001E-4</v>
      </c>
      <c r="AU32" s="43">
        <v>-2.2800000000000001E-4</v>
      </c>
      <c r="AV32" s="43">
        <v>-2.13E-4</v>
      </c>
      <c r="AX32" s="30">
        <v>1.6708729572993741E-2</v>
      </c>
      <c r="AY32" s="43">
        <v>-3.1399999999999999E-4</v>
      </c>
      <c r="AZ32" s="43">
        <v>-2.99E-4</v>
      </c>
      <c r="BA32" s="43">
        <v>-1.4999999999999999E-4</v>
      </c>
      <c r="BB32" s="30">
        <v>1.8379562972993733E-2</v>
      </c>
      <c r="BC32" s="43">
        <v>-3.2299999999999999E-4</v>
      </c>
      <c r="BD32" s="43">
        <v>-3.0699999999999998E-4</v>
      </c>
      <c r="BE32" s="43">
        <v>-1.4300000000000001E-4</v>
      </c>
      <c r="BG32" s="30">
        <v>1.6708729572993741E-2</v>
      </c>
      <c r="BH32" s="43">
        <v>-2.2699999999999999E-4</v>
      </c>
      <c r="BI32" s="43">
        <v>-2.2599999999999999E-4</v>
      </c>
      <c r="BJ32" s="43">
        <v>-2.1599999999999999E-4</v>
      </c>
      <c r="BK32" s="30">
        <v>1.8379562972993733E-2</v>
      </c>
      <c r="BL32" s="43">
        <v>-2.2699999999999999E-4</v>
      </c>
      <c r="BM32" s="43">
        <v>-2.2599999999999999E-4</v>
      </c>
      <c r="BN32" s="43">
        <v>-2.1599999999999999E-4</v>
      </c>
      <c r="BP32" s="30">
        <v>1.6708729572993741E-2</v>
      </c>
      <c r="BQ32" s="43">
        <v>-2.7099999999999997E-4</v>
      </c>
      <c r="BR32" s="43">
        <v>-2.4899999999999998E-4</v>
      </c>
      <c r="BS32" s="43">
        <v>-3.4999999999999997E-5</v>
      </c>
      <c r="BT32" s="30">
        <v>1.8379562972993733E-2</v>
      </c>
      <c r="BU32" s="43">
        <v>-2.7999999999999998E-4</v>
      </c>
      <c r="BV32" s="43">
        <v>-2.5700000000000001E-4</v>
      </c>
      <c r="BW32" s="43">
        <v>-2.9E-5</v>
      </c>
      <c r="BY32" s="30">
        <v>1.6708729572993741E-2</v>
      </c>
      <c r="BZ32" s="43">
        <v>-2.0699999999999999E-4</v>
      </c>
      <c r="CA32" s="43">
        <v>-1.9599999999999999E-4</v>
      </c>
      <c r="CB32" s="43">
        <v>-8.2999999999999998E-5</v>
      </c>
      <c r="CC32" s="30">
        <v>1.8379562972993733E-2</v>
      </c>
      <c r="CD32" s="43">
        <v>-2.0599999999999999E-4</v>
      </c>
      <c r="CE32" s="43">
        <v>-1.95E-4</v>
      </c>
      <c r="CF32" s="43">
        <v>-8.5000000000000006E-5</v>
      </c>
      <c r="CH32" s="30">
        <v>1.6708729572993741E-2</v>
      </c>
      <c r="CI32" s="43">
        <v>-3.97E-4</v>
      </c>
      <c r="CJ32" s="43">
        <v>-3.9899999999999999E-4</v>
      </c>
      <c r="CK32" s="43">
        <v>-5.1999999999999997E-5</v>
      </c>
      <c r="CL32" s="30">
        <v>1.8379562972993733E-2</v>
      </c>
      <c r="CM32" s="43">
        <v>-4.15E-4</v>
      </c>
      <c r="CN32" s="43">
        <v>-4.17E-4</v>
      </c>
      <c r="CO32" s="43">
        <v>-3.4999999999999997E-5</v>
      </c>
      <c r="CQ32" s="30">
        <v>1.6708729572993741E-2</v>
      </c>
      <c r="CR32" s="43">
        <v>-2.8899999999999998E-4</v>
      </c>
      <c r="CS32" s="43">
        <v>-2.8899999999999998E-4</v>
      </c>
      <c r="CT32" s="43">
        <v>-1.55E-4</v>
      </c>
      <c r="CU32" s="30">
        <v>1.8379562972993733E-2</v>
      </c>
      <c r="CV32" s="43">
        <v>-2.9500000000000001E-4</v>
      </c>
      <c r="CW32" s="43">
        <v>-2.9599999999999998E-4</v>
      </c>
      <c r="CX32" s="43">
        <v>-1.4899999999999999E-4</v>
      </c>
    </row>
    <row r="33" spans="2:102" x14ac:dyDescent="0.25">
      <c r="H33" s="71"/>
      <c r="I33" s="71"/>
      <c r="N33" s="30">
        <v>1.7404910156327072E-2</v>
      </c>
      <c r="O33" s="43">
        <v>-2.2800000000000001E-4</v>
      </c>
      <c r="P33" s="43">
        <v>-2.2000000000000001E-4</v>
      </c>
      <c r="Q33" s="43">
        <v>-1.2999999999999999E-4</v>
      </c>
      <c r="R33" s="30">
        <v>1.921497967299373E-2</v>
      </c>
      <c r="S33" s="43">
        <v>-2.3599999999999999E-4</v>
      </c>
      <c r="T33" s="43">
        <v>-2.2699999999999999E-4</v>
      </c>
      <c r="U33" s="43">
        <v>-1.22E-4</v>
      </c>
      <c r="W33" s="30">
        <v>1.7404910156327072E-2</v>
      </c>
      <c r="X33" s="43">
        <v>-3.7599999999999998E-4</v>
      </c>
      <c r="Y33" s="43">
        <v>-3.4600000000000001E-4</v>
      </c>
      <c r="Z33" s="43">
        <v>-1.9999999999999999E-6</v>
      </c>
      <c r="AA33" s="30">
        <v>1.921497967299373E-2</v>
      </c>
      <c r="AB33" s="43">
        <v>-3.77E-4</v>
      </c>
      <c r="AC33" s="43">
        <v>-3.4600000000000001E-4</v>
      </c>
      <c r="AD33" s="43">
        <v>-4.0709999999999999E-7</v>
      </c>
      <c r="AF33" s="30">
        <v>1.7404910156327072E-2</v>
      </c>
      <c r="AG33" s="43">
        <v>-3.1599999999999998E-4</v>
      </c>
      <c r="AH33" s="43">
        <v>-3.01E-4</v>
      </c>
      <c r="AI33" s="43">
        <v>-1.47E-4</v>
      </c>
      <c r="AJ33" s="30">
        <v>1.921497967299373E-2</v>
      </c>
      <c r="AK33" s="43">
        <v>-3.2600000000000001E-4</v>
      </c>
      <c r="AL33" s="43">
        <v>-3.0899999999999998E-4</v>
      </c>
      <c r="AM33" s="43">
        <v>-1.3999999999999999E-4</v>
      </c>
      <c r="AO33" s="30">
        <v>1.7404910156327072E-2</v>
      </c>
      <c r="AP33" s="43">
        <v>-2.2900000000000001E-4</v>
      </c>
      <c r="AQ33" s="43">
        <v>-2.2800000000000001E-4</v>
      </c>
      <c r="AR33" s="43">
        <v>-2.13E-4</v>
      </c>
      <c r="AS33" s="30">
        <v>1.921497967299373E-2</v>
      </c>
      <c r="AT33" s="43">
        <v>-2.2900000000000001E-4</v>
      </c>
      <c r="AU33" s="43">
        <v>-2.2800000000000001E-4</v>
      </c>
      <c r="AV33" s="43">
        <v>-2.13E-4</v>
      </c>
      <c r="AX33" s="30">
        <v>1.7404910156327072E-2</v>
      </c>
      <c r="AY33" s="43">
        <v>-3.1799999999999998E-4</v>
      </c>
      <c r="AZ33" s="43">
        <v>-3.0200000000000002E-4</v>
      </c>
      <c r="BA33" s="43">
        <v>-1.47E-4</v>
      </c>
      <c r="BB33" s="30">
        <v>1.921497967299373E-2</v>
      </c>
      <c r="BC33" s="43">
        <v>-3.28E-4</v>
      </c>
      <c r="BD33" s="43">
        <v>-3.1100000000000002E-4</v>
      </c>
      <c r="BE33" s="43">
        <v>-1.3899999999999999E-4</v>
      </c>
      <c r="BG33" s="30">
        <v>1.7404910156327072E-2</v>
      </c>
      <c r="BH33" s="43">
        <v>-2.2699999999999999E-4</v>
      </c>
      <c r="BI33" s="43">
        <v>-2.2599999999999999E-4</v>
      </c>
      <c r="BJ33" s="43">
        <v>-2.1599999999999999E-4</v>
      </c>
      <c r="BK33" s="30">
        <v>1.921497967299373E-2</v>
      </c>
      <c r="BL33" s="43">
        <v>-2.2699999999999999E-4</v>
      </c>
      <c r="BM33" s="43">
        <v>-2.2699999999999999E-4</v>
      </c>
      <c r="BN33" s="43">
        <v>-2.1499999999999999E-4</v>
      </c>
      <c r="BP33" s="30">
        <v>1.7404910156327072E-2</v>
      </c>
      <c r="BQ33" s="43">
        <v>-2.7500000000000002E-4</v>
      </c>
      <c r="BR33" s="43">
        <v>-2.5300000000000002E-4</v>
      </c>
      <c r="BS33" s="43">
        <v>-3.3000000000000003E-5</v>
      </c>
      <c r="BT33" s="30">
        <v>1.921497967299373E-2</v>
      </c>
      <c r="BU33" s="43">
        <v>-2.8400000000000002E-4</v>
      </c>
      <c r="BV33" s="43">
        <v>-2.61E-4</v>
      </c>
      <c r="BW33" s="43">
        <v>-2.5999999999999998E-5</v>
      </c>
      <c r="BY33" s="30">
        <v>1.7404910156327072E-2</v>
      </c>
      <c r="BZ33" s="43">
        <v>-2.0699999999999999E-4</v>
      </c>
      <c r="CA33" s="43">
        <v>-1.9599999999999999E-4</v>
      </c>
      <c r="CB33" s="43">
        <v>-8.3999999999999995E-5</v>
      </c>
      <c r="CC33" s="30">
        <v>1.921497967299373E-2</v>
      </c>
      <c r="CD33" s="43">
        <v>-2.05E-4</v>
      </c>
      <c r="CE33" s="43">
        <v>-1.95E-4</v>
      </c>
      <c r="CF33" s="43">
        <v>-8.6000000000000003E-5</v>
      </c>
      <c r="CH33" s="30">
        <v>1.7404910156327072E-2</v>
      </c>
      <c r="CI33" s="43">
        <v>-4.0499999999999998E-4</v>
      </c>
      <c r="CJ33" s="43">
        <v>-4.0700000000000003E-4</v>
      </c>
      <c r="CK33" s="43">
        <v>-4.5000000000000003E-5</v>
      </c>
      <c r="CL33" s="30">
        <v>1.921497967299373E-2</v>
      </c>
      <c r="CM33" s="43">
        <v>-4.2299999999999998E-4</v>
      </c>
      <c r="CN33" s="43">
        <v>-4.26E-4</v>
      </c>
      <c r="CO33" s="43">
        <v>-2.6999999999999999E-5</v>
      </c>
      <c r="CQ33" s="30">
        <v>1.7404910156327072E-2</v>
      </c>
      <c r="CR33" s="43">
        <v>-2.9100000000000003E-4</v>
      </c>
      <c r="CS33" s="43">
        <v>-2.92E-4</v>
      </c>
      <c r="CT33" s="43">
        <v>-1.5300000000000001E-4</v>
      </c>
      <c r="CU33" s="30">
        <v>1.921497967299373E-2</v>
      </c>
      <c r="CV33" s="43">
        <v>-2.99E-4</v>
      </c>
      <c r="CW33" s="43">
        <v>-2.99E-4</v>
      </c>
      <c r="CX33" s="43">
        <v>-1.45E-4</v>
      </c>
    </row>
    <row r="34" spans="2:102" ht="14.45" customHeight="1" x14ac:dyDescent="0.25">
      <c r="B34" s="77" t="s">
        <v>80</v>
      </c>
      <c r="C34" s="77"/>
      <c r="H34" s="1"/>
      <c r="I34" s="1"/>
      <c r="N34" s="30">
        <v>1.8101090739660406E-2</v>
      </c>
      <c r="O34" s="43">
        <v>-2.31E-4</v>
      </c>
      <c r="P34" s="43">
        <v>-2.23E-4</v>
      </c>
      <c r="Q34" s="43">
        <v>-1.27E-4</v>
      </c>
      <c r="R34" s="30">
        <v>2.0050396372993731E-2</v>
      </c>
      <c r="S34" s="43">
        <v>-2.4000000000000001E-4</v>
      </c>
      <c r="T34" s="43">
        <v>-2.3000000000000001E-4</v>
      </c>
      <c r="U34" s="43">
        <v>-1.18E-4</v>
      </c>
      <c r="W34" s="30">
        <v>1.8101090739660406E-2</v>
      </c>
      <c r="X34" s="43">
        <v>-3.77E-4</v>
      </c>
      <c r="Y34" s="43">
        <v>-3.4600000000000001E-4</v>
      </c>
      <c r="Z34" s="43">
        <v>-1.9999999999999999E-6</v>
      </c>
      <c r="AA34" s="30">
        <v>2.0050396372993731E-2</v>
      </c>
      <c r="AB34" s="43">
        <v>-3.77E-4</v>
      </c>
      <c r="AC34" s="43">
        <v>-3.4600000000000001E-4</v>
      </c>
      <c r="AD34" s="43">
        <v>4.5369999999999999E-7</v>
      </c>
      <c r="AF34" s="30">
        <v>1.8101090739660406E-2</v>
      </c>
      <c r="AG34" s="43">
        <v>-3.2000000000000003E-4</v>
      </c>
      <c r="AH34" s="43">
        <v>-3.0400000000000002E-4</v>
      </c>
      <c r="AI34" s="43">
        <v>-1.44E-4</v>
      </c>
      <c r="AJ34" s="30">
        <v>2.0050396372993731E-2</v>
      </c>
      <c r="AK34" s="43">
        <v>-3.3E-4</v>
      </c>
      <c r="AL34" s="43">
        <v>-3.1300000000000002E-4</v>
      </c>
      <c r="AM34" s="43">
        <v>-1.36E-4</v>
      </c>
      <c r="AO34" s="30">
        <v>1.8101090739660406E-2</v>
      </c>
      <c r="AP34" s="43">
        <v>-2.2900000000000001E-4</v>
      </c>
      <c r="AQ34" s="43">
        <v>-2.2800000000000001E-4</v>
      </c>
      <c r="AR34" s="43">
        <v>-2.13E-4</v>
      </c>
      <c r="AS34" s="30">
        <v>2.0050396372993731E-2</v>
      </c>
      <c r="AT34" s="43">
        <v>-2.3000000000000001E-4</v>
      </c>
      <c r="AU34" s="43">
        <v>-2.2800000000000001E-4</v>
      </c>
      <c r="AV34" s="43">
        <v>-2.12E-4</v>
      </c>
      <c r="AX34" s="30">
        <v>1.8101090739660406E-2</v>
      </c>
      <c r="AY34" s="43">
        <v>-3.2200000000000002E-4</v>
      </c>
      <c r="AZ34" s="43">
        <v>-3.0600000000000001E-4</v>
      </c>
      <c r="BA34" s="43">
        <v>-1.44E-4</v>
      </c>
      <c r="BB34" s="30">
        <v>2.0050396372993731E-2</v>
      </c>
      <c r="BC34" s="43">
        <v>-3.3199999999999999E-4</v>
      </c>
      <c r="BD34" s="43">
        <v>-3.1500000000000001E-4</v>
      </c>
      <c r="BE34" s="43">
        <v>-1.35E-4</v>
      </c>
      <c r="BG34" s="30">
        <v>1.8101090739660406E-2</v>
      </c>
      <c r="BH34" s="43">
        <v>-2.2699999999999999E-4</v>
      </c>
      <c r="BI34" s="43">
        <v>-2.2599999999999999E-4</v>
      </c>
      <c r="BJ34" s="43">
        <v>-2.1599999999999999E-4</v>
      </c>
      <c r="BK34" s="30">
        <v>2.0050396372993731E-2</v>
      </c>
      <c r="BL34" s="43">
        <v>-2.2800000000000001E-4</v>
      </c>
      <c r="BM34" s="43">
        <v>-2.2699999999999999E-4</v>
      </c>
      <c r="BN34" s="43">
        <v>-2.1499999999999999E-4</v>
      </c>
      <c r="BP34" s="30">
        <v>1.8101090739660406E-2</v>
      </c>
      <c r="BQ34" s="43">
        <v>-2.7799999999999998E-4</v>
      </c>
      <c r="BR34" s="43">
        <v>-2.5599999999999999E-4</v>
      </c>
      <c r="BS34" s="43">
        <v>-3.0000000000000001E-5</v>
      </c>
      <c r="BT34" s="30">
        <v>2.0050396372993731E-2</v>
      </c>
      <c r="BU34" s="43">
        <v>-2.8899999999999998E-4</v>
      </c>
      <c r="BV34" s="43">
        <v>-2.6400000000000002E-4</v>
      </c>
      <c r="BW34" s="43">
        <v>-2.3E-5</v>
      </c>
      <c r="BY34" s="30">
        <v>1.8101090739660406E-2</v>
      </c>
      <c r="BZ34" s="43">
        <v>-2.0599999999999999E-4</v>
      </c>
      <c r="CA34" s="43">
        <v>-1.95E-4</v>
      </c>
      <c r="CB34" s="43">
        <v>-8.5000000000000006E-5</v>
      </c>
      <c r="CC34" s="30">
        <v>2.0050396372993731E-2</v>
      </c>
      <c r="CD34" s="43">
        <v>-2.05E-4</v>
      </c>
      <c r="CE34" s="43">
        <v>-1.94E-4</v>
      </c>
      <c r="CF34" s="43">
        <v>-8.7000000000000001E-5</v>
      </c>
      <c r="CH34" s="30">
        <v>1.8101090739660406E-2</v>
      </c>
      <c r="CI34" s="43">
        <v>-4.1199999999999999E-4</v>
      </c>
      <c r="CJ34" s="43">
        <v>-4.1399999999999998E-4</v>
      </c>
      <c r="CK34" s="43">
        <v>-3.8000000000000002E-5</v>
      </c>
      <c r="CL34" s="30">
        <v>2.0050396372993731E-2</v>
      </c>
      <c r="CM34" s="43">
        <v>-4.3199999999999998E-4</v>
      </c>
      <c r="CN34" s="43">
        <v>-4.3399999999999998E-4</v>
      </c>
      <c r="CO34" s="43">
        <v>-1.8E-5</v>
      </c>
      <c r="CQ34" s="30">
        <v>1.8101090739660406E-2</v>
      </c>
      <c r="CR34" s="43">
        <v>-2.9399999999999999E-4</v>
      </c>
      <c r="CS34" s="43">
        <v>-2.9500000000000001E-4</v>
      </c>
      <c r="CT34" s="43">
        <v>-1.4999999999999999E-4</v>
      </c>
      <c r="CU34" s="30">
        <v>2.0050396372993731E-2</v>
      </c>
      <c r="CV34" s="43">
        <v>-3.0200000000000002E-4</v>
      </c>
      <c r="CW34" s="43">
        <v>-3.0299999999999999E-4</v>
      </c>
      <c r="CX34" s="43">
        <v>-1.4200000000000001E-4</v>
      </c>
    </row>
    <row r="35" spans="2:102" ht="14.45" customHeight="1" x14ac:dyDescent="0.25">
      <c r="B35" s="77" t="s">
        <v>45</v>
      </c>
      <c r="C35" s="77"/>
      <c r="H35" s="1"/>
      <c r="I35" s="1"/>
      <c r="N35" s="30">
        <v>1.879727132299374E-2</v>
      </c>
      <c r="O35" s="43">
        <v>-2.34E-4</v>
      </c>
      <c r="P35" s="43">
        <v>-2.2499999999999999E-4</v>
      </c>
      <c r="Q35" s="43">
        <v>-1.2400000000000001E-4</v>
      </c>
      <c r="R35" s="30">
        <v>2.0885813072993732E-2</v>
      </c>
      <c r="S35" s="43">
        <v>-2.43E-4</v>
      </c>
      <c r="T35" s="43">
        <v>-2.33E-4</v>
      </c>
      <c r="U35" s="43">
        <v>-1.1400000000000001E-4</v>
      </c>
      <c r="W35" s="30">
        <v>1.879727132299374E-2</v>
      </c>
      <c r="X35" s="43">
        <v>-3.77E-4</v>
      </c>
      <c r="Y35" s="43">
        <v>-3.4600000000000001E-4</v>
      </c>
      <c r="Z35" s="43">
        <v>-9.9999999999999995E-7</v>
      </c>
      <c r="AA35" s="30">
        <v>2.0885813072993732E-2</v>
      </c>
      <c r="AB35" s="43">
        <v>-3.77E-4</v>
      </c>
      <c r="AC35" s="43">
        <v>-3.4600000000000001E-4</v>
      </c>
      <c r="AD35" s="43">
        <v>9.9999999999999995E-7</v>
      </c>
      <c r="AF35" s="30">
        <v>1.879727132299374E-2</v>
      </c>
      <c r="AG35" s="43">
        <v>-3.2400000000000001E-4</v>
      </c>
      <c r="AH35" s="43">
        <v>-3.0699999999999998E-4</v>
      </c>
      <c r="AI35" s="43">
        <v>-1.4100000000000001E-4</v>
      </c>
      <c r="AJ35" s="30">
        <v>2.0885813072993732E-2</v>
      </c>
      <c r="AK35" s="43">
        <v>-3.3500000000000001E-4</v>
      </c>
      <c r="AL35" s="43">
        <v>-3.1599999999999998E-4</v>
      </c>
      <c r="AM35" s="43">
        <v>-1.3200000000000001E-4</v>
      </c>
      <c r="AO35" s="30">
        <v>1.879727132299374E-2</v>
      </c>
      <c r="AP35" s="43">
        <v>-2.2900000000000001E-4</v>
      </c>
      <c r="AQ35" s="43">
        <v>-2.2800000000000001E-4</v>
      </c>
      <c r="AR35" s="43">
        <v>-2.13E-4</v>
      </c>
      <c r="AS35" s="30">
        <v>2.0885813072993732E-2</v>
      </c>
      <c r="AT35" s="43">
        <v>-2.3000000000000001E-4</v>
      </c>
      <c r="AU35" s="43">
        <v>-2.2900000000000001E-4</v>
      </c>
      <c r="AV35" s="43">
        <v>-2.12E-4</v>
      </c>
      <c r="AX35" s="30">
        <v>1.879727132299374E-2</v>
      </c>
      <c r="AY35" s="43">
        <v>-3.2499999999999999E-4</v>
      </c>
      <c r="AZ35" s="43">
        <v>-3.0899999999999998E-4</v>
      </c>
      <c r="BA35" s="43">
        <v>-1.4100000000000001E-4</v>
      </c>
      <c r="BB35" s="30">
        <v>2.0885813072993732E-2</v>
      </c>
      <c r="BC35" s="43">
        <v>-3.3700000000000001E-4</v>
      </c>
      <c r="BD35" s="43">
        <v>-3.1799999999999998E-4</v>
      </c>
      <c r="BE35" s="43">
        <v>-1.3200000000000001E-4</v>
      </c>
      <c r="BG35" s="30">
        <v>1.879727132299374E-2</v>
      </c>
      <c r="BH35" s="43">
        <v>-2.2699999999999999E-4</v>
      </c>
      <c r="BI35" s="43">
        <v>-2.2699999999999999E-4</v>
      </c>
      <c r="BJ35" s="43">
        <v>-2.1499999999999999E-4</v>
      </c>
      <c r="BK35" s="30">
        <v>2.0885813072993732E-2</v>
      </c>
      <c r="BL35" s="43">
        <v>-2.2800000000000001E-4</v>
      </c>
      <c r="BM35" s="43">
        <v>-2.2699999999999999E-4</v>
      </c>
      <c r="BN35" s="43">
        <v>-2.1499999999999999E-4</v>
      </c>
      <c r="BP35" s="30">
        <v>1.879727132299374E-2</v>
      </c>
      <c r="BQ35" s="43">
        <v>-2.8200000000000002E-4</v>
      </c>
      <c r="BR35" s="43">
        <v>-2.5900000000000001E-4</v>
      </c>
      <c r="BS35" s="43">
        <v>-2.8E-5</v>
      </c>
      <c r="BT35" s="30">
        <v>2.0885813072993732E-2</v>
      </c>
      <c r="BU35" s="43">
        <v>-2.9300000000000002E-4</v>
      </c>
      <c r="BV35" s="43">
        <v>-2.6800000000000001E-4</v>
      </c>
      <c r="BW35" s="43">
        <v>-2.0000000000000002E-5</v>
      </c>
      <c r="BY35" s="30">
        <v>1.879727132299374E-2</v>
      </c>
      <c r="BZ35" s="43">
        <v>-2.0599999999999999E-4</v>
      </c>
      <c r="CA35" s="43">
        <v>-1.95E-4</v>
      </c>
      <c r="CB35" s="43">
        <v>-8.5000000000000006E-5</v>
      </c>
      <c r="CC35" s="30">
        <v>2.0885813072993732E-2</v>
      </c>
      <c r="CD35" s="43">
        <v>-2.04E-4</v>
      </c>
      <c r="CE35" s="43">
        <v>-1.94E-4</v>
      </c>
      <c r="CF35" s="43">
        <v>-8.7999999999999998E-5</v>
      </c>
      <c r="CH35" s="30">
        <v>1.879727132299374E-2</v>
      </c>
      <c r="CI35" s="43">
        <v>-4.1899999999999999E-4</v>
      </c>
      <c r="CJ35" s="43">
        <v>-4.2099999999999999E-4</v>
      </c>
      <c r="CK35" s="43">
        <v>-3.1000000000000001E-5</v>
      </c>
      <c r="CL35" s="30">
        <v>2.0885813072993732E-2</v>
      </c>
      <c r="CM35" s="43">
        <v>-4.4099999999999999E-4</v>
      </c>
      <c r="CN35" s="43">
        <v>-4.4299999999999998E-4</v>
      </c>
      <c r="CO35" s="43">
        <v>-1.0000000000000001E-5</v>
      </c>
      <c r="CQ35" s="30">
        <v>1.879727132299374E-2</v>
      </c>
      <c r="CR35" s="43">
        <v>-2.9700000000000001E-4</v>
      </c>
      <c r="CS35" s="43">
        <v>-2.9799999999999998E-4</v>
      </c>
      <c r="CT35" s="43">
        <v>-1.47E-4</v>
      </c>
      <c r="CU35" s="30">
        <v>2.0885813072993732E-2</v>
      </c>
      <c r="CV35" s="43">
        <v>-3.0499999999999999E-4</v>
      </c>
      <c r="CW35" s="43">
        <v>-3.0600000000000001E-4</v>
      </c>
      <c r="CX35" s="43">
        <v>-1.3899999999999999E-4</v>
      </c>
    </row>
    <row r="36" spans="2:102" ht="14.45" customHeight="1" x14ac:dyDescent="0.25">
      <c r="B36" s="77" t="s">
        <v>81</v>
      </c>
      <c r="C36" s="77"/>
      <c r="H36" s="71"/>
      <c r="I36" s="71"/>
      <c r="N36" s="30">
        <v>1.9493451906327074E-2</v>
      </c>
      <c r="O36" s="43">
        <v>-2.3699999999999999E-4</v>
      </c>
      <c r="P36" s="43">
        <v>-2.2800000000000001E-4</v>
      </c>
      <c r="Q36" s="43">
        <v>-1.2E-4</v>
      </c>
      <c r="R36" s="30">
        <v>2.172122977299373E-2</v>
      </c>
      <c r="S36" s="43">
        <v>-2.4699999999999999E-4</v>
      </c>
      <c r="T36" s="43">
        <v>-2.3599999999999999E-4</v>
      </c>
      <c r="U36" s="43">
        <v>-1.1E-4</v>
      </c>
      <c r="W36" s="30">
        <v>1.9493451906327074E-2</v>
      </c>
      <c r="X36" s="43">
        <v>-3.77E-4</v>
      </c>
      <c r="Y36" s="43">
        <v>-3.4600000000000001E-4</v>
      </c>
      <c r="Z36" s="43">
        <v>-1.311E-7</v>
      </c>
      <c r="AA36" s="30">
        <v>2.172122977299373E-2</v>
      </c>
      <c r="AB36" s="43">
        <v>-3.77E-4</v>
      </c>
      <c r="AC36" s="43">
        <v>-3.4600000000000001E-4</v>
      </c>
      <c r="AD36" s="43">
        <v>1.9999999999999999E-6</v>
      </c>
      <c r="AF36" s="30">
        <v>1.9493451906327074E-2</v>
      </c>
      <c r="AG36" s="43">
        <v>-3.2699999999999998E-4</v>
      </c>
      <c r="AH36" s="43">
        <v>-3.1E-4</v>
      </c>
      <c r="AI36" s="43">
        <v>-1.3799999999999999E-4</v>
      </c>
      <c r="AJ36" s="30">
        <v>2.172122977299373E-2</v>
      </c>
      <c r="AK36" s="43">
        <v>-3.39E-4</v>
      </c>
      <c r="AL36" s="43">
        <v>-3.2000000000000003E-4</v>
      </c>
      <c r="AM36" s="43">
        <v>-1.2899999999999999E-4</v>
      </c>
      <c r="AO36" s="30">
        <v>1.9493451906327074E-2</v>
      </c>
      <c r="AP36" s="43">
        <v>-2.3000000000000001E-4</v>
      </c>
      <c r="AQ36" s="43">
        <v>-2.2800000000000001E-4</v>
      </c>
      <c r="AR36" s="43">
        <v>-2.13E-4</v>
      </c>
      <c r="AS36" s="30">
        <v>2.172122977299373E-2</v>
      </c>
      <c r="AT36" s="43">
        <v>-2.3000000000000001E-4</v>
      </c>
      <c r="AU36" s="43">
        <v>-2.2900000000000001E-4</v>
      </c>
      <c r="AV36" s="43">
        <v>-2.12E-4</v>
      </c>
      <c r="AX36" s="30">
        <v>1.9493451906327074E-2</v>
      </c>
      <c r="AY36" s="43">
        <v>-3.2899999999999997E-4</v>
      </c>
      <c r="AZ36" s="43">
        <v>-3.1199999999999999E-4</v>
      </c>
      <c r="BA36" s="43">
        <v>-1.3799999999999999E-4</v>
      </c>
      <c r="BB36" s="30">
        <v>2.172122977299373E-2</v>
      </c>
      <c r="BC36" s="43">
        <v>-3.4099999999999999E-4</v>
      </c>
      <c r="BD36" s="43">
        <v>-3.2200000000000002E-4</v>
      </c>
      <c r="BE36" s="43">
        <v>-1.2799999999999999E-4</v>
      </c>
      <c r="BG36" s="30">
        <v>1.9493451906327074E-2</v>
      </c>
      <c r="BH36" s="43">
        <v>-2.2800000000000001E-4</v>
      </c>
      <c r="BI36" s="43">
        <v>-2.2699999999999999E-4</v>
      </c>
      <c r="BJ36" s="43">
        <v>-2.1499999999999999E-4</v>
      </c>
      <c r="BK36" s="30">
        <v>2.172122977299373E-2</v>
      </c>
      <c r="BL36" s="43">
        <v>-2.2800000000000001E-4</v>
      </c>
      <c r="BM36" s="43">
        <v>-2.2699999999999999E-4</v>
      </c>
      <c r="BN36" s="43">
        <v>-2.1499999999999999E-4</v>
      </c>
      <c r="BP36" s="30">
        <v>1.9493451906327074E-2</v>
      </c>
      <c r="BQ36" s="43">
        <v>-2.8600000000000001E-4</v>
      </c>
      <c r="BR36" s="43">
        <v>-2.6200000000000003E-4</v>
      </c>
      <c r="BS36" s="43">
        <v>-2.5000000000000001E-5</v>
      </c>
      <c r="BT36" s="30">
        <v>2.172122977299373E-2</v>
      </c>
      <c r="BU36" s="43">
        <v>-2.9700000000000001E-4</v>
      </c>
      <c r="BV36" s="43">
        <v>-2.72E-4</v>
      </c>
      <c r="BW36" s="43">
        <v>-1.7E-5</v>
      </c>
      <c r="BY36" s="30">
        <v>1.9493451906327074E-2</v>
      </c>
      <c r="BZ36" s="43">
        <v>-2.05E-4</v>
      </c>
      <c r="CA36" s="43">
        <v>-1.94E-4</v>
      </c>
      <c r="CB36" s="43">
        <v>-8.6000000000000003E-5</v>
      </c>
      <c r="CC36" s="30">
        <v>2.172122977299373E-2</v>
      </c>
      <c r="CD36" s="43">
        <v>-2.04E-4</v>
      </c>
      <c r="CE36" s="43">
        <v>-1.93E-4</v>
      </c>
      <c r="CF36" s="43">
        <v>-8.8999999999999995E-5</v>
      </c>
      <c r="CH36" s="30">
        <v>1.9493451906327074E-2</v>
      </c>
      <c r="CI36" s="43">
        <v>-4.26E-4</v>
      </c>
      <c r="CJ36" s="43">
        <v>-4.28E-4</v>
      </c>
      <c r="CK36" s="43">
        <v>-2.4000000000000001E-5</v>
      </c>
      <c r="CL36" s="30">
        <v>2.172122977299373E-2</v>
      </c>
      <c r="CM36" s="43">
        <v>-4.4900000000000002E-4</v>
      </c>
      <c r="CN36" s="43">
        <v>-4.5199999999999998E-4</v>
      </c>
      <c r="CO36" s="43">
        <v>-9.9999999999999995E-7</v>
      </c>
      <c r="CQ36" s="30">
        <v>1.9493451906327074E-2</v>
      </c>
      <c r="CR36" s="43">
        <v>-2.9999999999999997E-4</v>
      </c>
      <c r="CS36" s="43">
        <v>-2.9999999999999997E-4</v>
      </c>
      <c r="CT36" s="43">
        <v>-1.44E-4</v>
      </c>
      <c r="CU36" s="30">
        <v>2.172122977299373E-2</v>
      </c>
      <c r="CV36" s="43">
        <v>-3.0800000000000001E-4</v>
      </c>
      <c r="CW36" s="43">
        <v>-3.0899999999999998E-4</v>
      </c>
      <c r="CX36" s="43">
        <v>-1.36E-4</v>
      </c>
    </row>
    <row r="37" spans="2:102" ht="14.45" customHeight="1" x14ac:dyDescent="0.25">
      <c r="B37" s="77" t="s">
        <v>90</v>
      </c>
      <c r="C37" s="77"/>
      <c r="D37" s="77"/>
      <c r="E37" s="3"/>
      <c r="H37" s="1"/>
      <c r="I37" s="1"/>
      <c r="N37" s="30">
        <v>2.0189632489660408E-2</v>
      </c>
      <c r="O37" s="43">
        <v>-2.4000000000000001E-4</v>
      </c>
      <c r="P37" s="43">
        <v>-2.3000000000000001E-4</v>
      </c>
      <c r="Q37" s="43">
        <v>-1.17E-4</v>
      </c>
      <c r="R37" s="30">
        <v>2.2556646472993731E-2</v>
      </c>
      <c r="S37" s="43">
        <v>-2.5099999999999998E-4</v>
      </c>
      <c r="T37" s="43">
        <v>-2.3900000000000001E-4</v>
      </c>
      <c r="U37" s="43">
        <v>-1.06E-4</v>
      </c>
      <c r="W37" s="30">
        <v>2.0189632489660408E-2</v>
      </c>
      <c r="X37" s="43">
        <v>-3.77E-4</v>
      </c>
      <c r="Y37" s="43">
        <v>-3.4600000000000001E-4</v>
      </c>
      <c r="Z37" s="43">
        <v>9.9999999999999995E-7</v>
      </c>
      <c r="AA37" s="30">
        <v>2.2556646472993731E-2</v>
      </c>
      <c r="AB37" s="43">
        <v>-3.77E-4</v>
      </c>
      <c r="AC37" s="43">
        <v>-3.4600000000000001E-4</v>
      </c>
      <c r="AD37" s="43">
        <v>3.0000000000000001E-6</v>
      </c>
      <c r="AF37" s="30">
        <v>2.0189632489660408E-2</v>
      </c>
      <c r="AG37" s="43">
        <v>-3.3100000000000002E-4</v>
      </c>
      <c r="AH37" s="43">
        <v>-3.1300000000000002E-4</v>
      </c>
      <c r="AI37" s="43">
        <v>-1.35E-4</v>
      </c>
      <c r="AJ37" s="30">
        <v>2.2556646472993731E-2</v>
      </c>
      <c r="AK37" s="43">
        <v>-3.4400000000000001E-4</v>
      </c>
      <c r="AL37" s="43">
        <v>-3.2400000000000001E-4</v>
      </c>
      <c r="AM37" s="43">
        <v>-1.25E-4</v>
      </c>
      <c r="AO37" s="30">
        <v>2.0189632489660408E-2</v>
      </c>
      <c r="AP37" s="43">
        <v>-2.3000000000000001E-4</v>
      </c>
      <c r="AQ37" s="43">
        <v>-2.2800000000000001E-4</v>
      </c>
      <c r="AR37" s="43">
        <v>-2.12E-4</v>
      </c>
      <c r="AS37" s="30">
        <v>2.2556646472993731E-2</v>
      </c>
      <c r="AT37" s="43">
        <v>-2.31E-4</v>
      </c>
      <c r="AU37" s="43">
        <v>-2.2900000000000001E-4</v>
      </c>
      <c r="AV37" s="43">
        <v>-2.12E-4</v>
      </c>
      <c r="AX37" s="30">
        <v>2.0189632489660408E-2</v>
      </c>
      <c r="AY37" s="43">
        <v>-3.3300000000000002E-4</v>
      </c>
      <c r="AZ37" s="43">
        <v>-3.1500000000000001E-4</v>
      </c>
      <c r="BA37" s="43">
        <v>-1.35E-4</v>
      </c>
      <c r="BB37" s="30">
        <v>2.2556646472993731E-2</v>
      </c>
      <c r="BC37" s="43">
        <v>-3.4600000000000001E-4</v>
      </c>
      <c r="BD37" s="43">
        <v>-3.2600000000000001E-4</v>
      </c>
      <c r="BE37" s="43">
        <v>-1.25E-4</v>
      </c>
      <c r="BG37" s="30">
        <v>2.0189632489660408E-2</v>
      </c>
      <c r="BH37" s="43">
        <v>-2.2800000000000001E-4</v>
      </c>
      <c r="BI37" s="43">
        <v>-2.2699999999999999E-4</v>
      </c>
      <c r="BJ37" s="43">
        <v>-2.1499999999999999E-4</v>
      </c>
      <c r="BK37" s="30">
        <v>2.2556646472993731E-2</v>
      </c>
      <c r="BL37" s="43">
        <v>-2.2900000000000001E-4</v>
      </c>
      <c r="BM37" s="43">
        <v>-2.2800000000000001E-4</v>
      </c>
      <c r="BN37" s="43">
        <v>-2.1499999999999999E-4</v>
      </c>
      <c r="BP37" s="30">
        <v>2.0189632489660408E-2</v>
      </c>
      <c r="BQ37" s="43">
        <v>-2.8899999999999998E-4</v>
      </c>
      <c r="BR37" s="43">
        <v>-2.6499999999999999E-4</v>
      </c>
      <c r="BS37" s="43">
        <v>-2.3E-5</v>
      </c>
      <c r="BT37" s="30">
        <v>2.2556646472993731E-2</v>
      </c>
      <c r="BU37" s="43">
        <v>-3.0200000000000002E-4</v>
      </c>
      <c r="BV37" s="43">
        <v>-2.7599999999999999E-4</v>
      </c>
      <c r="BW37" s="43">
        <v>-1.4E-5</v>
      </c>
      <c r="BY37" s="30">
        <v>2.0189632489660408E-2</v>
      </c>
      <c r="BZ37" s="43">
        <v>-2.05E-4</v>
      </c>
      <c r="CA37" s="43">
        <v>-1.94E-4</v>
      </c>
      <c r="CB37" s="43">
        <v>-8.7000000000000001E-5</v>
      </c>
      <c r="CC37" s="30">
        <v>2.2556646472993731E-2</v>
      </c>
      <c r="CD37" s="43">
        <v>-2.03E-4</v>
      </c>
      <c r="CE37" s="43">
        <v>-1.93E-4</v>
      </c>
      <c r="CF37" s="43">
        <v>-9.0000000000000006E-5</v>
      </c>
      <c r="CH37" s="30">
        <v>2.0189632489660408E-2</v>
      </c>
      <c r="CI37" s="43">
        <v>-4.3300000000000001E-4</v>
      </c>
      <c r="CJ37" s="43">
        <v>-4.3600000000000003E-4</v>
      </c>
      <c r="CK37" s="43">
        <v>-1.7E-5</v>
      </c>
      <c r="CL37" s="30">
        <v>2.2556646472993731E-2</v>
      </c>
      <c r="CM37" s="43">
        <v>-4.5800000000000002E-4</v>
      </c>
      <c r="CN37" s="43">
        <v>-4.6000000000000001E-4</v>
      </c>
      <c r="CO37" s="43">
        <v>6.9999999999999999E-6</v>
      </c>
      <c r="CQ37" s="30">
        <v>2.0189632489660408E-2</v>
      </c>
      <c r="CR37" s="43">
        <v>-3.0200000000000002E-4</v>
      </c>
      <c r="CS37" s="43">
        <v>-3.0299999999999999E-4</v>
      </c>
      <c r="CT37" s="43">
        <v>-1.4200000000000001E-4</v>
      </c>
      <c r="CU37" s="30">
        <v>2.2556646472993731E-2</v>
      </c>
      <c r="CV37" s="43">
        <v>-3.1199999999999999E-4</v>
      </c>
      <c r="CW37" s="43">
        <v>-3.1300000000000002E-4</v>
      </c>
      <c r="CX37" s="43">
        <v>-1.3200000000000001E-4</v>
      </c>
    </row>
    <row r="38" spans="2:102" x14ac:dyDescent="0.25">
      <c r="H38" s="1"/>
      <c r="I38" s="1"/>
      <c r="N38" s="30">
        <v>2.0885813072993743E-2</v>
      </c>
      <c r="O38" s="43">
        <v>-2.43E-4</v>
      </c>
      <c r="P38" s="43">
        <v>-2.33E-4</v>
      </c>
      <c r="Q38" s="43">
        <v>-1.1400000000000001E-4</v>
      </c>
      <c r="R38" s="30">
        <v>2.3392063172993732E-2</v>
      </c>
      <c r="S38" s="43">
        <v>-2.5500000000000002E-4</v>
      </c>
      <c r="T38" s="43">
        <v>-2.42E-4</v>
      </c>
      <c r="U38" s="43">
        <v>-1.02E-4</v>
      </c>
      <c r="W38" s="30">
        <v>2.0885813072993743E-2</v>
      </c>
      <c r="X38" s="43">
        <v>-3.77E-4</v>
      </c>
      <c r="Y38" s="43">
        <v>-3.4600000000000001E-4</v>
      </c>
      <c r="Z38" s="43">
        <v>9.9999999999999995E-7</v>
      </c>
      <c r="AA38" s="30">
        <v>2.3392063172993732E-2</v>
      </c>
      <c r="AB38" s="43">
        <v>-3.77E-4</v>
      </c>
      <c r="AC38" s="43">
        <v>-3.4600000000000001E-4</v>
      </c>
      <c r="AD38" s="43">
        <v>3.9999999999999998E-6</v>
      </c>
      <c r="AF38" s="30">
        <v>2.0885813072993743E-2</v>
      </c>
      <c r="AG38" s="43">
        <v>-3.3500000000000001E-4</v>
      </c>
      <c r="AH38" s="43">
        <v>-3.1700000000000001E-4</v>
      </c>
      <c r="AI38" s="43">
        <v>-1.3200000000000001E-4</v>
      </c>
      <c r="AJ38" s="30">
        <v>2.3392063172993732E-2</v>
      </c>
      <c r="AK38" s="43">
        <v>-3.48E-4</v>
      </c>
      <c r="AL38" s="43">
        <v>-3.28E-4</v>
      </c>
      <c r="AM38" s="43">
        <v>-1.22E-4</v>
      </c>
      <c r="AO38" s="30">
        <v>2.0885813072993743E-2</v>
      </c>
      <c r="AP38" s="43">
        <v>-2.3000000000000001E-4</v>
      </c>
      <c r="AQ38" s="43">
        <v>-2.2900000000000001E-4</v>
      </c>
      <c r="AR38" s="43">
        <v>-2.12E-4</v>
      </c>
      <c r="AS38" s="30">
        <v>2.3392063172993732E-2</v>
      </c>
      <c r="AT38" s="43">
        <v>-2.31E-4</v>
      </c>
      <c r="AU38" s="43">
        <v>-2.2900000000000001E-4</v>
      </c>
      <c r="AV38" s="43">
        <v>-2.1100000000000001E-4</v>
      </c>
      <c r="AX38" s="30">
        <v>2.0885813072993743E-2</v>
      </c>
      <c r="AY38" s="43">
        <v>-3.3700000000000001E-4</v>
      </c>
      <c r="AZ38" s="43">
        <v>-3.1799999999999998E-4</v>
      </c>
      <c r="BA38" s="43">
        <v>-1.3200000000000001E-4</v>
      </c>
      <c r="BB38" s="30">
        <v>2.3392063172993732E-2</v>
      </c>
      <c r="BC38" s="43">
        <v>-3.5E-4</v>
      </c>
      <c r="BD38" s="43">
        <v>-3.3E-4</v>
      </c>
      <c r="BE38" s="43">
        <v>-1.21E-4</v>
      </c>
      <c r="BG38" s="30">
        <v>2.0885813072993743E-2</v>
      </c>
      <c r="BH38" s="43">
        <v>-2.2800000000000001E-4</v>
      </c>
      <c r="BI38" s="43">
        <v>-2.2699999999999999E-4</v>
      </c>
      <c r="BJ38" s="43">
        <v>-2.1499999999999999E-4</v>
      </c>
      <c r="BK38" s="30">
        <v>2.3392063172993732E-2</v>
      </c>
      <c r="BL38" s="43">
        <v>-2.2900000000000001E-4</v>
      </c>
      <c r="BM38" s="43">
        <v>-2.2800000000000001E-4</v>
      </c>
      <c r="BN38" s="43">
        <v>-2.14E-4</v>
      </c>
      <c r="BP38" s="30">
        <v>2.0885813072993743E-2</v>
      </c>
      <c r="BQ38" s="43">
        <v>-2.9300000000000002E-4</v>
      </c>
      <c r="BR38" s="43">
        <v>-2.6800000000000001E-4</v>
      </c>
      <c r="BS38" s="43">
        <v>-2.0000000000000002E-5</v>
      </c>
      <c r="BT38" s="30">
        <v>2.3392063172993732E-2</v>
      </c>
      <c r="BU38" s="43">
        <v>-3.0600000000000001E-4</v>
      </c>
      <c r="BV38" s="43">
        <v>-2.7900000000000001E-4</v>
      </c>
      <c r="BW38" s="43">
        <v>-1.1E-5</v>
      </c>
      <c r="BY38" s="30">
        <v>2.0885813072993743E-2</v>
      </c>
      <c r="BZ38" s="43">
        <v>-2.04E-4</v>
      </c>
      <c r="CA38" s="43">
        <v>-1.94E-4</v>
      </c>
      <c r="CB38" s="43">
        <v>-8.7999999999999998E-5</v>
      </c>
      <c r="CC38" s="30">
        <v>2.3392063172993732E-2</v>
      </c>
      <c r="CD38" s="43">
        <v>-2.02E-4</v>
      </c>
      <c r="CE38" s="43">
        <v>-1.92E-4</v>
      </c>
      <c r="CF38" s="43">
        <v>-9.1000000000000003E-5</v>
      </c>
      <c r="CH38" s="30">
        <v>2.0885813072993743E-2</v>
      </c>
      <c r="CI38" s="43">
        <v>-4.4000000000000002E-4</v>
      </c>
      <c r="CJ38" s="43">
        <v>-4.4299999999999998E-4</v>
      </c>
      <c r="CK38" s="43">
        <v>-1.0000000000000001E-5</v>
      </c>
      <c r="CL38" s="30">
        <v>2.3392063172993732E-2</v>
      </c>
      <c r="CM38" s="43">
        <v>-4.66E-4</v>
      </c>
      <c r="CN38" s="43">
        <v>-4.6900000000000002E-4</v>
      </c>
      <c r="CO38" s="43">
        <v>1.5999999999999999E-5</v>
      </c>
      <c r="CQ38" s="30">
        <v>2.0885813072993743E-2</v>
      </c>
      <c r="CR38" s="43">
        <v>-3.0499999999999999E-4</v>
      </c>
      <c r="CS38" s="43">
        <v>-3.0600000000000001E-4</v>
      </c>
      <c r="CT38" s="43">
        <v>-1.3899999999999999E-4</v>
      </c>
      <c r="CU38" s="30">
        <v>2.3392063172993732E-2</v>
      </c>
      <c r="CV38" s="43">
        <v>-3.1500000000000001E-4</v>
      </c>
      <c r="CW38" s="43">
        <v>-3.1599999999999998E-4</v>
      </c>
      <c r="CX38" s="43">
        <v>-1.2899999999999999E-4</v>
      </c>
    </row>
    <row r="39" spans="2:102" x14ac:dyDescent="0.25">
      <c r="H39" s="71"/>
      <c r="I39" s="71"/>
      <c r="N39" s="30">
        <v>2.1581993656327077E-2</v>
      </c>
      <c r="O39" s="43">
        <v>-2.4699999999999999E-4</v>
      </c>
      <c r="P39" s="43">
        <v>-2.3499999999999999E-4</v>
      </c>
      <c r="Q39" s="43">
        <v>-1.1E-4</v>
      </c>
      <c r="R39" s="30">
        <v>2.4227479872993729E-2</v>
      </c>
      <c r="S39" s="43">
        <v>-2.5799999999999998E-4</v>
      </c>
      <c r="T39" s="43">
        <v>-2.4499999999999999E-4</v>
      </c>
      <c r="U39" s="43">
        <v>-9.7999999999999997E-5</v>
      </c>
      <c r="W39" s="30">
        <v>2.1581993656327077E-2</v>
      </c>
      <c r="X39" s="43">
        <v>-3.77E-4</v>
      </c>
      <c r="Y39" s="43">
        <v>-3.4600000000000001E-4</v>
      </c>
      <c r="Z39" s="43">
        <v>1.9999999999999999E-6</v>
      </c>
      <c r="AA39" s="30">
        <v>2.4227479872993729E-2</v>
      </c>
      <c r="AB39" s="43">
        <v>-3.77E-4</v>
      </c>
      <c r="AC39" s="43">
        <v>-3.4600000000000001E-4</v>
      </c>
      <c r="AD39" s="43">
        <v>5.0000000000000004E-6</v>
      </c>
      <c r="AF39" s="30">
        <v>2.1581993656327077E-2</v>
      </c>
      <c r="AG39" s="43">
        <v>-3.39E-4</v>
      </c>
      <c r="AH39" s="43">
        <v>-3.2000000000000003E-4</v>
      </c>
      <c r="AI39" s="43">
        <v>-1.2899999999999999E-4</v>
      </c>
      <c r="AJ39" s="30">
        <v>2.4227479872993729E-2</v>
      </c>
      <c r="AK39" s="43">
        <v>-3.5300000000000002E-4</v>
      </c>
      <c r="AL39" s="43">
        <v>-3.3100000000000002E-4</v>
      </c>
      <c r="AM39" s="43">
        <v>-1.18E-4</v>
      </c>
      <c r="AO39" s="30">
        <v>2.1581993656327077E-2</v>
      </c>
      <c r="AP39" s="43">
        <v>-2.3000000000000001E-4</v>
      </c>
      <c r="AQ39" s="43">
        <v>-2.2900000000000001E-4</v>
      </c>
      <c r="AR39" s="43">
        <v>-2.12E-4</v>
      </c>
      <c r="AS39" s="30">
        <v>2.4227479872993729E-2</v>
      </c>
      <c r="AT39" s="43">
        <v>-2.31E-4</v>
      </c>
      <c r="AU39" s="43">
        <v>-2.3000000000000001E-4</v>
      </c>
      <c r="AV39" s="43">
        <v>-2.1100000000000001E-4</v>
      </c>
      <c r="AX39" s="30">
        <v>2.1581993656327077E-2</v>
      </c>
      <c r="AY39" s="43">
        <v>-3.4000000000000002E-4</v>
      </c>
      <c r="AZ39" s="43">
        <v>-3.21E-4</v>
      </c>
      <c r="BA39" s="43">
        <v>-1.2899999999999999E-4</v>
      </c>
      <c r="BB39" s="30">
        <v>2.4227479872993729E-2</v>
      </c>
      <c r="BC39" s="43">
        <v>-3.5500000000000001E-4</v>
      </c>
      <c r="BD39" s="43">
        <v>-3.3300000000000002E-4</v>
      </c>
      <c r="BE39" s="43">
        <v>-1.17E-4</v>
      </c>
      <c r="BG39" s="30">
        <v>2.1581993656327077E-2</v>
      </c>
      <c r="BH39" s="43">
        <v>-2.2800000000000001E-4</v>
      </c>
      <c r="BI39" s="43">
        <v>-2.2699999999999999E-4</v>
      </c>
      <c r="BJ39" s="43">
        <v>-2.1499999999999999E-4</v>
      </c>
      <c r="BK39" s="30">
        <v>2.4227479872993729E-2</v>
      </c>
      <c r="BL39" s="43">
        <v>-2.2900000000000001E-4</v>
      </c>
      <c r="BM39" s="43">
        <v>-2.2800000000000001E-4</v>
      </c>
      <c r="BN39" s="43">
        <v>-2.14E-4</v>
      </c>
      <c r="BP39" s="30">
        <v>2.1581993656327077E-2</v>
      </c>
      <c r="BQ39" s="43">
        <v>-2.9700000000000001E-4</v>
      </c>
      <c r="BR39" s="43">
        <v>-2.7099999999999997E-4</v>
      </c>
      <c r="BS39" s="43">
        <v>-1.8E-5</v>
      </c>
      <c r="BT39" s="30">
        <v>2.4227479872993729E-2</v>
      </c>
      <c r="BU39" s="43">
        <v>-3.1100000000000002E-4</v>
      </c>
      <c r="BV39" s="43">
        <v>-2.8299999999999999E-4</v>
      </c>
      <c r="BW39" s="43">
        <v>-7.9999999999999996E-6</v>
      </c>
      <c r="BY39" s="30">
        <v>2.1581993656327077E-2</v>
      </c>
      <c r="BZ39" s="43">
        <v>-2.04E-4</v>
      </c>
      <c r="CA39" s="43">
        <v>-1.93E-4</v>
      </c>
      <c r="CB39" s="43">
        <v>-8.8999999999999995E-5</v>
      </c>
      <c r="CC39" s="30">
        <v>2.4227479872993729E-2</v>
      </c>
      <c r="CD39" s="43">
        <v>-2.02E-4</v>
      </c>
      <c r="CE39" s="43">
        <v>-1.92E-4</v>
      </c>
      <c r="CF39" s="43">
        <v>-9.2E-5</v>
      </c>
      <c r="CH39" s="30">
        <v>2.1581993656327077E-2</v>
      </c>
      <c r="CI39" s="43">
        <v>-4.4799999999999999E-4</v>
      </c>
      <c r="CJ39" s="43">
        <v>-4.4999999999999999E-4</v>
      </c>
      <c r="CK39" s="43">
        <v>-3.0000000000000001E-6</v>
      </c>
      <c r="CL39" s="30">
        <v>2.4227479872993729E-2</v>
      </c>
      <c r="CM39" s="43">
        <v>-4.75E-4</v>
      </c>
      <c r="CN39" s="43">
        <v>-4.7800000000000002E-4</v>
      </c>
      <c r="CO39" s="43">
        <v>2.5000000000000001E-5</v>
      </c>
      <c r="CQ39" s="30">
        <v>2.1581993656327077E-2</v>
      </c>
      <c r="CR39" s="43">
        <v>-3.0800000000000001E-4</v>
      </c>
      <c r="CS39" s="43">
        <v>-3.0899999999999998E-4</v>
      </c>
      <c r="CT39" s="43">
        <v>-1.36E-4</v>
      </c>
      <c r="CU39" s="30">
        <v>2.4227479872993729E-2</v>
      </c>
      <c r="CV39" s="43">
        <v>-3.1799999999999998E-4</v>
      </c>
      <c r="CW39" s="43">
        <v>-3.19E-4</v>
      </c>
      <c r="CX39" s="43">
        <v>-1.26E-4</v>
      </c>
    </row>
    <row r="40" spans="2:102" x14ac:dyDescent="0.25">
      <c r="H40" s="1"/>
      <c r="I40" s="1"/>
      <c r="N40" s="30">
        <v>2.2278174239660411E-2</v>
      </c>
      <c r="O40" s="43">
        <v>-2.5000000000000001E-4</v>
      </c>
      <c r="P40" s="43">
        <v>-2.3800000000000001E-4</v>
      </c>
      <c r="Q40" s="43">
        <v>-1.07E-4</v>
      </c>
      <c r="R40" s="30">
        <v>2.506289657299373E-2</v>
      </c>
      <c r="S40" s="43">
        <v>-2.6200000000000003E-4</v>
      </c>
      <c r="T40" s="43">
        <v>-2.4800000000000001E-4</v>
      </c>
      <c r="U40" s="43">
        <v>-9.3999999999999994E-5</v>
      </c>
      <c r="W40" s="30">
        <v>2.2278174239660411E-2</v>
      </c>
      <c r="X40" s="43">
        <v>-3.77E-4</v>
      </c>
      <c r="Y40" s="43">
        <v>-3.4600000000000001E-4</v>
      </c>
      <c r="Z40" s="43">
        <v>3.0000000000000001E-6</v>
      </c>
      <c r="AA40" s="30">
        <v>2.506289657299373E-2</v>
      </c>
      <c r="AB40" s="43">
        <v>-3.77E-4</v>
      </c>
      <c r="AC40" s="43">
        <v>-3.4600000000000001E-4</v>
      </c>
      <c r="AD40" s="43">
        <v>6.0000000000000002E-6</v>
      </c>
      <c r="AF40" s="30">
        <v>2.2278174239660411E-2</v>
      </c>
      <c r="AG40" s="43">
        <v>-3.4200000000000002E-4</v>
      </c>
      <c r="AH40" s="43">
        <v>-3.2299999999999999E-4</v>
      </c>
      <c r="AI40" s="43">
        <v>-1.26E-4</v>
      </c>
      <c r="AJ40" s="30">
        <v>2.506289657299373E-2</v>
      </c>
      <c r="AK40" s="43">
        <v>-3.57E-4</v>
      </c>
      <c r="AL40" s="43">
        <v>-3.3500000000000001E-4</v>
      </c>
      <c r="AM40" s="43">
        <v>-1.1400000000000001E-4</v>
      </c>
      <c r="AO40" s="30">
        <v>2.2278174239660411E-2</v>
      </c>
      <c r="AP40" s="43">
        <v>-2.3000000000000001E-4</v>
      </c>
      <c r="AQ40" s="43">
        <v>-2.2900000000000001E-4</v>
      </c>
      <c r="AR40" s="43">
        <v>-2.12E-4</v>
      </c>
      <c r="AS40" s="30">
        <v>2.506289657299373E-2</v>
      </c>
      <c r="AT40" s="43">
        <v>-2.31E-4</v>
      </c>
      <c r="AU40" s="43">
        <v>-2.3000000000000001E-4</v>
      </c>
      <c r="AV40" s="43">
        <v>-2.1100000000000001E-4</v>
      </c>
      <c r="AX40" s="30">
        <v>2.2278174239660411E-2</v>
      </c>
      <c r="AY40" s="43">
        <v>-3.4400000000000001E-4</v>
      </c>
      <c r="AZ40" s="43">
        <v>-3.2400000000000001E-4</v>
      </c>
      <c r="BA40" s="43">
        <v>-1.26E-4</v>
      </c>
      <c r="BB40" s="30">
        <v>2.506289657299373E-2</v>
      </c>
      <c r="BC40" s="43">
        <v>-3.59E-4</v>
      </c>
      <c r="BD40" s="43">
        <v>-3.3700000000000001E-4</v>
      </c>
      <c r="BE40" s="43">
        <v>-1.1400000000000001E-4</v>
      </c>
      <c r="BG40" s="30">
        <v>2.2278174239660411E-2</v>
      </c>
      <c r="BH40" s="43">
        <v>-2.2900000000000001E-4</v>
      </c>
      <c r="BI40" s="43">
        <v>-2.2800000000000001E-4</v>
      </c>
      <c r="BJ40" s="43">
        <v>-2.1499999999999999E-4</v>
      </c>
      <c r="BK40" s="30">
        <v>2.506289657299373E-2</v>
      </c>
      <c r="BL40" s="43">
        <v>-2.2900000000000001E-4</v>
      </c>
      <c r="BM40" s="43">
        <v>-2.2800000000000001E-4</v>
      </c>
      <c r="BN40" s="43">
        <v>-2.14E-4</v>
      </c>
      <c r="BP40" s="30">
        <v>2.2278174239660411E-2</v>
      </c>
      <c r="BQ40" s="43">
        <v>-2.9999999999999997E-4</v>
      </c>
      <c r="BR40" s="43">
        <v>-2.7399999999999999E-4</v>
      </c>
      <c r="BS40" s="43">
        <v>-1.5E-5</v>
      </c>
      <c r="BT40" s="30">
        <v>2.506289657299373E-2</v>
      </c>
      <c r="BU40" s="43">
        <v>-3.1500000000000001E-4</v>
      </c>
      <c r="BV40" s="43">
        <v>-2.8699999999999998E-4</v>
      </c>
      <c r="BW40" s="43">
        <v>-5.0000000000000004E-6</v>
      </c>
      <c r="BY40" s="30">
        <v>2.2278174239660411E-2</v>
      </c>
      <c r="BZ40" s="43">
        <v>-2.03E-4</v>
      </c>
      <c r="CA40" s="43">
        <v>-1.93E-4</v>
      </c>
      <c r="CB40" s="43">
        <v>-9.0000000000000006E-5</v>
      </c>
      <c r="CC40" s="30">
        <v>2.506289657299373E-2</v>
      </c>
      <c r="CD40" s="43">
        <v>-2.0100000000000001E-4</v>
      </c>
      <c r="CE40" s="43">
        <v>-1.9100000000000001E-4</v>
      </c>
      <c r="CF40" s="43">
        <v>-9.2999999999999997E-5</v>
      </c>
      <c r="CH40" s="30">
        <v>2.2278174239660411E-2</v>
      </c>
      <c r="CI40" s="43">
        <v>-4.55E-4</v>
      </c>
      <c r="CJ40" s="43">
        <v>-4.57E-4</v>
      </c>
      <c r="CK40" s="43">
        <v>3.9999999999999998E-6</v>
      </c>
      <c r="CL40" s="30">
        <v>2.506289657299373E-2</v>
      </c>
      <c r="CM40" s="43">
        <v>-4.84E-4</v>
      </c>
      <c r="CN40" s="43">
        <v>-4.8700000000000002E-4</v>
      </c>
      <c r="CO40" s="43">
        <v>3.3000000000000003E-5</v>
      </c>
      <c r="CQ40" s="30">
        <v>2.2278174239660411E-2</v>
      </c>
      <c r="CR40" s="43">
        <v>-3.1100000000000002E-4</v>
      </c>
      <c r="CS40" s="43">
        <v>-3.1100000000000002E-4</v>
      </c>
      <c r="CT40" s="43">
        <v>-1.3300000000000001E-4</v>
      </c>
      <c r="CU40" s="30">
        <v>2.506289657299373E-2</v>
      </c>
      <c r="CV40" s="43">
        <v>-3.2200000000000002E-4</v>
      </c>
      <c r="CW40" s="43">
        <v>-3.2299999999999999E-4</v>
      </c>
      <c r="CX40" s="43">
        <v>-1.2300000000000001E-4</v>
      </c>
    </row>
    <row r="41" spans="2:102" x14ac:dyDescent="0.25">
      <c r="H41" s="1"/>
      <c r="I41" s="1"/>
      <c r="N41" s="30">
        <v>2.2974354822993742E-2</v>
      </c>
      <c r="O41" s="43">
        <v>-2.5300000000000002E-4</v>
      </c>
      <c r="P41" s="43">
        <v>-2.41E-4</v>
      </c>
      <c r="Q41" s="43">
        <v>-1.0399999999999999E-4</v>
      </c>
      <c r="R41" s="30">
        <v>2.506289657299373E-2</v>
      </c>
      <c r="S41" s="43">
        <v>-2.6200000000000003E-4</v>
      </c>
      <c r="T41" s="43">
        <v>-2.4800000000000001E-4</v>
      </c>
      <c r="U41" s="43">
        <v>-9.3999999999999994E-5</v>
      </c>
      <c r="W41" s="30">
        <v>2.2974354822993742E-2</v>
      </c>
      <c r="X41" s="43">
        <v>-3.77E-4</v>
      </c>
      <c r="Y41" s="43">
        <v>-3.4600000000000001E-4</v>
      </c>
      <c r="Z41" s="43">
        <v>3.0000000000000001E-6</v>
      </c>
      <c r="AA41" s="30">
        <v>2.506289657299373E-2</v>
      </c>
      <c r="AB41" s="43">
        <v>-3.77E-4</v>
      </c>
      <c r="AC41" s="43">
        <v>-3.4600000000000001E-4</v>
      </c>
      <c r="AD41" s="43">
        <v>6.0000000000000002E-6</v>
      </c>
      <c r="AF41" s="30">
        <v>2.2974354822993742E-2</v>
      </c>
      <c r="AG41" s="43">
        <v>-3.4600000000000001E-4</v>
      </c>
      <c r="AH41" s="43">
        <v>-3.2600000000000001E-4</v>
      </c>
      <c r="AI41" s="43">
        <v>-1.2300000000000001E-4</v>
      </c>
      <c r="AJ41" s="30">
        <v>2.506289657299373E-2</v>
      </c>
      <c r="AK41" s="43">
        <v>-3.57E-4</v>
      </c>
      <c r="AL41" s="43">
        <v>-3.3500000000000001E-4</v>
      </c>
      <c r="AM41" s="43">
        <v>-1.1400000000000001E-4</v>
      </c>
      <c r="AO41" s="30">
        <v>2.2974354822993742E-2</v>
      </c>
      <c r="AP41" s="43">
        <v>-2.31E-4</v>
      </c>
      <c r="AQ41" s="43">
        <v>-2.2900000000000001E-4</v>
      </c>
      <c r="AR41" s="43">
        <v>-2.12E-4</v>
      </c>
      <c r="AS41" s="30">
        <v>2.506289657299373E-2</v>
      </c>
      <c r="AT41" s="43">
        <v>-2.31E-4</v>
      </c>
      <c r="AU41" s="43">
        <v>-2.3000000000000001E-4</v>
      </c>
      <c r="AV41" s="43">
        <v>-2.1100000000000001E-4</v>
      </c>
      <c r="AX41" s="30">
        <v>2.2974354822993742E-2</v>
      </c>
      <c r="AY41" s="43">
        <v>-3.48E-4</v>
      </c>
      <c r="AZ41" s="43">
        <v>-3.28E-4</v>
      </c>
      <c r="BA41" s="43">
        <v>-1.2300000000000001E-4</v>
      </c>
      <c r="BB41" s="30">
        <v>2.506289657299373E-2</v>
      </c>
      <c r="BC41" s="43">
        <v>-3.59E-4</v>
      </c>
      <c r="BD41" s="43">
        <v>-3.3700000000000001E-4</v>
      </c>
      <c r="BE41" s="43">
        <v>-1.1400000000000001E-4</v>
      </c>
      <c r="BG41" s="30">
        <v>2.2974354822993742E-2</v>
      </c>
      <c r="BH41" s="43">
        <v>-2.2900000000000001E-4</v>
      </c>
      <c r="BI41" s="43">
        <v>-2.2800000000000001E-4</v>
      </c>
      <c r="BJ41" s="43">
        <v>-2.14E-4</v>
      </c>
      <c r="BK41" s="30">
        <v>2.506289657299373E-2</v>
      </c>
      <c r="BL41" s="43">
        <v>-2.2900000000000001E-4</v>
      </c>
      <c r="BM41" s="43">
        <v>-2.2800000000000001E-4</v>
      </c>
      <c r="BN41" s="43">
        <v>-2.14E-4</v>
      </c>
      <c r="BP41" s="30">
        <v>2.2974354822993742E-2</v>
      </c>
      <c r="BQ41" s="43">
        <v>-3.0400000000000002E-4</v>
      </c>
      <c r="BR41" s="43">
        <v>-2.7799999999999998E-4</v>
      </c>
      <c r="BS41" s="43">
        <v>-1.2999999999999999E-5</v>
      </c>
      <c r="BT41" s="30">
        <v>2.506289657299373E-2</v>
      </c>
      <c r="BU41" s="43">
        <v>-3.1500000000000001E-4</v>
      </c>
      <c r="BV41" s="43">
        <v>-2.8699999999999998E-4</v>
      </c>
      <c r="BW41" s="43">
        <v>-5.0000000000000004E-6</v>
      </c>
      <c r="BY41" s="30">
        <v>2.2974354822993742E-2</v>
      </c>
      <c r="BZ41" s="43">
        <v>-2.03E-4</v>
      </c>
      <c r="CA41" s="43">
        <v>-1.93E-4</v>
      </c>
      <c r="CB41" s="43">
        <v>-9.1000000000000003E-5</v>
      </c>
      <c r="CC41" s="30">
        <v>2.506289657299373E-2</v>
      </c>
      <c r="CD41" s="43">
        <v>-2.0100000000000001E-4</v>
      </c>
      <c r="CE41" s="43">
        <v>-1.9100000000000001E-4</v>
      </c>
      <c r="CF41" s="43">
        <v>-9.2999999999999997E-5</v>
      </c>
      <c r="CH41" s="30">
        <v>2.2974354822993742E-2</v>
      </c>
      <c r="CI41" s="43">
        <v>-4.6200000000000001E-4</v>
      </c>
      <c r="CJ41" s="43">
        <v>-4.6500000000000003E-4</v>
      </c>
      <c r="CK41" s="43">
        <v>1.2E-5</v>
      </c>
      <c r="CL41" s="30">
        <v>2.506289657299373E-2</v>
      </c>
      <c r="CM41" s="43">
        <v>-4.84E-4</v>
      </c>
      <c r="CN41" s="43">
        <v>-4.8700000000000002E-4</v>
      </c>
      <c r="CO41" s="43">
        <v>3.3000000000000003E-5</v>
      </c>
      <c r="CQ41" s="30">
        <v>2.2974354822993742E-2</v>
      </c>
      <c r="CR41" s="43">
        <v>-3.1300000000000002E-4</v>
      </c>
      <c r="CS41" s="43">
        <v>-3.1399999999999999E-4</v>
      </c>
      <c r="CT41" s="43">
        <v>-1.3100000000000001E-4</v>
      </c>
      <c r="CU41" s="30">
        <v>2.506289657299373E-2</v>
      </c>
      <c r="CV41" s="43">
        <v>-3.2200000000000002E-4</v>
      </c>
      <c r="CW41" s="43">
        <v>-3.2299999999999999E-4</v>
      </c>
      <c r="CX41" s="43">
        <v>-1.2300000000000001E-4</v>
      </c>
    </row>
    <row r="42" spans="2:102" x14ac:dyDescent="0.25">
      <c r="N42" s="30">
        <v>2.3670535406327076E-2</v>
      </c>
      <c r="O42" s="43">
        <v>-2.5599999999999999E-4</v>
      </c>
      <c r="P42" s="43">
        <v>-2.43E-4</v>
      </c>
      <c r="Q42" s="43">
        <v>-1.01E-4</v>
      </c>
      <c r="R42" s="30">
        <v>2.5898313272993731E-2</v>
      </c>
      <c r="S42" s="43">
        <v>-2.6600000000000001E-4</v>
      </c>
      <c r="T42" s="43">
        <v>-2.5099999999999998E-4</v>
      </c>
      <c r="U42" s="43">
        <v>-9.0000000000000006E-5</v>
      </c>
      <c r="W42" s="30">
        <v>2.3670535406327076E-2</v>
      </c>
      <c r="X42" s="43">
        <v>-3.77E-4</v>
      </c>
      <c r="Y42" s="43">
        <v>-3.4600000000000001E-4</v>
      </c>
      <c r="Z42" s="43">
        <v>3.9999999999999998E-6</v>
      </c>
      <c r="AA42" s="30">
        <v>2.5898313272993731E-2</v>
      </c>
      <c r="AB42" s="43">
        <v>-3.77E-4</v>
      </c>
      <c r="AC42" s="43">
        <v>-3.4600000000000001E-4</v>
      </c>
      <c r="AD42" s="43">
        <v>6.9999999999999999E-6</v>
      </c>
      <c r="AF42" s="30">
        <v>2.3670535406327076E-2</v>
      </c>
      <c r="AG42" s="43">
        <v>-3.5E-4</v>
      </c>
      <c r="AH42" s="43">
        <v>-3.2899999999999997E-4</v>
      </c>
      <c r="AI42" s="43">
        <v>-1.2E-4</v>
      </c>
      <c r="AJ42" s="30">
        <v>2.5898313272993731E-2</v>
      </c>
      <c r="AK42" s="43">
        <v>-3.6200000000000002E-4</v>
      </c>
      <c r="AL42" s="43">
        <v>-3.39E-4</v>
      </c>
      <c r="AM42" s="43">
        <v>-1.11E-4</v>
      </c>
      <c r="AO42" s="30">
        <v>2.3670535406327076E-2</v>
      </c>
      <c r="AP42" s="43">
        <v>-2.31E-4</v>
      </c>
      <c r="AQ42" s="43">
        <v>-2.2900000000000001E-4</v>
      </c>
      <c r="AR42" s="43">
        <v>-2.1100000000000001E-4</v>
      </c>
      <c r="AS42" s="30">
        <v>2.5898313272993731E-2</v>
      </c>
      <c r="AT42" s="43">
        <v>-2.32E-4</v>
      </c>
      <c r="AU42" s="43">
        <v>-2.3000000000000001E-4</v>
      </c>
      <c r="AV42" s="43">
        <v>-2.1100000000000001E-4</v>
      </c>
      <c r="AX42" s="30">
        <v>2.3670535406327076E-2</v>
      </c>
      <c r="AY42" s="43">
        <v>-3.5199999999999999E-4</v>
      </c>
      <c r="AZ42" s="43">
        <v>-3.3100000000000002E-4</v>
      </c>
      <c r="BA42" s="43">
        <v>-1.2E-4</v>
      </c>
      <c r="BB42" s="30">
        <v>2.5898313272993731E-2</v>
      </c>
      <c r="BC42" s="43">
        <v>-3.6400000000000001E-4</v>
      </c>
      <c r="BD42" s="43">
        <v>-3.4099999999999999E-4</v>
      </c>
      <c r="BE42" s="43">
        <v>-1.1E-4</v>
      </c>
      <c r="BG42" s="30">
        <v>2.3670535406327076E-2</v>
      </c>
      <c r="BH42" s="43">
        <v>-2.2900000000000001E-4</v>
      </c>
      <c r="BI42" s="43">
        <v>-2.2800000000000001E-4</v>
      </c>
      <c r="BJ42" s="43">
        <v>-2.14E-4</v>
      </c>
      <c r="BK42" s="30">
        <v>2.5898313272993731E-2</v>
      </c>
      <c r="BL42" s="43">
        <v>-2.3000000000000001E-4</v>
      </c>
      <c r="BM42" s="43">
        <v>-2.2900000000000001E-4</v>
      </c>
      <c r="BN42" s="43">
        <v>-2.14E-4</v>
      </c>
      <c r="BP42" s="30">
        <v>2.3670535406327076E-2</v>
      </c>
      <c r="BQ42" s="43">
        <v>-3.0800000000000001E-4</v>
      </c>
      <c r="BR42" s="43">
        <v>-2.81E-4</v>
      </c>
      <c r="BS42" s="43">
        <v>-1.0000000000000001E-5</v>
      </c>
      <c r="BT42" s="30">
        <v>2.5898313272993731E-2</v>
      </c>
      <c r="BU42" s="43">
        <v>-3.2000000000000003E-4</v>
      </c>
      <c r="BV42" s="43">
        <v>-2.9100000000000003E-4</v>
      </c>
      <c r="BW42" s="43">
        <v>-1.9999999999999999E-6</v>
      </c>
      <c r="BY42" s="30">
        <v>2.3670535406327076E-2</v>
      </c>
      <c r="BZ42" s="43">
        <v>-2.02E-4</v>
      </c>
      <c r="CA42" s="43">
        <v>-1.92E-4</v>
      </c>
      <c r="CB42" s="43">
        <v>-9.1000000000000003E-5</v>
      </c>
      <c r="CC42" s="30">
        <v>2.5898313272993731E-2</v>
      </c>
      <c r="CD42" s="43">
        <v>-2.0100000000000001E-4</v>
      </c>
      <c r="CE42" s="43">
        <v>-1.9100000000000001E-4</v>
      </c>
      <c r="CF42" s="43">
        <v>-9.3999999999999994E-5</v>
      </c>
      <c r="CH42" s="30">
        <v>2.3670535406327076E-2</v>
      </c>
      <c r="CI42" s="43">
        <v>-4.6900000000000002E-4</v>
      </c>
      <c r="CJ42" s="43">
        <v>-4.7199999999999998E-4</v>
      </c>
      <c r="CK42" s="43">
        <v>1.9000000000000001E-5</v>
      </c>
      <c r="CL42" s="30">
        <v>2.5898313272993731E-2</v>
      </c>
      <c r="CM42" s="43">
        <v>-4.9200000000000003E-4</v>
      </c>
      <c r="CN42" s="43">
        <v>-4.95E-4</v>
      </c>
      <c r="CO42" s="43">
        <v>4.1999999999999998E-5</v>
      </c>
      <c r="CQ42" s="30">
        <v>2.3670535406327076E-2</v>
      </c>
      <c r="CR42" s="43">
        <v>-3.1599999999999998E-4</v>
      </c>
      <c r="CS42" s="43">
        <v>-3.1700000000000001E-4</v>
      </c>
      <c r="CT42" s="43">
        <v>-1.2799999999999999E-4</v>
      </c>
      <c r="CU42" s="30">
        <v>2.5898313272993731E-2</v>
      </c>
      <c r="CV42" s="43">
        <v>-3.2499999999999999E-4</v>
      </c>
      <c r="CW42" s="43">
        <v>-3.2600000000000001E-4</v>
      </c>
      <c r="CX42" s="43">
        <v>-1.1900000000000001E-4</v>
      </c>
    </row>
    <row r="43" spans="2:102" x14ac:dyDescent="0.25">
      <c r="N43" s="30">
        <v>2.436671598966041E-2</v>
      </c>
      <c r="O43" s="43">
        <v>-2.5900000000000001E-4</v>
      </c>
      <c r="P43" s="43">
        <v>-2.4600000000000002E-4</v>
      </c>
      <c r="Q43" s="43">
        <v>-9.7E-5</v>
      </c>
      <c r="R43" s="30">
        <v>2.6733729972993728E-2</v>
      </c>
      <c r="S43" s="43">
        <v>-2.7E-4</v>
      </c>
      <c r="T43" s="43">
        <v>-2.5500000000000002E-4</v>
      </c>
      <c r="U43" s="43">
        <v>-8.6000000000000003E-5</v>
      </c>
      <c r="W43" s="30">
        <v>2.436671598966041E-2</v>
      </c>
      <c r="X43" s="43">
        <v>-3.77E-4</v>
      </c>
      <c r="Y43" s="43">
        <v>-3.4600000000000001E-4</v>
      </c>
      <c r="Z43" s="43">
        <v>5.0000000000000004E-6</v>
      </c>
      <c r="AA43" s="30">
        <v>2.6733729972993728E-2</v>
      </c>
      <c r="AB43" s="43">
        <v>-3.77E-4</v>
      </c>
      <c r="AC43" s="43">
        <v>-3.4499999999999998E-4</v>
      </c>
      <c r="AD43" s="43">
        <v>6.9999999999999999E-6</v>
      </c>
      <c r="AF43" s="30">
        <v>2.436671598966041E-2</v>
      </c>
      <c r="AG43" s="43">
        <v>-3.5399999999999999E-4</v>
      </c>
      <c r="AH43" s="43">
        <v>-3.3199999999999999E-4</v>
      </c>
      <c r="AI43" s="43">
        <v>-1.17E-4</v>
      </c>
      <c r="AJ43" s="30">
        <v>2.6733729972993728E-2</v>
      </c>
      <c r="AK43" s="43">
        <v>-3.6600000000000001E-4</v>
      </c>
      <c r="AL43" s="43">
        <v>-3.4299999999999999E-4</v>
      </c>
      <c r="AM43" s="43">
        <v>-1.07E-4</v>
      </c>
      <c r="AO43" s="30">
        <v>2.436671598966041E-2</v>
      </c>
      <c r="AP43" s="43">
        <v>-2.31E-4</v>
      </c>
      <c r="AQ43" s="43">
        <v>-2.3000000000000001E-4</v>
      </c>
      <c r="AR43" s="43">
        <v>-2.1100000000000001E-4</v>
      </c>
      <c r="AS43" s="30">
        <v>2.6733729972993728E-2</v>
      </c>
      <c r="AT43" s="43">
        <v>-2.32E-4</v>
      </c>
      <c r="AU43" s="43">
        <v>-2.3000000000000001E-4</v>
      </c>
      <c r="AV43" s="43">
        <v>-2.1100000000000001E-4</v>
      </c>
      <c r="AX43" s="30">
        <v>2.436671598966041E-2</v>
      </c>
      <c r="AY43" s="43">
        <v>-3.5500000000000001E-4</v>
      </c>
      <c r="AZ43" s="43">
        <v>-3.3399999999999999E-4</v>
      </c>
      <c r="BA43" s="43">
        <v>-1.17E-4</v>
      </c>
      <c r="BB43" s="30">
        <v>2.6733729972993728E-2</v>
      </c>
      <c r="BC43" s="43">
        <v>-3.68E-4</v>
      </c>
      <c r="BD43" s="43">
        <v>-3.4499999999999998E-4</v>
      </c>
      <c r="BE43" s="43">
        <v>-1.07E-4</v>
      </c>
      <c r="BG43" s="30">
        <v>2.436671598966041E-2</v>
      </c>
      <c r="BH43" s="43">
        <v>-2.2900000000000001E-4</v>
      </c>
      <c r="BI43" s="43">
        <v>-2.2800000000000001E-4</v>
      </c>
      <c r="BJ43" s="43">
        <v>-2.14E-4</v>
      </c>
      <c r="BK43" s="30">
        <v>2.6733729972993728E-2</v>
      </c>
      <c r="BL43" s="43">
        <v>-2.3000000000000001E-4</v>
      </c>
      <c r="BM43" s="43">
        <v>-2.2900000000000001E-4</v>
      </c>
      <c r="BN43" s="43">
        <v>-2.14E-4</v>
      </c>
      <c r="BP43" s="30">
        <v>2.436671598966041E-2</v>
      </c>
      <c r="BQ43" s="43">
        <v>-3.1100000000000002E-4</v>
      </c>
      <c r="BR43" s="43">
        <v>-2.8400000000000002E-4</v>
      </c>
      <c r="BS43" s="43">
        <v>-7.9999999999999996E-6</v>
      </c>
      <c r="BT43" s="30">
        <v>2.6733729972993728E-2</v>
      </c>
      <c r="BU43" s="43">
        <v>-3.2400000000000001E-4</v>
      </c>
      <c r="BV43" s="43">
        <v>-2.9399999999999999E-4</v>
      </c>
      <c r="BW43" s="43">
        <v>9.9999999999999995E-7</v>
      </c>
      <c r="BY43" s="30">
        <v>2.436671598966041E-2</v>
      </c>
      <c r="BZ43" s="43">
        <v>-2.02E-4</v>
      </c>
      <c r="CA43" s="43">
        <v>-1.92E-4</v>
      </c>
      <c r="CB43" s="43">
        <v>-9.2E-5</v>
      </c>
      <c r="CC43" s="30">
        <v>2.6733729972993728E-2</v>
      </c>
      <c r="CD43" s="43">
        <v>-2.0000000000000001E-4</v>
      </c>
      <c r="CE43" s="43">
        <v>-1.9100000000000001E-4</v>
      </c>
      <c r="CF43" s="43">
        <v>-9.5000000000000005E-5</v>
      </c>
      <c r="CH43" s="30">
        <v>2.436671598966041E-2</v>
      </c>
      <c r="CI43" s="43">
        <v>-4.7600000000000002E-4</v>
      </c>
      <c r="CJ43" s="43">
        <v>-4.7899999999999999E-4</v>
      </c>
      <c r="CK43" s="43">
        <v>2.5999999999999998E-5</v>
      </c>
      <c r="CL43" s="30">
        <v>2.6733729972993728E-2</v>
      </c>
      <c r="CM43" s="43">
        <v>-5.0100000000000003E-4</v>
      </c>
      <c r="CN43" s="43">
        <v>-5.04E-4</v>
      </c>
      <c r="CO43" s="43">
        <v>5.0000000000000002E-5</v>
      </c>
      <c r="CQ43" s="30">
        <v>2.436671598966041E-2</v>
      </c>
      <c r="CR43" s="43">
        <v>-3.19E-4</v>
      </c>
      <c r="CS43" s="43">
        <v>-3.2000000000000003E-4</v>
      </c>
      <c r="CT43" s="43">
        <v>-1.25E-4</v>
      </c>
      <c r="CU43" s="30">
        <v>2.6733729972993728E-2</v>
      </c>
      <c r="CV43" s="43">
        <v>-3.28E-4</v>
      </c>
      <c r="CW43" s="43">
        <v>-3.2899999999999997E-4</v>
      </c>
      <c r="CX43" s="43">
        <v>-1.16E-4</v>
      </c>
    </row>
    <row r="44" spans="2:102" x14ac:dyDescent="0.25">
      <c r="N44" s="30">
        <v>2.5062896572993744E-2</v>
      </c>
      <c r="O44" s="43">
        <v>-2.6200000000000003E-4</v>
      </c>
      <c r="P44" s="43">
        <v>-2.4800000000000001E-4</v>
      </c>
      <c r="Q44" s="43">
        <v>-9.3999999999999994E-5</v>
      </c>
      <c r="R44" s="30">
        <v>2.7569146672993729E-2</v>
      </c>
      <c r="S44" s="43">
        <v>-2.7300000000000002E-4</v>
      </c>
      <c r="T44" s="43">
        <v>-2.5799999999999998E-4</v>
      </c>
      <c r="U44" s="43">
        <v>-8.2000000000000001E-5</v>
      </c>
      <c r="W44" s="30">
        <v>2.5062896572993744E-2</v>
      </c>
      <c r="X44" s="43">
        <v>-3.77E-4</v>
      </c>
      <c r="Y44" s="43">
        <v>-3.4600000000000001E-4</v>
      </c>
      <c r="Z44" s="43">
        <v>6.0000000000000002E-6</v>
      </c>
      <c r="AA44" s="30">
        <v>2.7569146672993729E-2</v>
      </c>
      <c r="AB44" s="43">
        <v>-3.77E-4</v>
      </c>
      <c r="AC44" s="43">
        <v>-3.4499999999999998E-4</v>
      </c>
      <c r="AD44" s="43">
        <v>7.9999999999999996E-6</v>
      </c>
      <c r="AF44" s="30">
        <v>2.5062896572993744E-2</v>
      </c>
      <c r="AG44" s="43">
        <v>-3.57E-4</v>
      </c>
      <c r="AH44" s="43">
        <v>-3.3500000000000001E-4</v>
      </c>
      <c r="AI44" s="43">
        <v>-1.1400000000000001E-4</v>
      </c>
      <c r="AJ44" s="30">
        <v>2.7569146672993729E-2</v>
      </c>
      <c r="AK44" s="43">
        <v>-3.7100000000000002E-4</v>
      </c>
      <c r="AL44" s="43">
        <v>-3.4600000000000001E-4</v>
      </c>
      <c r="AM44" s="43">
        <v>-1.0399999999999999E-4</v>
      </c>
      <c r="AO44" s="30">
        <v>2.5062896572993744E-2</v>
      </c>
      <c r="AP44" s="43">
        <v>-2.31E-4</v>
      </c>
      <c r="AQ44" s="43">
        <v>-2.3000000000000001E-4</v>
      </c>
      <c r="AR44" s="43">
        <v>-2.1100000000000001E-4</v>
      </c>
      <c r="AS44" s="30">
        <v>2.7569146672993729E-2</v>
      </c>
      <c r="AT44" s="43">
        <v>-2.32E-4</v>
      </c>
      <c r="AU44" s="43">
        <v>-2.3000000000000001E-4</v>
      </c>
      <c r="AV44" s="43">
        <v>-2.1000000000000001E-4</v>
      </c>
      <c r="AX44" s="30">
        <v>2.5062896572993744E-2</v>
      </c>
      <c r="AY44" s="43">
        <v>-3.59E-4</v>
      </c>
      <c r="AZ44" s="43">
        <v>-3.3700000000000001E-4</v>
      </c>
      <c r="BA44" s="43">
        <v>-1.1400000000000001E-4</v>
      </c>
      <c r="BB44" s="30">
        <v>2.7569146672993729E-2</v>
      </c>
      <c r="BC44" s="43">
        <v>-3.7300000000000001E-4</v>
      </c>
      <c r="BD44" s="43">
        <v>-3.4900000000000003E-4</v>
      </c>
      <c r="BE44" s="43">
        <v>-1.03E-4</v>
      </c>
      <c r="BG44" s="30">
        <v>2.5062896572993744E-2</v>
      </c>
      <c r="BH44" s="43">
        <v>-2.3000000000000001E-4</v>
      </c>
      <c r="BI44" s="43">
        <v>-2.2800000000000001E-4</v>
      </c>
      <c r="BJ44" s="43">
        <v>-2.14E-4</v>
      </c>
      <c r="BK44" s="30">
        <v>2.7569146672993729E-2</v>
      </c>
      <c r="BL44" s="43">
        <v>-2.3000000000000001E-4</v>
      </c>
      <c r="BM44" s="43">
        <v>-2.2900000000000001E-4</v>
      </c>
      <c r="BN44" s="43">
        <v>-2.13E-4</v>
      </c>
      <c r="BP44" s="30">
        <v>2.5062896572993744E-2</v>
      </c>
      <c r="BQ44" s="43">
        <v>-3.1500000000000001E-4</v>
      </c>
      <c r="BR44" s="43">
        <v>-2.8699999999999998E-4</v>
      </c>
      <c r="BS44" s="43">
        <v>-5.0000000000000004E-6</v>
      </c>
      <c r="BT44" s="30">
        <v>2.7569146672993729E-2</v>
      </c>
      <c r="BU44" s="43">
        <v>-3.2899999999999997E-4</v>
      </c>
      <c r="BV44" s="43">
        <v>-2.9799999999999998E-4</v>
      </c>
      <c r="BW44" s="43">
        <v>3.9999999999999998E-6</v>
      </c>
      <c r="BY44" s="30">
        <v>2.5062896572993744E-2</v>
      </c>
      <c r="BZ44" s="43">
        <v>-2.0100000000000001E-4</v>
      </c>
      <c r="CA44" s="43">
        <v>-1.9100000000000001E-4</v>
      </c>
      <c r="CB44" s="43">
        <v>-9.2999999999999997E-5</v>
      </c>
      <c r="CC44" s="30">
        <v>2.7569146672993729E-2</v>
      </c>
      <c r="CD44" s="43">
        <v>-2.0000000000000001E-4</v>
      </c>
      <c r="CE44" s="43">
        <v>-1.9000000000000001E-4</v>
      </c>
      <c r="CF44" s="43">
        <v>-9.6000000000000002E-5</v>
      </c>
      <c r="CH44" s="30">
        <v>2.5062896572993744E-2</v>
      </c>
      <c r="CI44" s="43">
        <v>-4.8299999999999998E-4</v>
      </c>
      <c r="CJ44" s="43">
        <v>-4.8700000000000002E-4</v>
      </c>
      <c r="CK44" s="43">
        <v>3.3000000000000003E-5</v>
      </c>
      <c r="CL44" s="30">
        <v>2.7569146672993729E-2</v>
      </c>
      <c r="CM44" s="43">
        <v>-5.1000000000000004E-4</v>
      </c>
      <c r="CN44" s="43">
        <v>-5.13E-4</v>
      </c>
      <c r="CO44" s="43">
        <v>5.8999999999999998E-5</v>
      </c>
      <c r="CQ44" s="30">
        <v>2.5062896572993744E-2</v>
      </c>
      <c r="CR44" s="43">
        <v>-3.2200000000000002E-4</v>
      </c>
      <c r="CS44" s="43">
        <v>-3.2299999999999999E-4</v>
      </c>
      <c r="CT44" s="43">
        <v>-1.2300000000000001E-4</v>
      </c>
      <c r="CU44" s="30">
        <v>2.7569146672993729E-2</v>
      </c>
      <c r="CV44" s="43">
        <v>-3.3100000000000002E-4</v>
      </c>
      <c r="CW44" s="43">
        <v>-3.3199999999999999E-4</v>
      </c>
      <c r="CX44" s="43">
        <v>-1.13E-4</v>
      </c>
    </row>
    <row r="45" spans="2:102" x14ac:dyDescent="0.25">
      <c r="N45" s="30">
        <v>2.5759077156327078E-2</v>
      </c>
      <c r="O45" s="43">
        <v>-2.6499999999999999E-4</v>
      </c>
      <c r="P45" s="43">
        <v>-2.5099999999999998E-4</v>
      </c>
      <c r="Q45" s="43">
        <v>-9.1000000000000003E-5</v>
      </c>
      <c r="R45" s="30">
        <v>2.8404563372993727E-2</v>
      </c>
      <c r="S45" s="43">
        <v>-2.7700000000000001E-4</v>
      </c>
      <c r="T45" s="43">
        <v>-2.61E-4</v>
      </c>
      <c r="U45" s="43">
        <v>-7.7999999999999999E-5</v>
      </c>
      <c r="W45" s="30">
        <v>2.5759077156327078E-2</v>
      </c>
      <c r="X45" s="43">
        <v>-3.77E-4</v>
      </c>
      <c r="Y45" s="43">
        <v>-3.4600000000000001E-4</v>
      </c>
      <c r="Z45" s="43">
        <v>6.0000000000000002E-6</v>
      </c>
      <c r="AA45" s="30">
        <v>2.8404563372993727E-2</v>
      </c>
      <c r="AB45" s="43">
        <v>-3.77E-4</v>
      </c>
      <c r="AC45" s="43">
        <v>-3.4499999999999998E-4</v>
      </c>
      <c r="AD45" s="43">
        <v>9.0000000000000002E-6</v>
      </c>
      <c r="AF45" s="30">
        <v>2.5759077156327078E-2</v>
      </c>
      <c r="AG45" s="43">
        <v>-3.6099999999999999E-4</v>
      </c>
      <c r="AH45" s="43">
        <v>-3.3799999999999998E-4</v>
      </c>
      <c r="AI45" s="43">
        <v>-1.11E-4</v>
      </c>
      <c r="AJ45" s="30">
        <v>2.8404563372993727E-2</v>
      </c>
      <c r="AK45" s="43">
        <v>-3.7500000000000001E-4</v>
      </c>
      <c r="AL45" s="43">
        <v>-3.5E-4</v>
      </c>
      <c r="AM45" s="43">
        <v>-1E-4</v>
      </c>
      <c r="AO45" s="30">
        <v>2.5759077156327078E-2</v>
      </c>
      <c r="AP45" s="43">
        <v>-2.32E-4</v>
      </c>
      <c r="AQ45" s="43">
        <v>-2.3000000000000001E-4</v>
      </c>
      <c r="AR45" s="43">
        <v>-2.1100000000000001E-4</v>
      </c>
      <c r="AS45" s="30">
        <v>2.8404563372993727E-2</v>
      </c>
      <c r="AT45" s="43">
        <v>-2.32E-4</v>
      </c>
      <c r="AU45" s="43">
        <v>-2.31E-4</v>
      </c>
      <c r="AV45" s="43">
        <v>-2.1000000000000001E-4</v>
      </c>
      <c r="AX45" s="30">
        <v>2.5759077156327078E-2</v>
      </c>
      <c r="AY45" s="43">
        <v>-3.6299999999999999E-4</v>
      </c>
      <c r="AZ45" s="43">
        <v>-3.4000000000000002E-4</v>
      </c>
      <c r="BA45" s="43">
        <v>-1.11E-4</v>
      </c>
      <c r="BB45" s="30">
        <v>2.8404563372993727E-2</v>
      </c>
      <c r="BC45" s="43">
        <v>-3.7800000000000003E-4</v>
      </c>
      <c r="BD45" s="43">
        <v>-3.5199999999999999E-4</v>
      </c>
      <c r="BE45" s="43">
        <v>-9.8999999999999994E-5</v>
      </c>
      <c r="BG45" s="30">
        <v>2.5759077156327078E-2</v>
      </c>
      <c r="BH45" s="43">
        <v>-2.3000000000000001E-4</v>
      </c>
      <c r="BI45" s="43">
        <v>-2.2900000000000001E-4</v>
      </c>
      <c r="BJ45" s="43">
        <v>-2.14E-4</v>
      </c>
      <c r="BK45" s="30">
        <v>2.8404563372993727E-2</v>
      </c>
      <c r="BL45" s="43">
        <v>-2.3000000000000001E-4</v>
      </c>
      <c r="BM45" s="43">
        <v>-2.2900000000000001E-4</v>
      </c>
      <c r="BN45" s="43">
        <v>-2.13E-4</v>
      </c>
      <c r="BP45" s="30">
        <v>2.5759077156327078E-2</v>
      </c>
      <c r="BQ45" s="43">
        <v>-3.19E-4</v>
      </c>
      <c r="BR45" s="43">
        <v>-2.9E-4</v>
      </c>
      <c r="BS45" s="43">
        <v>-3.0000000000000001E-6</v>
      </c>
      <c r="BT45" s="30">
        <v>2.8404563372993727E-2</v>
      </c>
      <c r="BU45" s="43">
        <v>-3.3300000000000002E-4</v>
      </c>
      <c r="BV45" s="43">
        <v>-3.0200000000000002E-4</v>
      </c>
      <c r="BW45" s="43">
        <v>6.9999999999999999E-6</v>
      </c>
      <c r="BY45" s="30">
        <v>2.5759077156327078E-2</v>
      </c>
      <c r="BZ45" s="43">
        <v>-2.0100000000000001E-4</v>
      </c>
      <c r="CA45" s="43">
        <v>-1.9100000000000001E-4</v>
      </c>
      <c r="CB45" s="43">
        <v>-9.3999999999999994E-5</v>
      </c>
      <c r="CC45" s="30">
        <v>2.8404563372993727E-2</v>
      </c>
      <c r="CD45" s="43">
        <v>-1.9900000000000001E-4</v>
      </c>
      <c r="CE45" s="43">
        <v>-1.9000000000000001E-4</v>
      </c>
      <c r="CF45" s="43">
        <v>-9.7E-5</v>
      </c>
      <c r="CH45" s="30">
        <v>2.5759077156327078E-2</v>
      </c>
      <c r="CI45" s="43">
        <v>-4.9100000000000001E-4</v>
      </c>
      <c r="CJ45" s="43">
        <v>-4.9399999999999997E-4</v>
      </c>
      <c r="CK45" s="43">
        <v>4.0000000000000003E-5</v>
      </c>
      <c r="CL45" s="30">
        <v>2.8404563372993727E-2</v>
      </c>
      <c r="CM45" s="43">
        <v>-5.1900000000000004E-4</v>
      </c>
      <c r="CN45" s="43">
        <v>-5.22E-4</v>
      </c>
      <c r="CO45" s="43">
        <v>6.7999999999999999E-5</v>
      </c>
      <c r="CQ45" s="30">
        <v>2.5759077156327078E-2</v>
      </c>
      <c r="CR45" s="43">
        <v>-3.2400000000000001E-4</v>
      </c>
      <c r="CS45" s="43">
        <v>-3.2499999999999999E-4</v>
      </c>
      <c r="CT45" s="43">
        <v>-1.2E-4</v>
      </c>
      <c r="CU45" s="30">
        <v>2.8404563372993727E-2</v>
      </c>
      <c r="CV45" s="43">
        <v>-3.3500000000000001E-4</v>
      </c>
      <c r="CW45" s="43">
        <v>-3.3599999999999998E-4</v>
      </c>
      <c r="CX45" s="43">
        <v>-1.1E-4</v>
      </c>
    </row>
    <row r="46" spans="2:102" x14ac:dyDescent="0.25">
      <c r="N46" s="30">
        <v>2.6455257739660412E-2</v>
      </c>
      <c r="O46" s="43">
        <v>-2.6800000000000001E-4</v>
      </c>
      <c r="P46" s="43">
        <v>-2.5399999999999999E-4</v>
      </c>
      <c r="Q46" s="43">
        <v>-8.7000000000000001E-5</v>
      </c>
      <c r="R46" s="30">
        <v>2.9239980072993728E-2</v>
      </c>
      <c r="S46" s="43">
        <v>-2.81E-4</v>
      </c>
      <c r="T46" s="43">
        <v>-2.6400000000000002E-4</v>
      </c>
      <c r="U46" s="43">
        <v>-7.3999999999999996E-5</v>
      </c>
      <c r="W46" s="30">
        <v>2.6455257739660412E-2</v>
      </c>
      <c r="X46" s="43">
        <v>-3.77E-4</v>
      </c>
      <c r="Y46" s="43">
        <v>-3.4600000000000001E-4</v>
      </c>
      <c r="Z46" s="43">
        <v>6.9999999999999999E-6</v>
      </c>
      <c r="AA46" s="30">
        <v>2.9239980072993728E-2</v>
      </c>
      <c r="AB46" s="43">
        <v>-3.77E-4</v>
      </c>
      <c r="AC46" s="43">
        <v>-3.4499999999999998E-4</v>
      </c>
      <c r="AD46" s="43">
        <v>1.0000000000000001E-5</v>
      </c>
      <c r="AF46" s="30">
        <v>2.6455257739660412E-2</v>
      </c>
      <c r="AG46" s="43">
        <v>-3.6499999999999998E-4</v>
      </c>
      <c r="AH46" s="43">
        <v>-3.4200000000000002E-4</v>
      </c>
      <c r="AI46" s="43">
        <v>-1.08E-4</v>
      </c>
      <c r="AJ46" s="30">
        <v>2.9239980072993728E-2</v>
      </c>
      <c r="AK46" s="43">
        <v>-3.8000000000000002E-4</v>
      </c>
      <c r="AL46" s="43">
        <v>-3.5399999999999999E-4</v>
      </c>
      <c r="AM46" s="43">
        <v>-9.6000000000000002E-5</v>
      </c>
      <c r="AO46" s="30">
        <v>2.6455257739660412E-2</v>
      </c>
      <c r="AP46" s="43">
        <v>-2.32E-4</v>
      </c>
      <c r="AQ46" s="43">
        <v>-2.3000000000000001E-4</v>
      </c>
      <c r="AR46" s="43">
        <v>-2.1100000000000001E-4</v>
      </c>
      <c r="AS46" s="30">
        <v>2.9239980072993728E-2</v>
      </c>
      <c r="AT46" s="43">
        <v>-2.33E-4</v>
      </c>
      <c r="AU46" s="43">
        <v>-2.31E-4</v>
      </c>
      <c r="AV46" s="43">
        <v>-2.1000000000000001E-4</v>
      </c>
      <c r="AX46" s="30">
        <v>2.6455257739660412E-2</v>
      </c>
      <c r="AY46" s="43">
        <v>-3.6699999999999998E-4</v>
      </c>
      <c r="AZ46" s="43">
        <v>-3.4299999999999999E-4</v>
      </c>
      <c r="BA46" s="43">
        <v>-1.08E-4</v>
      </c>
      <c r="BB46" s="30">
        <v>2.9239980072993728E-2</v>
      </c>
      <c r="BC46" s="43">
        <v>-3.8200000000000002E-4</v>
      </c>
      <c r="BD46" s="43">
        <v>-3.5599999999999998E-4</v>
      </c>
      <c r="BE46" s="43">
        <v>-9.5000000000000005E-5</v>
      </c>
      <c r="BG46" s="30">
        <v>2.6455257739660412E-2</v>
      </c>
      <c r="BH46" s="43">
        <v>-2.3000000000000001E-4</v>
      </c>
      <c r="BI46" s="43">
        <v>-2.2900000000000001E-4</v>
      </c>
      <c r="BJ46" s="43">
        <v>-2.14E-4</v>
      </c>
      <c r="BK46" s="30">
        <v>2.9239980072993728E-2</v>
      </c>
      <c r="BL46" s="43">
        <v>-2.31E-4</v>
      </c>
      <c r="BM46" s="43">
        <v>-2.2900000000000001E-4</v>
      </c>
      <c r="BN46" s="43">
        <v>-2.13E-4</v>
      </c>
      <c r="BP46" s="30">
        <v>2.6455257739660412E-2</v>
      </c>
      <c r="BQ46" s="43">
        <v>-3.2299999999999999E-4</v>
      </c>
      <c r="BR46" s="43">
        <v>-2.9300000000000002E-4</v>
      </c>
      <c r="BS46" s="43">
        <v>5.1700000000000001E-9</v>
      </c>
      <c r="BT46" s="30">
        <v>2.9239980072993728E-2</v>
      </c>
      <c r="BU46" s="43">
        <v>-3.3799999999999998E-4</v>
      </c>
      <c r="BV46" s="43">
        <v>-3.0600000000000001E-4</v>
      </c>
      <c r="BW46" s="43">
        <v>1.0000000000000001E-5</v>
      </c>
      <c r="BY46" s="30">
        <v>2.6455257739660412E-2</v>
      </c>
      <c r="BZ46" s="43">
        <v>-2.0100000000000001E-4</v>
      </c>
      <c r="CA46" s="43">
        <v>-1.9100000000000001E-4</v>
      </c>
      <c r="CB46" s="43">
        <v>-9.5000000000000005E-5</v>
      </c>
      <c r="CC46" s="30">
        <v>2.9239980072993728E-2</v>
      </c>
      <c r="CD46" s="43">
        <v>-1.9900000000000001E-4</v>
      </c>
      <c r="CE46" s="43">
        <v>-1.9000000000000001E-4</v>
      </c>
      <c r="CF46" s="43">
        <v>-9.7999999999999997E-5</v>
      </c>
      <c r="CH46" s="30">
        <v>2.6455257739660412E-2</v>
      </c>
      <c r="CI46" s="43">
        <v>-4.9799999999999996E-4</v>
      </c>
      <c r="CJ46" s="43">
        <v>-5.0100000000000003E-4</v>
      </c>
      <c r="CK46" s="43">
        <v>4.6999999999999997E-5</v>
      </c>
      <c r="CL46" s="30">
        <v>2.9239980072993728E-2</v>
      </c>
      <c r="CM46" s="43">
        <v>-5.2700000000000002E-4</v>
      </c>
      <c r="CN46" s="43">
        <v>-5.31E-4</v>
      </c>
      <c r="CO46" s="43">
        <v>7.6000000000000004E-5</v>
      </c>
      <c r="CQ46" s="30">
        <v>2.6455257739660412E-2</v>
      </c>
      <c r="CR46" s="43">
        <v>-3.2699999999999998E-4</v>
      </c>
      <c r="CS46" s="43">
        <v>-3.28E-4</v>
      </c>
      <c r="CT46" s="43">
        <v>-1.17E-4</v>
      </c>
      <c r="CU46" s="30">
        <v>2.9239980072993728E-2</v>
      </c>
      <c r="CV46" s="43">
        <v>-3.3799999999999998E-4</v>
      </c>
      <c r="CW46" s="43">
        <v>-3.39E-4</v>
      </c>
      <c r="CX46" s="43">
        <v>-1.06E-4</v>
      </c>
    </row>
    <row r="47" spans="2:102" x14ac:dyDescent="0.25">
      <c r="N47" s="30">
        <v>2.7151438322993746E-2</v>
      </c>
      <c r="O47" s="43">
        <v>-2.72E-4</v>
      </c>
      <c r="P47" s="43">
        <v>-2.5599999999999999E-4</v>
      </c>
      <c r="Q47" s="43">
        <v>-8.3999999999999995E-5</v>
      </c>
      <c r="R47" s="30">
        <v>3.0075396772993729E-2</v>
      </c>
      <c r="S47" s="43">
        <v>-2.8499999999999999E-4</v>
      </c>
      <c r="T47" s="43">
        <v>-2.6699999999999998E-4</v>
      </c>
      <c r="U47" s="43">
        <v>-6.9999999999999994E-5</v>
      </c>
      <c r="W47" s="30">
        <v>2.7151438322993746E-2</v>
      </c>
      <c r="X47" s="43">
        <v>-3.77E-4</v>
      </c>
      <c r="Y47" s="43">
        <v>-3.4499999999999998E-4</v>
      </c>
      <c r="Z47" s="43">
        <v>7.9999999999999996E-6</v>
      </c>
      <c r="AA47" s="30">
        <v>3.0075396772993729E-2</v>
      </c>
      <c r="AB47" s="43">
        <v>-3.77E-4</v>
      </c>
      <c r="AC47" s="43">
        <v>-3.4499999999999998E-4</v>
      </c>
      <c r="AD47" s="43">
        <v>1.1E-5</v>
      </c>
      <c r="AF47" s="30">
        <v>2.7151438322993746E-2</v>
      </c>
      <c r="AG47" s="43">
        <v>-3.6900000000000002E-4</v>
      </c>
      <c r="AH47" s="43">
        <v>-3.4499999999999998E-4</v>
      </c>
      <c r="AI47" s="43">
        <v>-1.05E-4</v>
      </c>
      <c r="AJ47" s="30">
        <v>3.0075396772993729E-2</v>
      </c>
      <c r="AK47" s="43">
        <v>-3.8400000000000001E-4</v>
      </c>
      <c r="AL47" s="43">
        <v>-3.5799999999999997E-4</v>
      </c>
      <c r="AM47" s="43">
        <v>-9.2999999999999997E-5</v>
      </c>
      <c r="AO47" s="30">
        <v>2.7151438322993746E-2</v>
      </c>
      <c r="AP47" s="43">
        <v>-2.32E-4</v>
      </c>
      <c r="AQ47" s="43">
        <v>-2.3000000000000001E-4</v>
      </c>
      <c r="AR47" s="43">
        <v>-2.1100000000000001E-4</v>
      </c>
      <c r="AS47" s="30">
        <v>3.0075396772993729E-2</v>
      </c>
      <c r="AT47" s="43">
        <v>-2.33E-4</v>
      </c>
      <c r="AU47" s="43">
        <v>-2.31E-4</v>
      </c>
      <c r="AV47" s="43">
        <v>-2.1000000000000001E-4</v>
      </c>
      <c r="AX47" s="30">
        <v>2.7151438322993746E-2</v>
      </c>
      <c r="AY47" s="43">
        <v>-3.7100000000000002E-4</v>
      </c>
      <c r="AZ47" s="43">
        <v>-3.4600000000000001E-4</v>
      </c>
      <c r="BA47" s="43">
        <v>-1.05E-4</v>
      </c>
      <c r="BB47" s="30">
        <v>3.0075396772993729E-2</v>
      </c>
      <c r="BC47" s="43">
        <v>-3.8699999999999997E-4</v>
      </c>
      <c r="BD47" s="43">
        <v>-3.6000000000000002E-4</v>
      </c>
      <c r="BE47" s="43">
        <v>-9.2E-5</v>
      </c>
      <c r="BG47" s="30">
        <v>2.7151438322993746E-2</v>
      </c>
      <c r="BH47" s="43">
        <v>-2.3000000000000001E-4</v>
      </c>
      <c r="BI47" s="43">
        <v>-2.2900000000000001E-4</v>
      </c>
      <c r="BJ47" s="43">
        <v>-2.13E-4</v>
      </c>
      <c r="BK47" s="30">
        <v>3.0075396772993729E-2</v>
      </c>
      <c r="BL47" s="43">
        <v>-2.31E-4</v>
      </c>
      <c r="BM47" s="43">
        <v>-2.3000000000000001E-4</v>
      </c>
      <c r="BN47" s="43">
        <v>-2.13E-4</v>
      </c>
      <c r="BP47" s="30">
        <v>2.7151438322993746E-2</v>
      </c>
      <c r="BQ47" s="43">
        <v>-3.2699999999999998E-4</v>
      </c>
      <c r="BR47" s="43">
        <v>-2.9599999999999998E-4</v>
      </c>
      <c r="BS47" s="43">
        <v>3.0000000000000001E-6</v>
      </c>
      <c r="BT47" s="30">
        <v>3.0075396772993729E-2</v>
      </c>
      <c r="BU47" s="43">
        <v>-3.4200000000000002E-4</v>
      </c>
      <c r="BV47" s="43">
        <v>-3.1E-4</v>
      </c>
      <c r="BW47" s="43">
        <v>1.2999999999999999E-5</v>
      </c>
      <c r="BY47" s="30">
        <v>2.7151438322993746E-2</v>
      </c>
      <c r="BZ47" s="43">
        <v>-2.0000000000000001E-4</v>
      </c>
      <c r="CA47" s="43">
        <v>-1.9100000000000001E-4</v>
      </c>
      <c r="CB47" s="43">
        <v>-9.5000000000000005E-5</v>
      </c>
      <c r="CC47" s="30">
        <v>3.0075396772993729E-2</v>
      </c>
      <c r="CD47" s="43">
        <v>-1.9799999999999999E-4</v>
      </c>
      <c r="CE47" s="43">
        <v>-1.8900000000000001E-4</v>
      </c>
      <c r="CF47" s="43">
        <v>-9.8999999999999994E-5</v>
      </c>
      <c r="CH47" s="30">
        <v>2.7151438322993746E-2</v>
      </c>
      <c r="CI47" s="43">
        <v>-5.0500000000000002E-4</v>
      </c>
      <c r="CJ47" s="43">
        <v>-5.0900000000000001E-4</v>
      </c>
      <c r="CK47" s="43">
        <v>5.5000000000000002E-5</v>
      </c>
      <c r="CL47" s="30">
        <v>3.0075396772993729E-2</v>
      </c>
      <c r="CM47" s="43">
        <v>-5.3600000000000002E-4</v>
      </c>
      <c r="CN47" s="43">
        <v>-5.4000000000000001E-4</v>
      </c>
      <c r="CO47" s="43">
        <v>8.5000000000000006E-5</v>
      </c>
      <c r="CQ47" s="30">
        <v>2.7151438322993746E-2</v>
      </c>
      <c r="CR47" s="43">
        <v>-3.3E-4</v>
      </c>
      <c r="CS47" s="43">
        <v>-3.3100000000000002E-4</v>
      </c>
      <c r="CT47" s="43">
        <v>-1.15E-4</v>
      </c>
      <c r="CU47" s="30">
        <v>3.0075396772993729E-2</v>
      </c>
      <c r="CV47" s="43">
        <v>-3.4099999999999999E-4</v>
      </c>
      <c r="CW47" s="43">
        <v>-3.4200000000000002E-4</v>
      </c>
      <c r="CX47" s="43">
        <v>-1.03E-4</v>
      </c>
    </row>
    <row r="48" spans="2:102" x14ac:dyDescent="0.25">
      <c r="N48" s="30">
        <v>2.7847618906327077E-2</v>
      </c>
      <c r="O48" s="43">
        <v>-2.7500000000000002E-4</v>
      </c>
      <c r="P48" s="43">
        <v>-2.5900000000000001E-4</v>
      </c>
      <c r="Q48" s="43">
        <v>-8.1000000000000004E-5</v>
      </c>
      <c r="R48" s="30">
        <v>3.0910813472993726E-2</v>
      </c>
      <c r="S48" s="43">
        <v>-2.8899999999999998E-4</v>
      </c>
      <c r="T48" s="43">
        <v>-2.7099999999999997E-4</v>
      </c>
      <c r="U48" s="43">
        <v>-6.6000000000000005E-5</v>
      </c>
      <c r="W48" s="30">
        <v>2.7847618906327077E-2</v>
      </c>
      <c r="X48" s="43">
        <v>-3.77E-4</v>
      </c>
      <c r="Y48" s="43">
        <v>-3.4499999999999998E-4</v>
      </c>
      <c r="Z48" s="43">
        <v>7.9999999999999996E-6</v>
      </c>
      <c r="AA48" s="30">
        <v>3.0910813472993726E-2</v>
      </c>
      <c r="AB48" s="43">
        <v>-3.77E-4</v>
      </c>
      <c r="AC48" s="43">
        <v>-3.4499999999999998E-4</v>
      </c>
      <c r="AD48" s="43">
        <v>1.2E-5</v>
      </c>
      <c r="AF48" s="30">
        <v>2.7847618906327077E-2</v>
      </c>
      <c r="AG48" s="43">
        <v>-3.7199999999999999E-4</v>
      </c>
      <c r="AH48" s="43">
        <v>-3.48E-4</v>
      </c>
      <c r="AI48" s="43">
        <v>-1.02E-4</v>
      </c>
      <c r="AJ48" s="30">
        <v>3.0910813472993726E-2</v>
      </c>
      <c r="AK48" s="43">
        <v>-3.8900000000000002E-4</v>
      </c>
      <c r="AL48" s="43">
        <v>-3.6200000000000002E-4</v>
      </c>
      <c r="AM48" s="43">
        <v>-8.8999999999999995E-5</v>
      </c>
      <c r="AO48" s="30">
        <v>2.7847618906327077E-2</v>
      </c>
      <c r="AP48" s="43">
        <v>-2.32E-4</v>
      </c>
      <c r="AQ48" s="43">
        <v>-2.3000000000000001E-4</v>
      </c>
      <c r="AR48" s="43">
        <v>-2.1000000000000001E-4</v>
      </c>
      <c r="AS48" s="30">
        <v>3.0910813472993726E-2</v>
      </c>
      <c r="AT48" s="43">
        <v>-2.33E-4</v>
      </c>
      <c r="AU48" s="43">
        <v>-2.31E-4</v>
      </c>
      <c r="AV48" s="43">
        <v>-2.1000000000000001E-4</v>
      </c>
      <c r="AX48" s="30">
        <v>2.7847618906327077E-2</v>
      </c>
      <c r="AY48" s="43">
        <v>-3.7399999999999998E-4</v>
      </c>
      <c r="AZ48" s="43">
        <v>-3.5E-4</v>
      </c>
      <c r="BA48" s="43">
        <v>-1.02E-4</v>
      </c>
      <c r="BB48" s="30">
        <v>3.0910813472993726E-2</v>
      </c>
      <c r="BC48" s="43">
        <v>-3.9199999999999999E-4</v>
      </c>
      <c r="BD48" s="43">
        <v>-3.6400000000000001E-4</v>
      </c>
      <c r="BE48" s="43">
        <v>-8.7999999999999998E-5</v>
      </c>
      <c r="BG48" s="30">
        <v>2.7847618906327077E-2</v>
      </c>
      <c r="BH48" s="43">
        <v>-2.3000000000000001E-4</v>
      </c>
      <c r="BI48" s="43">
        <v>-2.2900000000000001E-4</v>
      </c>
      <c r="BJ48" s="43">
        <v>-2.13E-4</v>
      </c>
      <c r="BK48" s="30">
        <v>3.0910813472993726E-2</v>
      </c>
      <c r="BL48" s="43">
        <v>-2.31E-4</v>
      </c>
      <c r="BM48" s="43">
        <v>-2.3000000000000001E-4</v>
      </c>
      <c r="BN48" s="43">
        <v>-2.13E-4</v>
      </c>
      <c r="BP48" s="30">
        <v>2.7847618906327077E-2</v>
      </c>
      <c r="BQ48" s="43">
        <v>-3.3E-4</v>
      </c>
      <c r="BR48" s="43">
        <v>-2.9999999999999997E-4</v>
      </c>
      <c r="BS48" s="43">
        <v>5.0000000000000004E-6</v>
      </c>
      <c r="BT48" s="30">
        <v>3.0910813472993726E-2</v>
      </c>
      <c r="BU48" s="43">
        <v>-3.4699999999999998E-4</v>
      </c>
      <c r="BV48" s="43">
        <v>-3.1399999999999999E-4</v>
      </c>
      <c r="BW48" s="43">
        <v>1.7E-5</v>
      </c>
      <c r="BY48" s="30">
        <v>2.7847618906327077E-2</v>
      </c>
      <c r="BZ48" s="43">
        <v>-2.0000000000000001E-4</v>
      </c>
      <c r="CA48" s="43">
        <v>-1.9000000000000001E-4</v>
      </c>
      <c r="CB48" s="43">
        <v>-9.6000000000000002E-5</v>
      </c>
      <c r="CC48" s="30">
        <v>3.0910813472993726E-2</v>
      </c>
      <c r="CD48" s="43">
        <v>-1.9799999999999999E-4</v>
      </c>
      <c r="CE48" s="43">
        <v>-1.8900000000000001E-4</v>
      </c>
      <c r="CF48" s="43">
        <v>-1E-4</v>
      </c>
      <c r="CH48" s="30">
        <v>2.7847618906327077E-2</v>
      </c>
      <c r="CI48" s="43">
        <v>-5.1199999999999998E-4</v>
      </c>
      <c r="CJ48" s="43">
        <v>-5.1599999999999997E-4</v>
      </c>
      <c r="CK48" s="43">
        <v>6.2000000000000003E-5</v>
      </c>
      <c r="CL48" s="30">
        <v>3.0910813472993726E-2</v>
      </c>
      <c r="CM48" s="43">
        <v>-5.4500000000000002E-4</v>
      </c>
      <c r="CN48" s="43">
        <v>-5.4900000000000001E-4</v>
      </c>
      <c r="CO48" s="43">
        <v>9.2999999999999997E-5</v>
      </c>
      <c r="CQ48" s="30">
        <v>2.7847618906327077E-2</v>
      </c>
      <c r="CR48" s="43">
        <v>-3.3199999999999999E-4</v>
      </c>
      <c r="CS48" s="43">
        <v>-3.3399999999999999E-4</v>
      </c>
      <c r="CT48" s="43">
        <v>-1.12E-4</v>
      </c>
      <c r="CU48" s="30">
        <v>3.0910813472993726E-2</v>
      </c>
      <c r="CV48" s="43">
        <v>-3.4400000000000001E-4</v>
      </c>
      <c r="CW48" s="43">
        <v>-3.4600000000000001E-4</v>
      </c>
      <c r="CX48" s="43">
        <v>-1E-4</v>
      </c>
    </row>
    <row r="49" spans="14:102" x14ac:dyDescent="0.25">
      <c r="N49" s="30">
        <v>2.8543799489660411E-2</v>
      </c>
      <c r="O49" s="43">
        <v>-2.7799999999999998E-4</v>
      </c>
      <c r="P49" s="43">
        <v>-2.6200000000000003E-4</v>
      </c>
      <c r="Q49" s="43">
        <v>-7.7000000000000001E-5</v>
      </c>
      <c r="R49" s="30">
        <v>3.1746230172993731E-2</v>
      </c>
      <c r="S49" s="43">
        <v>-2.9300000000000002E-4</v>
      </c>
      <c r="T49" s="43">
        <v>-2.7399999999999999E-4</v>
      </c>
      <c r="U49" s="43">
        <v>-6.2000000000000003E-5</v>
      </c>
      <c r="W49" s="30">
        <v>2.8543799489660411E-2</v>
      </c>
      <c r="X49" s="43">
        <v>-3.77E-4</v>
      </c>
      <c r="Y49" s="43">
        <v>-3.4499999999999998E-4</v>
      </c>
      <c r="Z49" s="43">
        <v>9.0000000000000002E-6</v>
      </c>
      <c r="AA49" s="30">
        <v>3.1746230172993731E-2</v>
      </c>
      <c r="AB49" s="43">
        <v>-3.77E-4</v>
      </c>
      <c r="AC49" s="43">
        <v>-3.4499999999999998E-4</v>
      </c>
      <c r="AD49" s="43">
        <v>1.2E-5</v>
      </c>
      <c r="AF49" s="30">
        <v>2.8543799489660411E-2</v>
      </c>
      <c r="AG49" s="43">
        <v>-3.7599999999999998E-4</v>
      </c>
      <c r="AH49" s="43">
        <v>-3.5100000000000002E-4</v>
      </c>
      <c r="AI49" s="43">
        <v>-9.8999999999999994E-5</v>
      </c>
      <c r="AJ49" s="30">
        <v>3.1746230172993731E-2</v>
      </c>
      <c r="AK49" s="43">
        <v>-3.9300000000000001E-4</v>
      </c>
      <c r="AL49" s="43">
        <v>-3.6499999999999998E-4</v>
      </c>
      <c r="AM49" s="43">
        <v>-8.5000000000000006E-5</v>
      </c>
      <c r="AO49" s="30">
        <v>2.8543799489660411E-2</v>
      </c>
      <c r="AP49" s="43">
        <v>-2.32E-4</v>
      </c>
      <c r="AQ49" s="43">
        <v>-2.31E-4</v>
      </c>
      <c r="AR49" s="43">
        <v>-2.1000000000000001E-4</v>
      </c>
      <c r="AS49" s="30">
        <v>3.1746230172993731E-2</v>
      </c>
      <c r="AT49" s="43">
        <v>-2.33E-4</v>
      </c>
      <c r="AU49" s="43">
        <v>-2.31E-4</v>
      </c>
      <c r="AV49" s="43">
        <v>-2.0900000000000001E-4</v>
      </c>
      <c r="AX49" s="30">
        <v>2.8543799489660411E-2</v>
      </c>
      <c r="AY49" s="43">
        <v>-3.7800000000000003E-4</v>
      </c>
      <c r="AZ49" s="43">
        <v>-3.5300000000000002E-4</v>
      </c>
      <c r="BA49" s="43">
        <v>-9.8999999999999994E-5</v>
      </c>
      <c r="BB49" s="30">
        <v>3.1746230172993731E-2</v>
      </c>
      <c r="BC49" s="43">
        <v>-3.9599999999999998E-4</v>
      </c>
      <c r="BD49" s="43">
        <v>-3.68E-4</v>
      </c>
      <c r="BE49" s="43">
        <v>-8.3999999999999995E-5</v>
      </c>
      <c r="BG49" s="30">
        <v>2.8543799489660411E-2</v>
      </c>
      <c r="BH49" s="43">
        <v>-2.31E-4</v>
      </c>
      <c r="BI49" s="43">
        <v>-2.2900000000000001E-4</v>
      </c>
      <c r="BJ49" s="43">
        <v>-2.13E-4</v>
      </c>
      <c r="BK49" s="30">
        <v>3.1746230172993731E-2</v>
      </c>
      <c r="BL49" s="43">
        <v>-2.31E-4</v>
      </c>
      <c r="BM49" s="43">
        <v>-2.3000000000000001E-4</v>
      </c>
      <c r="BN49" s="43">
        <v>-2.13E-4</v>
      </c>
      <c r="BP49" s="30">
        <v>2.8543799489660411E-2</v>
      </c>
      <c r="BQ49" s="43">
        <v>-3.3399999999999999E-4</v>
      </c>
      <c r="BR49" s="43">
        <v>-3.0299999999999999E-4</v>
      </c>
      <c r="BS49" s="43">
        <v>7.9999999999999996E-6</v>
      </c>
      <c r="BT49" s="30">
        <v>3.1746230172993731E-2</v>
      </c>
      <c r="BU49" s="43">
        <v>-3.5199999999999999E-4</v>
      </c>
      <c r="BV49" s="43">
        <v>-3.1799999999999998E-4</v>
      </c>
      <c r="BW49" s="43">
        <v>2.0000000000000002E-5</v>
      </c>
      <c r="BY49" s="30">
        <v>2.8543799489660411E-2</v>
      </c>
      <c r="BZ49" s="43">
        <v>-1.9900000000000001E-4</v>
      </c>
      <c r="CA49" s="43">
        <v>-1.9000000000000001E-4</v>
      </c>
      <c r="CB49" s="43">
        <v>-9.7E-5</v>
      </c>
      <c r="CC49" s="30">
        <v>3.1746230172993731E-2</v>
      </c>
      <c r="CD49" s="43">
        <v>-1.9799999999999999E-4</v>
      </c>
      <c r="CE49" s="43">
        <v>-1.8900000000000001E-4</v>
      </c>
      <c r="CF49" s="43">
        <v>-1E-4</v>
      </c>
      <c r="CH49" s="30">
        <v>2.8543799489660411E-2</v>
      </c>
      <c r="CI49" s="43">
        <v>-5.1999999999999995E-4</v>
      </c>
      <c r="CJ49" s="43">
        <v>-5.2300000000000003E-4</v>
      </c>
      <c r="CK49" s="43">
        <v>6.8999999999999997E-5</v>
      </c>
      <c r="CL49" s="30">
        <v>3.1746230172993731E-2</v>
      </c>
      <c r="CM49" s="43">
        <v>-5.5400000000000002E-4</v>
      </c>
      <c r="CN49" s="43">
        <v>-5.5800000000000001E-4</v>
      </c>
      <c r="CO49" s="43">
        <v>1.02E-4</v>
      </c>
      <c r="CQ49" s="30">
        <v>2.8543799489660411E-2</v>
      </c>
      <c r="CR49" s="43">
        <v>-3.3500000000000001E-4</v>
      </c>
      <c r="CS49" s="43">
        <v>-3.3599999999999998E-4</v>
      </c>
      <c r="CT49" s="43">
        <v>-1.0900000000000001E-4</v>
      </c>
      <c r="CU49" s="30">
        <v>3.1746230172993731E-2</v>
      </c>
      <c r="CV49" s="43">
        <v>-3.4699999999999998E-4</v>
      </c>
      <c r="CW49" s="43">
        <v>-3.4900000000000003E-4</v>
      </c>
      <c r="CX49" s="43">
        <v>-9.7E-5</v>
      </c>
    </row>
    <row r="50" spans="14:102" x14ac:dyDescent="0.25">
      <c r="N50" s="30">
        <v>2.9239980072993745E-2</v>
      </c>
      <c r="O50" s="43">
        <v>-2.81E-4</v>
      </c>
      <c r="P50" s="43">
        <v>-2.6400000000000002E-4</v>
      </c>
      <c r="Q50" s="43">
        <v>-7.3999999999999996E-5</v>
      </c>
      <c r="R50" s="30">
        <v>3.2581646872993732E-2</v>
      </c>
      <c r="S50" s="43">
        <v>-2.9700000000000001E-4</v>
      </c>
      <c r="T50" s="43">
        <v>-2.7799999999999998E-4</v>
      </c>
      <c r="U50" s="43">
        <v>-5.8E-5</v>
      </c>
      <c r="W50" s="30">
        <v>2.9239980072993745E-2</v>
      </c>
      <c r="X50" s="43">
        <v>-3.77E-4</v>
      </c>
      <c r="Y50" s="43">
        <v>-3.4499999999999998E-4</v>
      </c>
      <c r="Z50" s="43">
        <v>1.0000000000000001E-5</v>
      </c>
      <c r="AA50" s="30">
        <v>3.2581646872993732E-2</v>
      </c>
      <c r="AB50" s="43">
        <v>-3.77E-4</v>
      </c>
      <c r="AC50" s="43">
        <v>-3.4499999999999998E-4</v>
      </c>
      <c r="AD50" s="43">
        <v>1.2999999999999999E-5</v>
      </c>
      <c r="AF50" s="30">
        <v>2.9239980072993745E-2</v>
      </c>
      <c r="AG50" s="43">
        <v>-3.8000000000000002E-4</v>
      </c>
      <c r="AH50" s="43">
        <v>-3.5399999999999999E-4</v>
      </c>
      <c r="AI50" s="43">
        <v>-9.6000000000000002E-5</v>
      </c>
      <c r="AJ50" s="30">
        <v>3.2581646872993732E-2</v>
      </c>
      <c r="AK50" s="43">
        <v>-3.9800000000000002E-4</v>
      </c>
      <c r="AL50" s="43">
        <v>-3.6999999999999999E-4</v>
      </c>
      <c r="AM50" s="43">
        <v>-8.1000000000000004E-5</v>
      </c>
      <c r="AO50" s="30">
        <v>2.9239980072993745E-2</v>
      </c>
      <c r="AP50" s="43">
        <v>-2.32E-4</v>
      </c>
      <c r="AQ50" s="43">
        <v>-2.31E-4</v>
      </c>
      <c r="AR50" s="43">
        <v>-2.1000000000000001E-4</v>
      </c>
      <c r="AS50" s="30">
        <v>3.2581646872993732E-2</v>
      </c>
      <c r="AT50" s="43">
        <v>-2.33E-4</v>
      </c>
      <c r="AU50" s="43">
        <v>-2.31E-4</v>
      </c>
      <c r="AV50" s="43">
        <v>-2.0900000000000001E-4</v>
      </c>
      <c r="AX50" s="30">
        <v>2.9239980072993745E-2</v>
      </c>
      <c r="AY50" s="43">
        <v>-3.8200000000000002E-4</v>
      </c>
      <c r="AZ50" s="43">
        <v>-3.5599999999999998E-4</v>
      </c>
      <c r="BA50" s="43">
        <v>-9.6000000000000002E-5</v>
      </c>
      <c r="BB50" s="30">
        <v>3.2581646872993732E-2</v>
      </c>
      <c r="BC50" s="43">
        <v>-4.0099999999999999E-4</v>
      </c>
      <c r="BD50" s="43">
        <v>-3.7199999999999999E-4</v>
      </c>
      <c r="BE50" s="43">
        <v>-8.0000000000000007E-5</v>
      </c>
      <c r="BG50" s="30">
        <v>2.9239980072993745E-2</v>
      </c>
      <c r="BH50" s="43">
        <v>-2.31E-4</v>
      </c>
      <c r="BI50" s="43">
        <v>-2.2900000000000001E-4</v>
      </c>
      <c r="BJ50" s="43">
        <v>-2.13E-4</v>
      </c>
      <c r="BK50" s="30">
        <v>3.2581646872993732E-2</v>
      </c>
      <c r="BL50" s="43">
        <v>-2.31E-4</v>
      </c>
      <c r="BM50" s="43">
        <v>-2.3000000000000001E-4</v>
      </c>
      <c r="BN50" s="43">
        <v>-2.13E-4</v>
      </c>
      <c r="BP50" s="30">
        <v>2.9239980072993745E-2</v>
      </c>
      <c r="BQ50" s="43">
        <v>-3.3799999999999998E-4</v>
      </c>
      <c r="BR50" s="43">
        <v>-3.0600000000000001E-4</v>
      </c>
      <c r="BS50" s="43">
        <v>1.0000000000000001E-5</v>
      </c>
      <c r="BT50" s="30">
        <v>3.2581646872993732E-2</v>
      </c>
      <c r="BU50" s="43">
        <v>-3.57E-4</v>
      </c>
      <c r="BV50" s="43">
        <v>-3.2200000000000002E-4</v>
      </c>
      <c r="BW50" s="43">
        <v>2.3E-5</v>
      </c>
      <c r="BY50" s="30">
        <v>2.9239980072993745E-2</v>
      </c>
      <c r="BZ50" s="43">
        <v>-1.9900000000000001E-4</v>
      </c>
      <c r="CA50" s="43">
        <v>-1.9000000000000001E-4</v>
      </c>
      <c r="CB50" s="43">
        <v>-9.7999999999999997E-5</v>
      </c>
      <c r="CC50" s="30">
        <v>3.2581646872993732E-2</v>
      </c>
      <c r="CD50" s="43">
        <v>-1.9699999999999999E-4</v>
      </c>
      <c r="CE50" s="43">
        <v>-1.8799999999999999E-4</v>
      </c>
      <c r="CF50" s="43">
        <v>-1.01E-4</v>
      </c>
      <c r="CH50" s="30">
        <v>2.9239980072993745E-2</v>
      </c>
      <c r="CI50" s="43">
        <v>-5.2700000000000002E-4</v>
      </c>
      <c r="CJ50" s="43">
        <v>-5.31E-4</v>
      </c>
      <c r="CK50" s="43">
        <v>7.6000000000000004E-5</v>
      </c>
      <c r="CL50" s="30">
        <v>3.2581646872993732E-2</v>
      </c>
      <c r="CM50" s="43">
        <v>-5.6400000000000005E-4</v>
      </c>
      <c r="CN50" s="43">
        <v>-5.6800000000000004E-4</v>
      </c>
      <c r="CO50" s="43">
        <v>1.11E-4</v>
      </c>
      <c r="CQ50" s="30">
        <v>2.9239980072993745E-2</v>
      </c>
      <c r="CR50" s="43">
        <v>-3.3799999999999998E-4</v>
      </c>
      <c r="CS50" s="43">
        <v>-3.39E-4</v>
      </c>
      <c r="CT50" s="43">
        <v>-1.06E-4</v>
      </c>
      <c r="CU50" s="30">
        <v>3.2581646872993732E-2</v>
      </c>
      <c r="CV50" s="43">
        <v>-3.5E-4</v>
      </c>
      <c r="CW50" s="43">
        <v>-3.5199999999999999E-4</v>
      </c>
      <c r="CX50" s="43">
        <v>-9.3999999999999994E-5</v>
      </c>
    </row>
    <row r="51" spans="14:102" x14ac:dyDescent="0.25">
      <c r="N51" s="30">
        <v>2.9936160656327079E-2</v>
      </c>
      <c r="O51" s="43">
        <v>-2.8499999999999999E-4</v>
      </c>
      <c r="P51" s="43">
        <v>-2.6699999999999998E-4</v>
      </c>
      <c r="Q51" s="43">
        <v>-7.1000000000000005E-5</v>
      </c>
      <c r="R51" s="30">
        <v>3.3417063572993726E-2</v>
      </c>
      <c r="S51" s="43">
        <v>-3.01E-4</v>
      </c>
      <c r="T51" s="43">
        <v>-2.81E-4</v>
      </c>
      <c r="U51" s="43">
        <v>-5.3000000000000001E-5</v>
      </c>
      <c r="W51" s="30">
        <v>2.9936160656327079E-2</v>
      </c>
      <c r="X51" s="43">
        <v>-3.77E-4</v>
      </c>
      <c r="Y51" s="43">
        <v>-3.4499999999999998E-4</v>
      </c>
      <c r="Z51" s="43">
        <v>1.1E-5</v>
      </c>
      <c r="AA51" s="30">
        <v>3.3417063572993726E-2</v>
      </c>
      <c r="AB51" s="43">
        <v>-3.77E-4</v>
      </c>
      <c r="AC51" s="43">
        <v>-3.4499999999999998E-4</v>
      </c>
      <c r="AD51" s="43">
        <v>1.4E-5</v>
      </c>
      <c r="AF51" s="30">
        <v>2.9936160656327079E-2</v>
      </c>
      <c r="AG51" s="43">
        <v>-3.8400000000000001E-4</v>
      </c>
      <c r="AH51" s="43">
        <v>-3.57E-4</v>
      </c>
      <c r="AI51" s="43">
        <v>-9.2999999999999997E-5</v>
      </c>
      <c r="AJ51" s="30">
        <v>3.3417063572993726E-2</v>
      </c>
      <c r="AK51" s="43">
        <v>-4.0299999999999998E-4</v>
      </c>
      <c r="AL51" s="43">
        <v>-3.7399999999999998E-4</v>
      </c>
      <c r="AM51" s="43">
        <v>-7.7000000000000001E-5</v>
      </c>
      <c r="AO51" s="30">
        <v>2.9936160656327079E-2</v>
      </c>
      <c r="AP51" s="43">
        <v>-2.33E-4</v>
      </c>
      <c r="AQ51" s="43">
        <v>-2.31E-4</v>
      </c>
      <c r="AR51" s="43">
        <v>-2.1000000000000001E-4</v>
      </c>
      <c r="AS51" s="30">
        <v>3.3417063572993726E-2</v>
      </c>
      <c r="AT51" s="43">
        <v>-2.33E-4</v>
      </c>
      <c r="AU51" s="43">
        <v>-2.31E-4</v>
      </c>
      <c r="AV51" s="43">
        <v>-2.0900000000000001E-4</v>
      </c>
      <c r="AX51" s="30">
        <v>2.9936160656327079E-2</v>
      </c>
      <c r="AY51" s="43">
        <v>-3.86E-4</v>
      </c>
      <c r="AZ51" s="43">
        <v>-3.59E-4</v>
      </c>
      <c r="BA51" s="43">
        <v>-9.2999999999999997E-5</v>
      </c>
      <c r="BB51" s="30">
        <v>3.3417063572993726E-2</v>
      </c>
      <c r="BC51" s="43">
        <v>-4.0700000000000003E-4</v>
      </c>
      <c r="BD51" s="43">
        <v>-3.77E-4</v>
      </c>
      <c r="BE51" s="43">
        <v>-7.6000000000000004E-5</v>
      </c>
      <c r="BG51" s="30">
        <v>2.9936160656327079E-2</v>
      </c>
      <c r="BH51" s="43">
        <v>-2.31E-4</v>
      </c>
      <c r="BI51" s="43">
        <v>-2.3000000000000001E-4</v>
      </c>
      <c r="BJ51" s="43">
        <v>-2.13E-4</v>
      </c>
      <c r="BK51" s="30">
        <v>3.3417063572993726E-2</v>
      </c>
      <c r="BL51" s="43">
        <v>-2.31E-4</v>
      </c>
      <c r="BM51" s="43">
        <v>-2.3000000000000001E-4</v>
      </c>
      <c r="BN51" s="43">
        <v>-2.13E-4</v>
      </c>
      <c r="BP51" s="30">
        <v>2.9936160656327079E-2</v>
      </c>
      <c r="BQ51" s="43">
        <v>-3.4200000000000002E-4</v>
      </c>
      <c r="BR51" s="43">
        <v>-3.0899999999999998E-4</v>
      </c>
      <c r="BS51" s="43">
        <v>1.2999999999999999E-5</v>
      </c>
      <c r="BT51" s="30">
        <v>3.3417063572993726E-2</v>
      </c>
      <c r="BU51" s="43">
        <v>-3.6200000000000002E-4</v>
      </c>
      <c r="BV51" s="43">
        <v>-3.2600000000000001E-4</v>
      </c>
      <c r="BW51" s="43">
        <v>2.6999999999999999E-5</v>
      </c>
      <c r="BY51" s="30">
        <v>2.9936160656327079E-2</v>
      </c>
      <c r="BZ51" s="43">
        <v>-1.9900000000000001E-4</v>
      </c>
      <c r="CA51" s="43">
        <v>-1.9000000000000001E-4</v>
      </c>
      <c r="CB51" s="43">
        <v>-9.7999999999999997E-5</v>
      </c>
      <c r="CC51" s="30">
        <v>3.3417063572993726E-2</v>
      </c>
      <c r="CD51" s="43">
        <v>-1.9699999999999999E-4</v>
      </c>
      <c r="CE51" s="43">
        <v>-1.8799999999999999E-4</v>
      </c>
      <c r="CF51" s="43">
        <v>-1.02E-4</v>
      </c>
      <c r="CH51" s="30">
        <v>2.9936160656327079E-2</v>
      </c>
      <c r="CI51" s="43">
        <v>-5.3399999999999997E-4</v>
      </c>
      <c r="CJ51" s="43">
        <v>-5.3799999999999996E-4</v>
      </c>
      <c r="CK51" s="43">
        <v>8.2999999999999998E-5</v>
      </c>
      <c r="CL51" s="30">
        <v>3.3417063572993726E-2</v>
      </c>
      <c r="CM51" s="43">
        <v>-5.7300000000000005E-4</v>
      </c>
      <c r="CN51" s="43">
        <v>-5.7700000000000004E-4</v>
      </c>
      <c r="CO51" s="43">
        <v>1.2E-4</v>
      </c>
      <c r="CQ51" s="30">
        <v>2.9936160656327079E-2</v>
      </c>
      <c r="CR51" s="43">
        <v>-3.4099999999999999E-4</v>
      </c>
      <c r="CS51" s="43">
        <v>-3.4200000000000002E-4</v>
      </c>
      <c r="CT51" s="43">
        <v>-1.0399999999999999E-4</v>
      </c>
      <c r="CU51" s="30">
        <v>3.3417063572993726E-2</v>
      </c>
      <c r="CV51" s="43">
        <v>-3.5300000000000002E-4</v>
      </c>
      <c r="CW51" s="43">
        <v>-3.5500000000000001E-4</v>
      </c>
      <c r="CX51" s="43">
        <v>-9.1000000000000003E-5</v>
      </c>
    </row>
    <row r="52" spans="14:102" x14ac:dyDescent="0.25">
      <c r="N52" s="30">
        <v>3.0632341239660413E-2</v>
      </c>
      <c r="O52" s="43">
        <v>-2.8800000000000001E-4</v>
      </c>
      <c r="P52" s="43">
        <v>-2.7E-4</v>
      </c>
      <c r="Q52" s="43">
        <v>-6.7000000000000002E-5</v>
      </c>
      <c r="R52" s="30">
        <v>3.3417063572993726E-2</v>
      </c>
      <c r="S52" s="43">
        <v>-3.01E-4</v>
      </c>
      <c r="T52" s="43">
        <v>-2.81E-4</v>
      </c>
      <c r="U52" s="43">
        <v>-5.3000000000000001E-5</v>
      </c>
      <c r="W52" s="30">
        <v>3.0632341239660413E-2</v>
      </c>
      <c r="X52" s="43">
        <v>-3.77E-4</v>
      </c>
      <c r="Y52" s="43">
        <v>-3.4499999999999998E-4</v>
      </c>
      <c r="Z52" s="43">
        <v>1.1E-5</v>
      </c>
      <c r="AA52" s="30">
        <v>3.3417063572993726E-2</v>
      </c>
      <c r="AB52" s="43">
        <v>-3.77E-4</v>
      </c>
      <c r="AC52" s="43">
        <v>-3.4499999999999998E-4</v>
      </c>
      <c r="AD52" s="43">
        <v>1.4E-5</v>
      </c>
      <c r="AF52" s="30">
        <v>3.0632341239660413E-2</v>
      </c>
      <c r="AG52" s="43">
        <v>-3.88E-4</v>
      </c>
      <c r="AH52" s="43">
        <v>-3.6099999999999999E-4</v>
      </c>
      <c r="AI52" s="43">
        <v>-9.0000000000000006E-5</v>
      </c>
      <c r="AJ52" s="30">
        <v>3.3417063572993726E-2</v>
      </c>
      <c r="AK52" s="43">
        <v>-4.0299999999999998E-4</v>
      </c>
      <c r="AL52" s="43">
        <v>-3.7399999999999998E-4</v>
      </c>
      <c r="AM52" s="43">
        <v>-7.7000000000000001E-5</v>
      </c>
      <c r="AO52" s="30">
        <v>3.0632341239660413E-2</v>
      </c>
      <c r="AP52" s="43">
        <v>-2.33E-4</v>
      </c>
      <c r="AQ52" s="43">
        <v>-2.31E-4</v>
      </c>
      <c r="AR52" s="43">
        <v>-2.1000000000000001E-4</v>
      </c>
      <c r="AS52" s="30">
        <v>3.3417063572993726E-2</v>
      </c>
      <c r="AT52" s="43">
        <v>-2.33E-4</v>
      </c>
      <c r="AU52" s="43">
        <v>-2.31E-4</v>
      </c>
      <c r="AV52" s="43">
        <v>-2.0900000000000001E-4</v>
      </c>
      <c r="AX52" s="30">
        <v>3.0632341239660413E-2</v>
      </c>
      <c r="AY52" s="43">
        <v>-3.8999999999999999E-4</v>
      </c>
      <c r="AZ52" s="43">
        <v>-3.6200000000000002E-4</v>
      </c>
      <c r="BA52" s="43">
        <v>-9.0000000000000006E-5</v>
      </c>
      <c r="BB52" s="30">
        <v>3.3417063572993726E-2</v>
      </c>
      <c r="BC52" s="43">
        <v>-4.0700000000000003E-4</v>
      </c>
      <c r="BD52" s="43">
        <v>-3.77E-4</v>
      </c>
      <c r="BE52" s="43">
        <v>-7.6000000000000004E-5</v>
      </c>
      <c r="BG52" s="30">
        <v>3.0632341239660413E-2</v>
      </c>
      <c r="BH52" s="43">
        <v>-2.31E-4</v>
      </c>
      <c r="BI52" s="43">
        <v>-2.3000000000000001E-4</v>
      </c>
      <c r="BJ52" s="43">
        <v>-2.13E-4</v>
      </c>
      <c r="BK52" s="30">
        <v>3.3417063572993726E-2</v>
      </c>
      <c r="BL52" s="43">
        <v>-2.31E-4</v>
      </c>
      <c r="BM52" s="43">
        <v>-2.3000000000000001E-4</v>
      </c>
      <c r="BN52" s="43">
        <v>-2.13E-4</v>
      </c>
      <c r="BP52" s="30">
        <v>3.0632341239660413E-2</v>
      </c>
      <c r="BQ52" s="43">
        <v>-3.4600000000000001E-4</v>
      </c>
      <c r="BR52" s="43">
        <v>-3.1300000000000002E-4</v>
      </c>
      <c r="BS52" s="43">
        <v>1.5999999999999999E-5</v>
      </c>
      <c r="BT52" s="30">
        <v>3.3417063572993726E-2</v>
      </c>
      <c r="BU52" s="43">
        <v>-3.6200000000000002E-4</v>
      </c>
      <c r="BV52" s="43">
        <v>-3.2600000000000001E-4</v>
      </c>
      <c r="BW52" s="43">
        <v>2.6999999999999999E-5</v>
      </c>
      <c r="BY52" s="30">
        <v>3.0632341239660413E-2</v>
      </c>
      <c r="BZ52" s="43">
        <v>-1.9799999999999999E-4</v>
      </c>
      <c r="CA52" s="43">
        <v>-1.8900000000000001E-4</v>
      </c>
      <c r="CB52" s="43">
        <v>-9.8999999999999994E-5</v>
      </c>
      <c r="CC52" s="30">
        <v>3.3417063572993726E-2</v>
      </c>
      <c r="CD52" s="43">
        <v>-1.9699999999999999E-4</v>
      </c>
      <c r="CE52" s="43">
        <v>-1.8799999999999999E-4</v>
      </c>
      <c r="CF52" s="43">
        <v>-1.02E-4</v>
      </c>
      <c r="CH52" s="30">
        <v>3.0632341239660413E-2</v>
      </c>
      <c r="CI52" s="43">
        <v>-5.4199999999999995E-4</v>
      </c>
      <c r="CJ52" s="43">
        <v>-5.4600000000000004E-4</v>
      </c>
      <c r="CK52" s="43">
        <v>9.0000000000000006E-5</v>
      </c>
      <c r="CL52" s="30">
        <v>3.3417063572993726E-2</v>
      </c>
      <c r="CM52" s="43">
        <v>-5.7300000000000005E-4</v>
      </c>
      <c r="CN52" s="43">
        <v>-5.7700000000000004E-4</v>
      </c>
      <c r="CO52" s="43">
        <v>1.2E-4</v>
      </c>
      <c r="CQ52" s="30">
        <v>3.0632341239660413E-2</v>
      </c>
      <c r="CR52" s="43">
        <v>-3.4299999999999999E-4</v>
      </c>
      <c r="CS52" s="43">
        <v>-3.4400000000000001E-4</v>
      </c>
      <c r="CT52" s="43">
        <v>-1.01E-4</v>
      </c>
      <c r="CU52" s="30">
        <v>3.3417063572993726E-2</v>
      </c>
      <c r="CV52" s="43">
        <v>-3.5300000000000002E-4</v>
      </c>
      <c r="CW52" s="43">
        <v>-3.5500000000000001E-4</v>
      </c>
      <c r="CX52" s="43">
        <v>-9.1000000000000003E-5</v>
      </c>
    </row>
    <row r="53" spans="14:102" x14ac:dyDescent="0.25">
      <c r="N53" s="30">
        <v>3.1328521822993748E-2</v>
      </c>
      <c r="O53" s="43">
        <v>-2.9100000000000003E-4</v>
      </c>
      <c r="P53" s="43">
        <v>-2.72E-4</v>
      </c>
      <c r="Q53" s="43">
        <v>-6.3999999999999997E-5</v>
      </c>
      <c r="R53" s="30">
        <v>3.4252480272993727E-2</v>
      </c>
      <c r="S53" s="43">
        <v>-3.0600000000000001E-4</v>
      </c>
      <c r="T53" s="43">
        <v>-2.8499999999999999E-4</v>
      </c>
      <c r="U53" s="43">
        <v>-4.8999999999999998E-5</v>
      </c>
      <c r="W53" s="30">
        <v>3.1328521822993748E-2</v>
      </c>
      <c r="X53" s="43">
        <v>-3.77E-4</v>
      </c>
      <c r="Y53" s="43">
        <v>-3.4499999999999998E-4</v>
      </c>
      <c r="Z53" s="43">
        <v>1.2E-5</v>
      </c>
      <c r="AA53" s="30">
        <v>3.4252480272993727E-2</v>
      </c>
      <c r="AB53" s="43">
        <v>-3.7599999999999998E-4</v>
      </c>
      <c r="AC53" s="43">
        <v>-3.4400000000000001E-4</v>
      </c>
      <c r="AD53" s="43">
        <v>1.4E-5</v>
      </c>
      <c r="AF53" s="30">
        <v>3.1328521822993748E-2</v>
      </c>
      <c r="AG53" s="43">
        <v>-3.9199999999999999E-4</v>
      </c>
      <c r="AH53" s="43">
        <v>-3.6400000000000001E-4</v>
      </c>
      <c r="AI53" s="43">
        <v>-8.7000000000000001E-5</v>
      </c>
      <c r="AJ53" s="30">
        <v>3.4252480272993727E-2</v>
      </c>
      <c r="AK53" s="43">
        <v>-4.0900000000000002E-4</v>
      </c>
      <c r="AL53" s="43">
        <v>-3.7800000000000003E-4</v>
      </c>
      <c r="AM53" s="43">
        <v>-7.2999999999999999E-5</v>
      </c>
      <c r="AO53" s="30">
        <v>3.1328521822993748E-2</v>
      </c>
      <c r="AP53" s="43">
        <v>-2.33E-4</v>
      </c>
      <c r="AQ53" s="43">
        <v>-2.31E-4</v>
      </c>
      <c r="AR53" s="43">
        <v>-2.1000000000000001E-4</v>
      </c>
      <c r="AS53" s="30">
        <v>3.4252480272993727E-2</v>
      </c>
      <c r="AT53" s="43">
        <v>-2.33E-4</v>
      </c>
      <c r="AU53" s="43">
        <v>-2.31E-4</v>
      </c>
      <c r="AV53" s="43">
        <v>-2.0900000000000001E-4</v>
      </c>
      <c r="AX53" s="30">
        <v>3.1328521822993748E-2</v>
      </c>
      <c r="AY53" s="43">
        <v>-3.9399999999999998E-4</v>
      </c>
      <c r="AZ53" s="43">
        <v>-3.6600000000000001E-4</v>
      </c>
      <c r="BA53" s="43">
        <v>-8.7000000000000001E-5</v>
      </c>
      <c r="BB53" s="30">
        <v>3.4252480272993727E-2</v>
      </c>
      <c r="BC53" s="43">
        <v>-4.1199999999999999E-4</v>
      </c>
      <c r="BD53" s="43">
        <v>-3.8099999999999999E-4</v>
      </c>
      <c r="BE53" s="43">
        <v>-7.2000000000000002E-5</v>
      </c>
      <c r="BG53" s="30">
        <v>3.1328521822993748E-2</v>
      </c>
      <c r="BH53" s="43">
        <v>-2.31E-4</v>
      </c>
      <c r="BI53" s="43">
        <v>-2.3000000000000001E-4</v>
      </c>
      <c r="BJ53" s="43">
        <v>-2.13E-4</v>
      </c>
      <c r="BK53" s="30">
        <v>3.4252480272993727E-2</v>
      </c>
      <c r="BL53" s="43">
        <v>-2.31E-4</v>
      </c>
      <c r="BM53" s="43">
        <v>-2.3000000000000001E-4</v>
      </c>
      <c r="BN53" s="43">
        <v>-2.13E-4</v>
      </c>
      <c r="BP53" s="30">
        <v>3.1328521822993748E-2</v>
      </c>
      <c r="BQ53" s="43">
        <v>-3.4900000000000003E-4</v>
      </c>
      <c r="BR53" s="43">
        <v>-3.1599999999999998E-4</v>
      </c>
      <c r="BS53" s="43">
        <v>1.8E-5</v>
      </c>
      <c r="BT53" s="30">
        <v>3.4252480272993727E-2</v>
      </c>
      <c r="BU53" s="43">
        <v>-3.6699999999999998E-4</v>
      </c>
      <c r="BV53" s="43">
        <v>-3.3E-4</v>
      </c>
      <c r="BW53" s="43">
        <v>3.0000000000000001E-5</v>
      </c>
      <c r="BY53" s="30">
        <v>3.1328521822993748E-2</v>
      </c>
      <c r="BZ53" s="43">
        <v>-1.9799999999999999E-4</v>
      </c>
      <c r="CA53" s="43">
        <v>-1.8900000000000001E-4</v>
      </c>
      <c r="CB53" s="43">
        <v>-1E-4</v>
      </c>
      <c r="CC53" s="30">
        <v>3.4252480272993727E-2</v>
      </c>
      <c r="CD53" s="43">
        <v>-1.9699999999999999E-4</v>
      </c>
      <c r="CE53" s="43">
        <v>-1.8799999999999999E-4</v>
      </c>
      <c r="CF53" s="43">
        <v>-1.03E-4</v>
      </c>
      <c r="CH53" s="30">
        <v>3.1328521822993748E-2</v>
      </c>
      <c r="CI53" s="43">
        <v>-5.4900000000000001E-4</v>
      </c>
      <c r="CJ53" s="43">
        <v>-5.53E-4</v>
      </c>
      <c r="CK53" s="43">
        <v>9.7E-5</v>
      </c>
      <c r="CL53" s="30">
        <v>3.4252480272993727E-2</v>
      </c>
      <c r="CM53" s="43">
        <v>-5.8399999999999999E-4</v>
      </c>
      <c r="CN53" s="43">
        <v>-5.8799999999999998E-4</v>
      </c>
      <c r="CO53" s="43">
        <v>1.2999999999999999E-4</v>
      </c>
      <c r="CQ53" s="30">
        <v>3.1328521822993748E-2</v>
      </c>
      <c r="CR53" s="43">
        <v>-3.4600000000000001E-4</v>
      </c>
      <c r="CS53" s="43">
        <v>-3.4699999999999998E-4</v>
      </c>
      <c r="CT53" s="43">
        <v>-9.7999999999999997E-5</v>
      </c>
      <c r="CU53" s="30">
        <v>3.4252480272993727E-2</v>
      </c>
      <c r="CV53" s="43">
        <v>-3.5599999999999998E-4</v>
      </c>
      <c r="CW53" s="43">
        <v>-3.57E-4</v>
      </c>
      <c r="CX53" s="43">
        <v>-8.7999999999999998E-5</v>
      </c>
    </row>
    <row r="54" spans="14:102" x14ac:dyDescent="0.25">
      <c r="N54" s="30">
        <v>3.2024702406327078E-2</v>
      </c>
      <c r="O54" s="43">
        <v>-2.9399999999999999E-4</v>
      </c>
      <c r="P54" s="43">
        <v>-2.7500000000000002E-4</v>
      </c>
      <c r="Q54" s="43">
        <v>-6.0000000000000002E-5</v>
      </c>
      <c r="R54" s="30">
        <v>3.5087896972993735E-2</v>
      </c>
      <c r="S54" s="43">
        <v>-3.1100000000000002E-4</v>
      </c>
      <c r="T54" s="43">
        <v>-2.8899999999999998E-4</v>
      </c>
      <c r="U54" s="43">
        <v>-4.3999999999999999E-5</v>
      </c>
      <c r="W54" s="30">
        <v>3.2024702406327078E-2</v>
      </c>
      <c r="X54" s="43">
        <v>-3.77E-4</v>
      </c>
      <c r="Y54" s="43">
        <v>-3.4499999999999998E-4</v>
      </c>
      <c r="Z54" s="43">
        <v>1.2999999999999999E-5</v>
      </c>
      <c r="AA54" s="30">
        <v>3.5087896972993735E-2</v>
      </c>
      <c r="AB54" s="43">
        <v>-3.7599999999999998E-4</v>
      </c>
      <c r="AC54" s="43">
        <v>-3.4400000000000001E-4</v>
      </c>
      <c r="AD54" s="43">
        <v>1.5E-5</v>
      </c>
      <c r="AF54" s="30">
        <v>3.2024702406327078E-2</v>
      </c>
      <c r="AG54" s="43">
        <v>-3.9500000000000001E-4</v>
      </c>
      <c r="AH54" s="43">
        <v>-3.6699999999999998E-4</v>
      </c>
      <c r="AI54" s="43">
        <v>-8.2999999999999998E-5</v>
      </c>
      <c r="AJ54" s="30">
        <v>3.5087896972993735E-2</v>
      </c>
      <c r="AK54" s="43">
        <v>-4.15E-4</v>
      </c>
      <c r="AL54" s="43">
        <v>-3.8299999999999999E-4</v>
      </c>
      <c r="AM54" s="43">
        <v>-6.7999999999999999E-5</v>
      </c>
      <c r="AO54" s="30">
        <v>3.2024702406327078E-2</v>
      </c>
      <c r="AP54" s="43">
        <v>-2.33E-4</v>
      </c>
      <c r="AQ54" s="43">
        <v>-2.31E-4</v>
      </c>
      <c r="AR54" s="43">
        <v>-2.0900000000000001E-4</v>
      </c>
      <c r="AS54" s="30">
        <v>3.5087896972993735E-2</v>
      </c>
      <c r="AT54" s="43">
        <v>-2.33E-4</v>
      </c>
      <c r="AU54" s="43">
        <v>-2.31E-4</v>
      </c>
      <c r="AV54" s="43">
        <v>-2.1000000000000001E-4</v>
      </c>
      <c r="AX54" s="30">
        <v>3.2024702406327078E-2</v>
      </c>
      <c r="AY54" s="43">
        <v>-3.97E-4</v>
      </c>
      <c r="AZ54" s="43">
        <v>-3.6900000000000002E-4</v>
      </c>
      <c r="BA54" s="43">
        <v>-8.2999999999999998E-5</v>
      </c>
      <c r="BB54" s="30">
        <v>3.5087896972993735E-2</v>
      </c>
      <c r="BC54" s="43">
        <v>-4.1800000000000002E-4</v>
      </c>
      <c r="BD54" s="43">
        <v>-3.86E-4</v>
      </c>
      <c r="BE54" s="43">
        <v>-6.7000000000000002E-5</v>
      </c>
      <c r="BG54" s="30">
        <v>3.2024702406327078E-2</v>
      </c>
      <c r="BH54" s="43">
        <v>-2.32E-4</v>
      </c>
      <c r="BI54" s="43">
        <v>-2.3000000000000001E-4</v>
      </c>
      <c r="BJ54" s="43">
        <v>-2.12E-4</v>
      </c>
      <c r="BK54" s="30">
        <v>3.5087896972993735E-2</v>
      </c>
      <c r="BL54" s="43">
        <v>-2.31E-4</v>
      </c>
      <c r="BM54" s="43">
        <v>-2.2900000000000001E-4</v>
      </c>
      <c r="BN54" s="43">
        <v>-2.13E-4</v>
      </c>
      <c r="BP54" s="30">
        <v>3.2024702406327078E-2</v>
      </c>
      <c r="BQ54" s="43">
        <v>-3.5300000000000002E-4</v>
      </c>
      <c r="BR54" s="43">
        <v>-3.19E-4</v>
      </c>
      <c r="BS54" s="43">
        <v>2.0999999999999999E-5</v>
      </c>
      <c r="BT54" s="30">
        <v>3.5087896972993735E-2</v>
      </c>
      <c r="BU54" s="43">
        <v>-3.7300000000000001E-4</v>
      </c>
      <c r="BV54" s="43">
        <v>-3.3599999999999998E-4</v>
      </c>
      <c r="BW54" s="43">
        <v>3.4999999999999997E-5</v>
      </c>
      <c r="BY54" s="30">
        <v>3.2024702406327078E-2</v>
      </c>
      <c r="BZ54" s="43">
        <v>-1.9799999999999999E-4</v>
      </c>
      <c r="CA54" s="43">
        <v>-1.8900000000000001E-4</v>
      </c>
      <c r="CB54" s="43">
        <v>-1E-4</v>
      </c>
      <c r="CC54" s="30">
        <v>3.5087896972993735E-2</v>
      </c>
      <c r="CD54" s="43">
        <v>-1.9699999999999999E-4</v>
      </c>
      <c r="CE54" s="43">
        <v>-1.8799999999999999E-4</v>
      </c>
      <c r="CF54" s="43">
        <v>-1.03E-4</v>
      </c>
      <c r="CH54" s="30">
        <v>3.2024702406327078E-2</v>
      </c>
      <c r="CI54" s="43">
        <v>-5.5699999999999999E-4</v>
      </c>
      <c r="CJ54" s="43">
        <v>-5.6099999999999998E-4</v>
      </c>
      <c r="CK54" s="43">
        <v>1.0399999999999999E-4</v>
      </c>
      <c r="CL54" s="30">
        <v>3.5087896972993735E-2</v>
      </c>
      <c r="CM54" s="43">
        <v>-5.9699999999999998E-4</v>
      </c>
      <c r="CN54" s="43">
        <v>-6.0099999999999997E-4</v>
      </c>
      <c r="CO54" s="43">
        <v>1.47E-4</v>
      </c>
      <c r="CQ54" s="30">
        <v>3.2024702406327078E-2</v>
      </c>
      <c r="CR54" s="43">
        <v>-3.4900000000000003E-4</v>
      </c>
      <c r="CS54" s="43">
        <v>-3.5E-4</v>
      </c>
      <c r="CT54" s="43">
        <v>-9.6000000000000002E-5</v>
      </c>
      <c r="CU54" s="30">
        <v>3.5087896972993735E-2</v>
      </c>
      <c r="CV54" s="43">
        <v>-3.5799999999999997E-4</v>
      </c>
      <c r="CW54" s="43">
        <v>-3.6000000000000002E-4</v>
      </c>
      <c r="CX54" s="43">
        <v>-8.6000000000000003E-5</v>
      </c>
    </row>
    <row r="55" spans="14:102" x14ac:dyDescent="0.25">
      <c r="N55" s="30">
        <v>3.2720882989660409E-2</v>
      </c>
      <c r="O55" s="43">
        <v>-2.9799999999999998E-4</v>
      </c>
      <c r="P55" s="43">
        <v>-2.7799999999999998E-4</v>
      </c>
      <c r="Q55" s="43">
        <v>-5.7000000000000003E-5</v>
      </c>
      <c r="R55" s="30">
        <v>3.5923313672993736E-2</v>
      </c>
      <c r="S55" s="43">
        <v>-3.1599999999999998E-4</v>
      </c>
      <c r="T55" s="43">
        <v>-2.9300000000000002E-4</v>
      </c>
      <c r="U55" s="43">
        <v>-3.8999999999999999E-5</v>
      </c>
      <c r="W55" s="30">
        <v>3.2720882989660409E-2</v>
      </c>
      <c r="X55" s="43">
        <v>-3.77E-4</v>
      </c>
      <c r="Y55" s="43">
        <v>-3.4499999999999998E-4</v>
      </c>
      <c r="Z55" s="43">
        <v>1.2999999999999999E-5</v>
      </c>
      <c r="AA55" s="30">
        <v>3.5923313672993736E-2</v>
      </c>
      <c r="AB55" s="43">
        <v>-3.7500000000000001E-4</v>
      </c>
      <c r="AC55" s="43">
        <v>-3.4299999999999999E-4</v>
      </c>
      <c r="AD55" s="43">
        <v>1.5E-5</v>
      </c>
      <c r="AF55" s="30">
        <v>3.2720882989660409E-2</v>
      </c>
      <c r="AG55" s="43">
        <v>-4.0000000000000002E-4</v>
      </c>
      <c r="AH55" s="43">
        <v>-3.7100000000000002E-4</v>
      </c>
      <c r="AI55" s="43">
        <v>-8.0000000000000007E-5</v>
      </c>
      <c r="AJ55" s="30">
        <v>3.5923313672993736E-2</v>
      </c>
      <c r="AK55" s="43">
        <v>-4.2099999999999999E-4</v>
      </c>
      <c r="AL55" s="43">
        <v>-3.88E-4</v>
      </c>
      <c r="AM55" s="43">
        <v>-6.3E-5</v>
      </c>
      <c r="AO55" s="30">
        <v>3.2720882989660409E-2</v>
      </c>
      <c r="AP55" s="43">
        <v>-2.33E-4</v>
      </c>
      <c r="AQ55" s="43">
        <v>-2.31E-4</v>
      </c>
      <c r="AR55" s="43">
        <v>-2.0900000000000001E-4</v>
      </c>
      <c r="AS55" s="30">
        <v>3.5923313672993736E-2</v>
      </c>
      <c r="AT55" s="43">
        <v>-2.32E-4</v>
      </c>
      <c r="AU55" s="43">
        <v>-2.31E-4</v>
      </c>
      <c r="AV55" s="43">
        <v>-2.1000000000000001E-4</v>
      </c>
      <c r="AX55" s="30">
        <v>3.2720882989660409E-2</v>
      </c>
      <c r="AY55" s="43">
        <v>-4.0200000000000001E-4</v>
      </c>
      <c r="AZ55" s="43">
        <v>-3.7300000000000001E-4</v>
      </c>
      <c r="BA55" s="43">
        <v>-8.0000000000000007E-5</v>
      </c>
      <c r="BB55" s="30">
        <v>3.5923313672993736E-2</v>
      </c>
      <c r="BC55" s="43">
        <v>-4.2400000000000001E-4</v>
      </c>
      <c r="BD55" s="43">
        <v>-3.9100000000000002E-4</v>
      </c>
      <c r="BE55" s="43">
        <v>-6.2000000000000003E-5</v>
      </c>
      <c r="BG55" s="30">
        <v>3.2720882989660409E-2</v>
      </c>
      <c r="BH55" s="43">
        <v>-2.32E-4</v>
      </c>
      <c r="BI55" s="43">
        <v>-2.3000000000000001E-4</v>
      </c>
      <c r="BJ55" s="43">
        <v>-2.12E-4</v>
      </c>
      <c r="BK55" s="30">
        <v>3.5923313672993736E-2</v>
      </c>
      <c r="BL55" s="43">
        <v>-2.3000000000000001E-4</v>
      </c>
      <c r="BM55" s="43">
        <v>-2.2900000000000001E-4</v>
      </c>
      <c r="BN55" s="43">
        <v>-2.13E-4</v>
      </c>
      <c r="BP55" s="30">
        <v>3.2720882989660409E-2</v>
      </c>
      <c r="BQ55" s="43">
        <v>-3.5799999999999997E-4</v>
      </c>
      <c r="BR55" s="43">
        <v>-3.2299999999999999E-4</v>
      </c>
      <c r="BS55" s="43">
        <v>2.4000000000000001E-5</v>
      </c>
      <c r="BT55" s="30">
        <v>3.5923313672993736E-2</v>
      </c>
      <c r="BU55" s="43">
        <v>-3.79E-4</v>
      </c>
      <c r="BV55" s="43">
        <v>-3.4000000000000002E-4</v>
      </c>
      <c r="BW55" s="43">
        <v>3.8999999999999999E-5</v>
      </c>
      <c r="BY55" s="30">
        <v>3.2720882989660409E-2</v>
      </c>
      <c r="BZ55" s="43">
        <v>-1.9699999999999999E-4</v>
      </c>
      <c r="CA55" s="43">
        <v>-1.8900000000000001E-4</v>
      </c>
      <c r="CB55" s="43">
        <v>-1.01E-4</v>
      </c>
      <c r="CC55" s="30">
        <v>3.5923313672993736E-2</v>
      </c>
      <c r="CD55" s="43">
        <v>-1.9699999999999999E-4</v>
      </c>
      <c r="CE55" s="43">
        <v>-1.8799999999999999E-4</v>
      </c>
      <c r="CF55" s="43">
        <v>-1.0399999999999999E-4</v>
      </c>
      <c r="CH55" s="30">
        <v>3.2720882989660409E-2</v>
      </c>
      <c r="CI55" s="43">
        <v>-5.6499999999999996E-4</v>
      </c>
      <c r="CJ55" s="43">
        <v>-5.6899999999999995E-4</v>
      </c>
      <c r="CK55" s="43">
        <v>1.12E-4</v>
      </c>
      <c r="CL55" s="30">
        <v>3.5923313672993736E-2</v>
      </c>
      <c r="CM55" s="43">
        <v>-6.0899999999999995E-4</v>
      </c>
      <c r="CN55" s="43">
        <v>-6.1300000000000005E-4</v>
      </c>
      <c r="CO55" s="43">
        <v>1.6100000000000001E-4</v>
      </c>
      <c r="CQ55" s="30">
        <v>3.2720882989660409E-2</v>
      </c>
      <c r="CR55" s="43">
        <v>-3.5100000000000002E-4</v>
      </c>
      <c r="CS55" s="43">
        <v>-3.5199999999999999E-4</v>
      </c>
      <c r="CT55" s="43">
        <v>-9.3999999999999994E-5</v>
      </c>
      <c r="CU55" s="30">
        <v>3.5923313672993736E-2</v>
      </c>
      <c r="CV55" s="43">
        <v>-3.6099999999999999E-4</v>
      </c>
      <c r="CW55" s="43">
        <v>-3.6200000000000002E-4</v>
      </c>
      <c r="CX55" s="43">
        <v>-8.3999999999999995E-5</v>
      </c>
    </row>
    <row r="56" spans="14:102" x14ac:dyDescent="0.25">
      <c r="N56" s="30">
        <v>3.341706357299374E-2</v>
      </c>
      <c r="O56" s="43">
        <v>-3.0200000000000002E-4</v>
      </c>
      <c r="P56" s="43">
        <v>-2.81E-4</v>
      </c>
      <c r="Q56" s="43">
        <v>-5.3000000000000001E-5</v>
      </c>
      <c r="R56" s="30">
        <v>3.6758730372993736E-2</v>
      </c>
      <c r="S56" s="43">
        <v>-3.21E-4</v>
      </c>
      <c r="T56" s="43">
        <v>-2.9799999999999998E-4</v>
      </c>
      <c r="U56" s="43">
        <v>-3.4E-5</v>
      </c>
      <c r="W56" s="30">
        <v>3.341706357299374E-2</v>
      </c>
      <c r="X56" s="43">
        <v>-3.77E-4</v>
      </c>
      <c r="Y56" s="43">
        <v>-3.4499999999999998E-4</v>
      </c>
      <c r="Z56" s="43">
        <v>1.4E-5</v>
      </c>
      <c r="AA56" s="30">
        <v>3.6758730372993736E-2</v>
      </c>
      <c r="AB56" s="43">
        <v>-3.7399999999999998E-4</v>
      </c>
      <c r="AC56" s="43">
        <v>-3.4200000000000002E-4</v>
      </c>
      <c r="AD56" s="43">
        <v>1.5E-5</v>
      </c>
      <c r="AF56" s="30">
        <v>3.341706357299374E-2</v>
      </c>
      <c r="AG56" s="43">
        <v>-4.0400000000000001E-4</v>
      </c>
      <c r="AH56" s="43">
        <v>-3.7399999999999998E-4</v>
      </c>
      <c r="AI56" s="43">
        <v>-7.7000000000000001E-5</v>
      </c>
      <c r="AJ56" s="30">
        <v>3.6758730372993736E-2</v>
      </c>
      <c r="AK56" s="43">
        <v>-4.26E-4</v>
      </c>
      <c r="AL56" s="43">
        <v>-3.9300000000000001E-4</v>
      </c>
      <c r="AM56" s="43">
        <v>-5.8999999999999998E-5</v>
      </c>
      <c r="AO56" s="30">
        <v>3.341706357299374E-2</v>
      </c>
      <c r="AP56" s="43">
        <v>-2.33E-4</v>
      </c>
      <c r="AQ56" s="43">
        <v>-2.31E-4</v>
      </c>
      <c r="AR56" s="43">
        <v>-2.0900000000000001E-4</v>
      </c>
      <c r="AS56" s="30">
        <v>3.6758730372993736E-2</v>
      </c>
      <c r="AT56" s="43">
        <v>-2.32E-4</v>
      </c>
      <c r="AU56" s="43">
        <v>-2.3000000000000001E-4</v>
      </c>
      <c r="AV56" s="43">
        <v>-2.1000000000000001E-4</v>
      </c>
      <c r="AX56" s="30">
        <v>3.341706357299374E-2</v>
      </c>
      <c r="AY56" s="43">
        <v>-4.06E-4</v>
      </c>
      <c r="AZ56" s="43">
        <v>-3.7599999999999998E-4</v>
      </c>
      <c r="BA56" s="43">
        <v>-7.7000000000000001E-5</v>
      </c>
      <c r="BB56" s="30">
        <v>3.6758730372993736E-2</v>
      </c>
      <c r="BC56" s="43">
        <v>-4.2999999999999999E-4</v>
      </c>
      <c r="BD56" s="43">
        <v>-3.97E-4</v>
      </c>
      <c r="BE56" s="43">
        <v>-5.7000000000000003E-5</v>
      </c>
      <c r="BG56" s="30">
        <v>3.341706357299374E-2</v>
      </c>
      <c r="BH56" s="43">
        <v>-2.32E-4</v>
      </c>
      <c r="BI56" s="43">
        <v>-2.3000000000000001E-4</v>
      </c>
      <c r="BJ56" s="43">
        <v>-2.12E-4</v>
      </c>
      <c r="BK56" s="30">
        <v>3.6758730372993736E-2</v>
      </c>
      <c r="BL56" s="43">
        <v>-2.3000000000000001E-4</v>
      </c>
      <c r="BM56" s="43">
        <v>-2.2900000000000001E-4</v>
      </c>
      <c r="BN56" s="43">
        <v>-2.14E-4</v>
      </c>
      <c r="BP56" s="30">
        <v>3.341706357299374E-2</v>
      </c>
      <c r="BQ56" s="43">
        <v>-3.6200000000000002E-4</v>
      </c>
      <c r="BR56" s="43">
        <v>-3.2600000000000001E-4</v>
      </c>
      <c r="BS56" s="43">
        <v>2.6999999999999999E-5</v>
      </c>
      <c r="BT56" s="30">
        <v>3.6758730372993736E-2</v>
      </c>
      <c r="BU56" s="43">
        <v>-3.8400000000000001E-4</v>
      </c>
      <c r="BV56" s="43">
        <v>-3.4499999999999998E-4</v>
      </c>
      <c r="BW56" s="43">
        <v>4.3000000000000002E-5</v>
      </c>
      <c r="BY56" s="30">
        <v>3.341706357299374E-2</v>
      </c>
      <c r="BZ56" s="43">
        <v>-1.9699999999999999E-4</v>
      </c>
      <c r="CA56" s="43">
        <v>-1.8900000000000001E-4</v>
      </c>
      <c r="CB56" s="43">
        <v>-1.02E-4</v>
      </c>
      <c r="CC56" s="30">
        <v>3.6758730372993736E-2</v>
      </c>
      <c r="CD56" s="43">
        <v>-1.9699999999999999E-4</v>
      </c>
      <c r="CE56" s="43">
        <v>-1.8799999999999999E-4</v>
      </c>
      <c r="CF56" s="43">
        <v>-1.0399999999999999E-4</v>
      </c>
      <c r="CH56" s="30">
        <v>3.341706357299374E-2</v>
      </c>
      <c r="CI56" s="43">
        <v>-5.7300000000000005E-4</v>
      </c>
      <c r="CJ56" s="43">
        <v>-5.7700000000000004E-4</v>
      </c>
      <c r="CK56" s="43">
        <v>1.2E-4</v>
      </c>
      <c r="CL56" s="30">
        <v>3.6758730372993736E-2</v>
      </c>
      <c r="CM56" s="43">
        <v>-6.2100000000000002E-4</v>
      </c>
      <c r="CN56" s="43">
        <v>-6.2600000000000004E-4</v>
      </c>
      <c r="CO56" s="43">
        <v>1.75E-4</v>
      </c>
      <c r="CQ56" s="30">
        <v>3.341706357299374E-2</v>
      </c>
      <c r="CR56" s="43">
        <v>-3.5300000000000002E-4</v>
      </c>
      <c r="CS56" s="43">
        <v>-3.5500000000000001E-4</v>
      </c>
      <c r="CT56" s="43">
        <v>-9.1000000000000003E-5</v>
      </c>
      <c r="CU56" s="30">
        <v>3.6758730372993736E-2</v>
      </c>
      <c r="CV56" s="43">
        <v>-3.6299999999999999E-4</v>
      </c>
      <c r="CW56" s="43">
        <v>-3.6499999999999998E-4</v>
      </c>
      <c r="CX56" s="43">
        <v>-8.1000000000000004E-5</v>
      </c>
    </row>
    <row r="57" spans="14:102" x14ac:dyDescent="0.25">
      <c r="N57" s="30">
        <v>3.411324415632707E-2</v>
      </c>
      <c r="O57" s="43">
        <v>-3.0600000000000001E-4</v>
      </c>
      <c r="P57" s="43">
        <v>-2.8499999999999999E-4</v>
      </c>
      <c r="Q57" s="43">
        <v>-4.8999999999999998E-5</v>
      </c>
      <c r="R57" s="30">
        <v>3.7594147072993744E-2</v>
      </c>
      <c r="S57" s="43">
        <v>-3.2600000000000001E-4</v>
      </c>
      <c r="T57" s="43">
        <v>-3.0200000000000002E-4</v>
      </c>
      <c r="U57" s="43">
        <v>-2.9E-5</v>
      </c>
      <c r="W57" s="30">
        <v>3.411324415632707E-2</v>
      </c>
      <c r="X57" s="43">
        <v>-3.77E-4</v>
      </c>
      <c r="Y57" s="43">
        <v>-3.4400000000000001E-4</v>
      </c>
      <c r="Z57" s="43">
        <v>1.4E-5</v>
      </c>
      <c r="AA57" s="30">
        <v>3.7594147072993744E-2</v>
      </c>
      <c r="AB57" s="43">
        <v>-3.7399999999999998E-4</v>
      </c>
      <c r="AC57" s="43">
        <v>-3.4200000000000002E-4</v>
      </c>
      <c r="AD57" s="43">
        <v>1.5999999999999999E-5</v>
      </c>
      <c r="AF57" s="30">
        <v>3.411324415632707E-2</v>
      </c>
      <c r="AG57" s="43">
        <v>-4.08E-4</v>
      </c>
      <c r="AH57" s="43">
        <v>-3.7800000000000003E-4</v>
      </c>
      <c r="AI57" s="43">
        <v>-7.2999999999999999E-5</v>
      </c>
      <c r="AJ57" s="30">
        <v>3.7594147072993744E-2</v>
      </c>
      <c r="AK57" s="43">
        <v>-4.3199999999999998E-4</v>
      </c>
      <c r="AL57" s="43">
        <v>-3.9800000000000002E-4</v>
      </c>
      <c r="AM57" s="43">
        <v>-5.3999999999999998E-5</v>
      </c>
      <c r="AO57" s="30">
        <v>3.411324415632707E-2</v>
      </c>
      <c r="AP57" s="43">
        <v>-2.33E-4</v>
      </c>
      <c r="AQ57" s="43">
        <v>-2.31E-4</v>
      </c>
      <c r="AR57" s="43">
        <v>-2.0900000000000001E-4</v>
      </c>
      <c r="AS57" s="30">
        <v>3.7594147072993744E-2</v>
      </c>
      <c r="AT57" s="43">
        <v>-2.32E-4</v>
      </c>
      <c r="AU57" s="43">
        <v>-2.3000000000000001E-4</v>
      </c>
      <c r="AV57" s="43">
        <v>-2.1000000000000001E-4</v>
      </c>
      <c r="AX57" s="30">
        <v>3.411324415632707E-2</v>
      </c>
      <c r="AY57" s="43">
        <v>-4.0999999999999999E-4</v>
      </c>
      <c r="AZ57" s="43">
        <v>-3.8000000000000002E-4</v>
      </c>
      <c r="BA57" s="43">
        <v>-7.2999999999999999E-5</v>
      </c>
      <c r="BB57" s="30">
        <v>3.7594147072993744E-2</v>
      </c>
      <c r="BC57" s="43">
        <v>-4.3600000000000003E-4</v>
      </c>
      <c r="BD57" s="43">
        <v>-4.0200000000000001E-4</v>
      </c>
      <c r="BE57" s="43">
        <v>-5.1999999999999997E-5</v>
      </c>
      <c r="BG57" s="30">
        <v>3.411324415632707E-2</v>
      </c>
      <c r="BH57" s="43">
        <v>-2.32E-4</v>
      </c>
      <c r="BI57" s="43">
        <v>-2.3000000000000001E-4</v>
      </c>
      <c r="BJ57" s="43">
        <v>-2.13E-4</v>
      </c>
      <c r="BK57" s="30">
        <v>3.7594147072993744E-2</v>
      </c>
      <c r="BL57" s="43">
        <v>-2.3000000000000001E-4</v>
      </c>
      <c r="BM57" s="43">
        <v>-2.2800000000000001E-4</v>
      </c>
      <c r="BN57" s="43">
        <v>-2.14E-4</v>
      </c>
      <c r="BP57" s="30">
        <v>3.411324415632707E-2</v>
      </c>
      <c r="BQ57" s="43">
        <v>-3.6600000000000001E-4</v>
      </c>
      <c r="BR57" s="43">
        <v>-3.3E-4</v>
      </c>
      <c r="BS57" s="43">
        <v>3.0000000000000001E-5</v>
      </c>
      <c r="BT57" s="30">
        <v>3.7594147072993744E-2</v>
      </c>
      <c r="BU57" s="43">
        <v>-3.8999999999999999E-4</v>
      </c>
      <c r="BV57" s="43">
        <v>-3.5E-4</v>
      </c>
      <c r="BW57" s="43">
        <v>4.6999999999999997E-5</v>
      </c>
      <c r="BY57" s="30">
        <v>3.411324415632707E-2</v>
      </c>
      <c r="BZ57" s="43">
        <v>-1.9699999999999999E-4</v>
      </c>
      <c r="CA57" s="43">
        <v>-1.8799999999999999E-4</v>
      </c>
      <c r="CB57" s="43">
        <v>-1.02E-4</v>
      </c>
      <c r="CC57" s="30">
        <v>3.7594147072993744E-2</v>
      </c>
      <c r="CD57" s="43">
        <v>-1.9699999999999999E-4</v>
      </c>
      <c r="CE57" s="43">
        <v>-1.8799999999999999E-4</v>
      </c>
      <c r="CF57" s="43">
        <v>-1.05E-4</v>
      </c>
      <c r="CH57" s="30">
        <v>3.411324415632707E-2</v>
      </c>
      <c r="CI57" s="43">
        <v>-5.8200000000000005E-4</v>
      </c>
      <c r="CJ57" s="43">
        <v>-5.8600000000000004E-4</v>
      </c>
      <c r="CK57" s="43">
        <v>1.2799999999999999E-4</v>
      </c>
      <c r="CL57" s="30">
        <v>3.7594147072993744E-2</v>
      </c>
      <c r="CM57" s="43">
        <v>-6.3299999999999999E-4</v>
      </c>
      <c r="CN57" s="43">
        <v>-6.38E-4</v>
      </c>
      <c r="CO57" s="43">
        <v>1.8900000000000001E-4</v>
      </c>
      <c r="CQ57" s="30">
        <v>3.411324415632707E-2</v>
      </c>
      <c r="CR57" s="43">
        <v>-3.5599999999999998E-4</v>
      </c>
      <c r="CS57" s="43">
        <v>-3.57E-4</v>
      </c>
      <c r="CT57" s="43">
        <v>-8.8999999999999995E-5</v>
      </c>
      <c r="CU57" s="30">
        <v>3.7594147072993744E-2</v>
      </c>
      <c r="CV57" s="43">
        <v>-3.6499999999999998E-4</v>
      </c>
      <c r="CW57" s="43">
        <v>-3.6699999999999998E-4</v>
      </c>
      <c r="CX57" s="43">
        <v>-7.8999999999999996E-5</v>
      </c>
    </row>
    <row r="58" spans="14:102" x14ac:dyDescent="0.25">
      <c r="N58" s="30">
        <v>3.4809424739660401E-2</v>
      </c>
      <c r="O58" s="43">
        <v>-3.1E-4</v>
      </c>
      <c r="P58" s="43">
        <v>-2.8800000000000001E-4</v>
      </c>
      <c r="Q58" s="43">
        <v>-4.5000000000000003E-5</v>
      </c>
      <c r="R58" s="30">
        <v>3.8429563772993745E-2</v>
      </c>
      <c r="S58" s="43">
        <v>-3.3100000000000002E-4</v>
      </c>
      <c r="T58" s="43">
        <v>-3.0600000000000001E-4</v>
      </c>
      <c r="U58" s="43">
        <v>-2.4000000000000001E-5</v>
      </c>
      <c r="W58" s="30">
        <v>3.4809424739660401E-2</v>
      </c>
      <c r="X58" s="43">
        <v>-3.7599999999999998E-4</v>
      </c>
      <c r="Y58" s="43">
        <v>-3.4400000000000001E-4</v>
      </c>
      <c r="Z58" s="43">
        <v>1.4E-5</v>
      </c>
      <c r="AA58" s="30">
        <v>3.8429563772993745E-2</v>
      </c>
      <c r="AB58" s="43">
        <v>-3.7300000000000001E-4</v>
      </c>
      <c r="AC58" s="43">
        <v>-3.4099999999999999E-4</v>
      </c>
      <c r="AD58" s="43">
        <v>1.5999999999999999E-5</v>
      </c>
      <c r="AF58" s="30">
        <v>3.4809424739660401E-2</v>
      </c>
      <c r="AG58" s="43">
        <v>-4.1399999999999998E-4</v>
      </c>
      <c r="AH58" s="43">
        <v>-3.8200000000000002E-4</v>
      </c>
      <c r="AI58" s="43">
        <v>-6.8999999999999997E-5</v>
      </c>
      <c r="AJ58" s="30">
        <v>3.8429563772993745E-2</v>
      </c>
      <c r="AK58" s="43">
        <v>-4.3800000000000002E-4</v>
      </c>
      <c r="AL58" s="43">
        <v>-4.0299999999999998E-4</v>
      </c>
      <c r="AM58" s="43">
        <v>-4.8999999999999998E-5</v>
      </c>
      <c r="AO58" s="30">
        <v>3.4809424739660401E-2</v>
      </c>
      <c r="AP58" s="43">
        <v>-2.33E-4</v>
      </c>
      <c r="AQ58" s="43">
        <v>-2.31E-4</v>
      </c>
      <c r="AR58" s="43">
        <v>-2.1000000000000001E-4</v>
      </c>
      <c r="AS58" s="30">
        <v>3.8429563772993745E-2</v>
      </c>
      <c r="AT58" s="43">
        <v>-2.31E-4</v>
      </c>
      <c r="AU58" s="43">
        <v>-2.3000000000000001E-4</v>
      </c>
      <c r="AV58" s="43">
        <v>-2.1000000000000001E-4</v>
      </c>
      <c r="AX58" s="30">
        <v>3.4809424739660401E-2</v>
      </c>
      <c r="AY58" s="43">
        <v>-4.15E-4</v>
      </c>
      <c r="AZ58" s="43">
        <v>-3.8400000000000001E-4</v>
      </c>
      <c r="BA58" s="43">
        <v>-6.8999999999999997E-5</v>
      </c>
      <c r="BB58" s="30">
        <v>3.8429563772993745E-2</v>
      </c>
      <c r="BC58" s="43">
        <v>-4.4200000000000001E-4</v>
      </c>
      <c r="BD58" s="43">
        <v>-4.0700000000000003E-4</v>
      </c>
      <c r="BE58" s="43">
        <v>-4.6999999999999997E-5</v>
      </c>
      <c r="BG58" s="30">
        <v>3.4809424739660401E-2</v>
      </c>
      <c r="BH58" s="43">
        <v>-2.31E-4</v>
      </c>
      <c r="BI58" s="43">
        <v>-2.3000000000000001E-4</v>
      </c>
      <c r="BJ58" s="43">
        <v>-2.13E-4</v>
      </c>
      <c r="BK58" s="30">
        <v>3.8429563772993745E-2</v>
      </c>
      <c r="BL58" s="43">
        <v>-2.2900000000000001E-4</v>
      </c>
      <c r="BM58" s="43">
        <v>-2.2800000000000001E-4</v>
      </c>
      <c r="BN58" s="43">
        <v>-2.14E-4</v>
      </c>
      <c r="BP58" s="30">
        <v>3.4809424739660401E-2</v>
      </c>
      <c r="BQ58" s="43">
        <v>-3.7199999999999999E-4</v>
      </c>
      <c r="BR58" s="43">
        <v>-3.3500000000000001E-4</v>
      </c>
      <c r="BS58" s="43">
        <v>3.4E-5</v>
      </c>
      <c r="BT58" s="30">
        <v>3.8429563772993745E-2</v>
      </c>
      <c r="BU58" s="43">
        <v>-3.9599999999999998E-4</v>
      </c>
      <c r="BV58" s="43">
        <v>-3.5500000000000001E-4</v>
      </c>
      <c r="BW58" s="43">
        <v>5.1E-5</v>
      </c>
      <c r="BY58" s="30">
        <v>3.4809424739660401E-2</v>
      </c>
      <c r="BZ58" s="43">
        <v>-1.9699999999999999E-4</v>
      </c>
      <c r="CA58" s="43">
        <v>-1.8799999999999999E-4</v>
      </c>
      <c r="CB58" s="43">
        <v>-1.03E-4</v>
      </c>
      <c r="CC58" s="30">
        <v>3.8429563772993745E-2</v>
      </c>
      <c r="CD58" s="43">
        <v>-1.9699999999999999E-4</v>
      </c>
      <c r="CE58" s="43">
        <v>-1.8799999999999999E-4</v>
      </c>
      <c r="CF58" s="43">
        <v>-1.05E-4</v>
      </c>
      <c r="CH58" s="30">
        <v>3.4809424739660401E-2</v>
      </c>
      <c r="CI58" s="43">
        <v>-5.9199999999999997E-4</v>
      </c>
      <c r="CJ58" s="43">
        <v>-5.9699999999999998E-4</v>
      </c>
      <c r="CK58" s="43">
        <v>1.4100000000000001E-4</v>
      </c>
      <c r="CL58" s="30">
        <v>3.8429563772993745E-2</v>
      </c>
      <c r="CM58" s="43">
        <v>-6.4499999999999996E-4</v>
      </c>
      <c r="CN58" s="43">
        <v>-6.4999999999999997E-4</v>
      </c>
      <c r="CO58" s="43">
        <v>2.03E-4</v>
      </c>
      <c r="CQ58" s="30">
        <v>3.4809424739660401E-2</v>
      </c>
      <c r="CR58" s="43">
        <v>-3.57E-4</v>
      </c>
      <c r="CS58" s="43">
        <v>-3.59E-4</v>
      </c>
      <c r="CT58" s="43">
        <v>-8.7000000000000001E-5</v>
      </c>
      <c r="CU58" s="30">
        <v>3.8429563772993745E-2</v>
      </c>
      <c r="CV58" s="43">
        <v>-3.68E-4</v>
      </c>
      <c r="CW58" s="43">
        <v>-3.6900000000000002E-4</v>
      </c>
      <c r="CX58" s="43">
        <v>-7.7000000000000001E-5</v>
      </c>
    </row>
    <row r="59" spans="14:102" x14ac:dyDescent="0.25">
      <c r="N59" s="30">
        <v>3.5505605322993732E-2</v>
      </c>
      <c r="O59" s="43">
        <v>-3.1399999999999999E-4</v>
      </c>
      <c r="P59" s="43">
        <v>-2.92E-4</v>
      </c>
      <c r="Q59" s="43">
        <v>-4.1E-5</v>
      </c>
      <c r="R59" s="30">
        <v>3.9264980472993746E-2</v>
      </c>
      <c r="S59" s="43">
        <v>-3.3599999999999998E-4</v>
      </c>
      <c r="T59" s="43">
        <v>-3.1E-4</v>
      </c>
      <c r="U59" s="43">
        <v>-1.9000000000000001E-5</v>
      </c>
      <c r="W59" s="30">
        <v>3.5505605322993732E-2</v>
      </c>
      <c r="X59" s="43">
        <v>-3.7500000000000001E-4</v>
      </c>
      <c r="Y59" s="43">
        <v>-3.4299999999999999E-4</v>
      </c>
      <c r="Z59" s="43">
        <v>1.5E-5</v>
      </c>
      <c r="AA59" s="30">
        <v>3.9264980472993746E-2</v>
      </c>
      <c r="AB59" s="43">
        <v>-3.7300000000000001E-4</v>
      </c>
      <c r="AC59" s="43">
        <v>-3.4099999999999999E-4</v>
      </c>
      <c r="AD59" s="43">
        <v>1.5999999999999999E-5</v>
      </c>
      <c r="AF59" s="30">
        <v>3.5505605322993732E-2</v>
      </c>
      <c r="AG59" s="43">
        <v>-4.1800000000000002E-4</v>
      </c>
      <c r="AH59" s="43">
        <v>-3.86E-4</v>
      </c>
      <c r="AI59" s="43">
        <v>-6.4999999999999994E-5</v>
      </c>
      <c r="AJ59" s="30">
        <v>3.9264980472993746E-2</v>
      </c>
      <c r="AK59" s="43">
        <v>-4.44E-4</v>
      </c>
      <c r="AL59" s="43">
        <v>-4.08E-4</v>
      </c>
      <c r="AM59" s="43">
        <v>-4.3999999999999999E-5</v>
      </c>
      <c r="AO59" s="30">
        <v>3.5505605322993732E-2</v>
      </c>
      <c r="AP59" s="43">
        <v>-2.32E-4</v>
      </c>
      <c r="AQ59" s="43">
        <v>-2.31E-4</v>
      </c>
      <c r="AR59" s="43">
        <v>-2.1000000000000001E-4</v>
      </c>
      <c r="AS59" s="30">
        <v>3.9264980472993746E-2</v>
      </c>
      <c r="AT59" s="43">
        <v>-2.31E-4</v>
      </c>
      <c r="AU59" s="43">
        <v>-2.3000000000000001E-4</v>
      </c>
      <c r="AV59" s="43">
        <v>-2.1100000000000001E-4</v>
      </c>
      <c r="AX59" s="30">
        <v>3.5505605322993732E-2</v>
      </c>
      <c r="AY59" s="43">
        <v>-4.2000000000000002E-4</v>
      </c>
      <c r="AZ59" s="43">
        <v>-3.88E-4</v>
      </c>
      <c r="BA59" s="43">
        <v>-6.4999999999999994E-5</v>
      </c>
      <c r="BB59" s="30">
        <v>3.9264980472993746E-2</v>
      </c>
      <c r="BC59" s="43">
        <v>-4.4799999999999999E-4</v>
      </c>
      <c r="BD59" s="43">
        <v>-4.1199999999999999E-4</v>
      </c>
      <c r="BE59" s="43">
        <v>-4.1999999999999998E-5</v>
      </c>
      <c r="BG59" s="30">
        <v>3.5505605322993732E-2</v>
      </c>
      <c r="BH59" s="43">
        <v>-2.31E-4</v>
      </c>
      <c r="BI59" s="43">
        <v>-2.3000000000000001E-4</v>
      </c>
      <c r="BJ59" s="43">
        <v>-2.13E-4</v>
      </c>
      <c r="BK59" s="30">
        <v>3.9264980472993746E-2</v>
      </c>
      <c r="BL59" s="43">
        <v>-2.2900000000000001E-4</v>
      </c>
      <c r="BM59" s="43">
        <v>-2.2800000000000001E-4</v>
      </c>
      <c r="BN59" s="43">
        <v>-2.1499999999999999E-4</v>
      </c>
      <c r="BP59" s="30">
        <v>3.5505605322993732E-2</v>
      </c>
      <c r="BQ59" s="43">
        <v>-3.7599999999999998E-4</v>
      </c>
      <c r="BR59" s="43">
        <v>-3.39E-4</v>
      </c>
      <c r="BS59" s="43">
        <v>3.6999999999999998E-5</v>
      </c>
      <c r="BT59" s="30">
        <v>3.9264980472993746E-2</v>
      </c>
      <c r="BU59" s="43">
        <v>-4.0200000000000001E-4</v>
      </c>
      <c r="BV59" s="43">
        <v>-3.6000000000000002E-4</v>
      </c>
      <c r="BW59" s="43">
        <v>5.5000000000000002E-5</v>
      </c>
      <c r="BY59" s="30">
        <v>3.5505605322993732E-2</v>
      </c>
      <c r="BZ59" s="43">
        <v>-1.9699999999999999E-4</v>
      </c>
      <c r="CA59" s="43">
        <v>-1.8900000000000001E-4</v>
      </c>
      <c r="CB59" s="43">
        <v>-1.03E-4</v>
      </c>
      <c r="CC59" s="30">
        <v>3.9264980472993746E-2</v>
      </c>
      <c r="CD59" s="43">
        <v>-1.9699999999999999E-4</v>
      </c>
      <c r="CE59" s="43">
        <v>-1.8799999999999999E-4</v>
      </c>
      <c r="CF59" s="43">
        <v>-1.06E-4</v>
      </c>
      <c r="CH59" s="30">
        <v>3.5505605322993732E-2</v>
      </c>
      <c r="CI59" s="43">
        <v>-6.02E-4</v>
      </c>
      <c r="CJ59" s="43">
        <v>-6.0700000000000001E-4</v>
      </c>
      <c r="CK59" s="43">
        <v>1.5300000000000001E-4</v>
      </c>
      <c r="CL59" s="30">
        <v>3.9264980472993746E-2</v>
      </c>
      <c r="CM59" s="43">
        <v>-6.5700000000000003E-4</v>
      </c>
      <c r="CN59" s="43">
        <v>-6.6200000000000005E-4</v>
      </c>
      <c r="CO59" s="43">
        <v>2.1699999999999999E-4</v>
      </c>
      <c r="CQ59" s="30">
        <v>3.5505605322993732E-2</v>
      </c>
      <c r="CR59" s="43">
        <v>-3.59E-4</v>
      </c>
      <c r="CS59" s="43">
        <v>-3.6099999999999999E-4</v>
      </c>
      <c r="CT59" s="43">
        <v>-8.5000000000000006E-5</v>
      </c>
      <c r="CU59" s="30">
        <v>3.9264980472993746E-2</v>
      </c>
      <c r="CV59" s="43">
        <v>-3.6999999999999999E-4</v>
      </c>
      <c r="CW59" s="43">
        <v>-3.7199999999999999E-4</v>
      </c>
      <c r="CX59" s="43">
        <v>-7.3999999999999996E-5</v>
      </c>
    </row>
    <row r="60" spans="14:102" x14ac:dyDescent="0.25">
      <c r="N60" s="30">
        <v>3.6201785906327062E-2</v>
      </c>
      <c r="O60" s="43">
        <v>-3.19E-4</v>
      </c>
      <c r="P60" s="43">
        <v>-2.9599999999999998E-4</v>
      </c>
      <c r="Q60" s="43">
        <v>-3.6000000000000001E-5</v>
      </c>
      <c r="R60" s="30">
        <v>4.0100397172993754E-2</v>
      </c>
      <c r="S60" s="43">
        <v>-3.4099999999999999E-4</v>
      </c>
      <c r="T60" s="43">
        <v>-3.1399999999999999E-4</v>
      </c>
      <c r="U60" s="43">
        <v>-1.4E-5</v>
      </c>
      <c r="W60" s="30">
        <v>3.6201785906327062E-2</v>
      </c>
      <c r="X60" s="43">
        <v>-3.7500000000000001E-4</v>
      </c>
      <c r="Y60" s="43">
        <v>-3.4299999999999999E-4</v>
      </c>
      <c r="Z60" s="43">
        <v>1.5E-5</v>
      </c>
      <c r="AA60" s="30">
        <v>4.0100397172993754E-2</v>
      </c>
      <c r="AB60" s="43">
        <v>-3.7199999999999999E-4</v>
      </c>
      <c r="AC60" s="43">
        <v>-3.4000000000000002E-4</v>
      </c>
      <c r="AD60" s="43">
        <v>1.7E-5</v>
      </c>
      <c r="AF60" s="30">
        <v>3.6201785906327062E-2</v>
      </c>
      <c r="AG60" s="43">
        <v>-4.2299999999999998E-4</v>
      </c>
      <c r="AH60" s="43">
        <v>-3.8999999999999999E-4</v>
      </c>
      <c r="AI60" s="43">
        <v>-6.0999999999999999E-5</v>
      </c>
      <c r="AJ60" s="30">
        <v>4.0100397172993754E-2</v>
      </c>
      <c r="AK60" s="43">
        <v>-4.4999999999999999E-4</v>
      </c>
      <c r="AL60" s="43">
        <v>-4.1300000000000001E-4</v>
      </c>
      <c r="AM60" s="43">
        <v>-3.8999999999999999E-5</v>
      </c>
      <c r="AO60" s="30">
        <v>3.6201785906327062E-2</v>
      </c>
      <c r="AP60" s="43">
        <v>-2.32E-4</v>
      </c>
      <c r="AQ60" s="43">
        <v>-2.3000000000000001E-4</v>
      </c>
      <c r="AR60" s="43">
        <v>-2.1000000000000001E-4</v>
      </c>
      <c r="AS60" s="30">
        <v>4.0100397172993754E-2</v>
      </c>
      <c r="AT60" s="43">
        <v>-2.31E-4</v>
      </c>
      <c r="AU60" s="43">
        <v>-2.2900000000000001E-4</v>
      </c>
      <c r="AV60" s="43">
        <v>-2.1100000000000001E-4</v>
      </c>
      <c r="AX60" s="30">
        <v>3.6201785906327062E-2</v>
      </c>
      <c r="AY60" s="43">
        <v>-4.2499999999999998E-4</v>
      </c>
      <c r="AZ60" s="43">
        <v>-3.9199999999999999E-4</v>
      </c>
      <c r="BA60" s="43">
        <v>-6.0999999999999999E-5</v>
      </c>
      <c r="BB60" s="30">
        <v>4.0100397172993754E-2</v>
      </c>
      <c r="BC60" s="43">
        <v>-4.5399999999999998E-4</v>
      </c>
      <c r="BD60" s="43">
        <v>-4.17E-4</v>
      </c>
      <c r="BE60" s="43">
        <v>-3.8000000000000002E-5</v>
      </c>
      <c r="BG60" s="30">
        <v>3.6201785906327062E-2</v>
      </c>
      <c r="BH60" s="43">
        <v>-2.31E-4</v>
      </c>
      <c r="BI60" s="43">
        <v>-2.2900000000000001E-4</v>
      </c>
      <c r="BJ60" s="43">
        <v>-2.13E-4</v>
      </c>
      <c r="BK60" s="30">
        <v>4.0100397172993754E-2</v>
      </c>
      <c r="BL60" s="43">
        <v>-2.2900000000000001E-4</v>
      </c>
      <c r="BM60" s="43">
        <v>-2.2699999999999999E-4</v>
      </c>
      <c r="BN60" s="43">
        <v>-2.1499999999999999E-4</v>
      </c>
      <c r="BP60" s="30">
        <v>3.6201785906327062E-2</v>
      </c>
      <c r="BQ60" s="43">
        <v>-3.8099999999999999E-4</v>
      </c>
      <c r="BR60" s="43">
        <v>-3.4299999999999999E-4</v>
      </c>
      <c r="BS60" s="43">
        <v>4.1E-5</v>
      </c>
      <c r="BT60" s="30">
        <v>4.0100397172993754E-2</v>
      </c>
      <c r="BU60" s="43">
        <v>-4.08E-4</v>
      </c>
      <c r="BV60" s="43">
        <v>-3.6499999999999998E-4</v>
      </c>
      <c r="BW60" s="43">
        <v>5.8999999999999998E-5</v>
      </c>
      <c r="BY60" s="30">
        <v>3.6201785906327062E-2</v>
      </c>
      <c r="BZ60" s="43">
        <v>-1.9699999999999999E-4</v>
      </c>
      <c r="CA60" s="43">
        <v>-1.8900000000000001E-4</v>
      </c>
      <c r="CB60" s="43">
        <v>-1.03E-4</v>
      </c>
      <c r="CC60" s="30">
        <v>4.0100397172993754E-2</v>
      </c>
      <c r="CD60" s="43">
        <v>-1.9699999999999999E-4</v>
      </c>
      <c r="CE60" s="43">
        <v>-1.8799999999999999E-4</v>
      </c>
      <c r="CF60" s="43">
        <v>-1.06E-4</v>
      </c>
      <c r="CH60" s="30">
        <v>3.6201785906327062E-2</v>
      </c>
      <c r="CI60" s="43">
        <v>-6.1200000000000002E-4</v>
      </c>
      <c r="CJ60" s="43">
        <v>-6.1700000000000004E-4</v>
      </c>
      <c r="CK60" s="43">
        <v>1.65E-4</v>
      </c>
      <c r="CL60" s="30">
        <v>4.0100397172993754E-2</v>
      </c>
      <c r="CM60" s="43">
        <v>-6.69E-4</v>
      </c>
      <c r="CN60" s="43">
        <v>-6.7500000000000004E-4</v>
      </c>
      <c r="CO60" s="43">
        <v>2.31E-4</v>
      </c>
      <c r="CQ60" s="30">
        <v>3.6201785906327062E-2</v>
      </c>
      <c r="CR60" s="43">
        <v>-3.6099999999999999E-4</v>
      </c>
      <c r="CS60" s="43">
        <v>-3.6299999999999999E-4</v>
      </c>
      <c r="CT60" s="43">
        <v>-8.2999999999999998E-5</v>
      </c>
      <c r="CU60" s="30">
        <v>4.0100397172993754E-2</v>
      </c>
      <c r="CV60" s="43">
        <v>-3.7300000000000001E-4</v>
      </c>
      <c r="CW60" s="43">
        <v>-3.7399999999999998E-4</v>
      </c>
      <c r="CX60" s="43">
        <v>-7.2000000000000002E-5</v>
      </c>
    </row>
    <row r="61" spans="14:102" x14ac:dyDescent="0.25">
      <c r="N61" s="30">
        <v>3.6897966489660393E-2</v>
      </c>
      <c r="O61" s="43">
        <v>-3.2299999999999999E-4</v>
      </c>
      <c r="P61" s="43">
        <v>-2.99E-4</v>
      </c>
      <c r="Q61" s="43">
        <v>-3.1999999999999999E-5</v>
      </c>
      <c r="R61" s="30">
        <v>4.0935813872993755E-2</v>
      </c>
      <c r="S61" s="43">
        <v>-3.4699999999999998E-4</v>
      </c>
      <c r="T61" s="43">
        <v>-3.2000000000000003E-4</v>
      </c>
      <c r="U61" s="43">
        <v>-7.9999999999999996E-6</v>
      </c>
      <c r="W61" s="30">
        <v>3.6897966489660393E-2</v>
      </c>
      <c r="X61" s="43">
        <v>-3.7399999999999998E-4</v>
      </c>
      <c r="Y61" s="43">
        <v>-3.4200000000000002E-4</v>
      </c>
      <c r="Z61" s="43">
        <v>1.5E-5</v>
      </c>
      <c r="AA61" s="30">
        <v>4.0935813872993755E-2</v>
      </c>
      <c r="AB61" s="43">
        <v>-3.7100000000000002E-4</v>
      </c>
      <c r="AC61" s="43">
        <v>-3.39E-4</v>
      </c>
      <c r="AD61" s="43">
        <v>1.5999999999999999E-5</v>
      </c>
      <c r="AF61" s="30">
        <v>3.6897966489660393E-2</v>
      </c>
      <c r="AG61" s="43">
        <v>-4.28E-4</v>
      </c>
      <c r="AH61" s="43">
        <v>-3.9399999999999998E-4</v>
      </c>
      <c r="AI61" s="43">
        <v>-5.7000000000000003E-5</v>
      </c>
      <c r="AJ61" s="30">
        <v>4.0935813872993755E-2</v>
      </c>
      <c r="AK61" s="43">
        <v>-4.5800000000000002E-4</v>
      </c>
      <c r="AL61" s="43">
        <v>-4.1899999999999999E-4</v>
      </c>
      <c r="AM61" s="43">
        <v>-3.3000000000000003E-5</v>
      </c>
      <c r="AO61" s="30">
        <v>3.6897966489660393E-2</v>
      </c>
      <c r="AP61" s="43">
        <v>-2.32E-4</v>
      </c>
      <c r="AQ61" s="43">
        <v>-2.3000000000000001E-4</v>
      </c>
      <c r="AR61" s="43">
        <v>-2.1000000000000001E-4</v>
      </c>
      <c r="AS61" s="30">
        <v>4.0935813872993755E-2</v>
      </c>
      <c r="AT61" s="43">
        <v>-2.3000000000000001E-4</v>
      </c>
      <c r="AU61" s="43">
        <v>-2.2900000000000001E-4</v>
      </c>
      <c r="AV61" s="43">
        <v>-2.12E-4</v>
      </c>
      <c r="AX61" s="30">
        <v>3.6897966489660393E-2</v>
      </c>
      <c r="AY61" s="43">
        <v>-4.2999999999999999E-4</v>
      </c>
      <c r="AZ61" s="43">
        <v>-3.9599999999999998E-4</v>
      </c>
      <c r="BA61" s="43">
        <v>-5.7000000000000003E-5</v>
      </c>
      <c r="BB61" s="30">
        <v>4.0935813872993755E-2</v>
      </c>
      <c r="BC61" s="43">
        <v>-4.6200000000000001E-4</v>
      </c>
      <c r="BD61" s="43">
        <v>-4.2299999999999998E-4</v>
      </c>
      <c r="BE61" s="43">
        <v>-3.1000000000000001E-5</v>
      </c>
      <c r="BG61" s="30">
        <v>3.6897966489660393E-2</v>
      </c>
      <c r="BH61" s="43">
        <v>-2.3000000000000001E-4</v>
      </c>
      <c r="BI61" s="43">
        <v>-2.2900000000000001E-4</v>
      </c>
      <c r="BJ61" s="43">
        <v>-2.13E-4</v>
      </c>
      <c r="BK61" s="30">
        <v>4.0935813872993755E-2</v>
      </c>
      <c r="BL61" s="43">
        <v>-2.2800000000000001E-4</v>
      </c>
      <c r="BM61" s="43">
        <v>-2.2699999999999999E-4</v>
      </c>
      <c r="BN61" s="43">
        <v>-2.1599999999999999E-4</v>
      </c>
      <c r="BP61" s="30">
        <v>3.6897966489660393E-2</v>
      </c>
      <c r="BQ61" s="43">
        <v>-3.86E-4</v>
      </c>
      <c r="BR61" s="43">
        <v>-3.4699999999999998E-4</v>
      </c>
      <c r="BS61" s="43">
        <v>4.3999999999999999E-5</v>
      </c>
      <c r="BT61" s="30">
        <v>4.0935813872993755E-2</v>
      </c>
      <c r="BU61" s="43">
        <v>-4.15E-4</v>
      </c>
      <c r="BV61" s="43">
        <v>-3.7100000000000002E-4</v>
      </c>
      <c r="BW61" s="43">
        <v>6.3999999999999997E-5</v>
      </c>
      <c r="BY61" s="30">
        <v>3.6897966489660393E-2</v>
      </c>
      <c r="BZ61" s="43">
        <v>-1.9699999999999999E-4</v>
      </c>
      <c r="CA61" s="43">
        <v>-1.8900000000000001E-4</v>
      </c>
      <c r="CB61" s="43">
        <v>-1.0399999999999999E-4</v>
      </c>
      <c r="CC61" s="30">
        <v>4.0935813872993755E-2</v>
      </c>
      <c r="CD61" s="43">
        <v>-1.9699999999999999E-4</v>
      </c>
      <c r="CE61" s="43">
        <v>-1.8900000000000001E-4</v>
      </c>
      <c r="CF61" s="43">
        <v>-1.06E-4</v>
      </c>
      <c r="CH61" s="30">
        <v>3.6897966489660393E-2</v>
      </c>
      <c r="CI61" s="43">
        <v>-6.2200000000000005E-4</v>
      </c>
      <c r="CJ61" s="43">
        <v>-6.2699999999999995E-4</v>
      </c>
      <c r="CK61" s="43">
        <v>1.76E-4</v>
      </c>
      <c r="CL61" s="30">
        <v>4.0935813872993755E-2</v>
      </c>
      <c r="CM61" s="43">
        <v>-6.87E-4</v>
      </c>
      <c r="CN61" s="43">
        <v>-6.9300000000000004E-4</v>
      </c>
      <c r="CO61" s="43">
        <v>2.81E-4</v>
      </c>
      <c r="CQ61" s="30">
        <v>3.6897966489660393E-2</v>
      </c>
      <c r="CR61" s="43">
        <v>-3.6299999999999999E-4</v>
      </c>
      <c r="CS61" s="43">
        <v>-3.6499999999999998E-4</v>
      </c>
      <c r="CT61" s="43">
        <v>-8.1000000000000004E-5</v>
      </c>
      <c r="CU61" s="30">
        <v>4.0935813872993755E-2</v>
      </c>
      <c r="CV61" s="43">
        <v>-3.7399999999999998E-4</v>
      </c>
      <c r="CW61" s="43">
        <v>-3.7599999999999998E-4</v>
      </c>
      <c r="CX61" s="43">
        <v>-6.9999999999999994E-5</v>
      </c>
    </row>
    <row r="62" spans="14:102" x14ac:dyDescent="0.25">
      <c r="N62" s="30">
        <v>3.7594147072993724E-2</v>
      </c>
      <c r="O62" s="43">
        <v>-3.2699999999999998E-4</v>
      </c>
      <c r="P62" s="43">
        <v>-3.0299999999999999E-4</v>
      </c>
      <c r="Q62" s="43">
        <v>-2.8E-5</v>
      </c>
      <c r="R62" s="30">
        <v>4.1771230572993721E-2</v>
      </c>
      <c r="S62" s="43">
        <v>-3.5399999999999999E-4</v>
      </c>
      <c r="T62" s="43">
        <v>-3.2499999999999999E-4</v>
      </c>
      <c r="U62" s="43">
        <v>-1.9999999999999999E-6</v>
      </c>
      <c r="W62" s="30">
        <v>3.7594147072993724E-2</v>
      </c>
      <c r="X62" s="43">
        <v>-3.7399999999999998E-4</v>
      </c>
      <c r="Y62" s="43">
        <v>-3.4200000000000002E-4</v>
      </c>
      <c r="Z62" s="43">
        <v>1.5E-5</v>
      </c>
      <c r="AA62" s="30">
        <v>4.1771230572993721E-2</v>
      </c>
      <c r="AB62" s="43">
        <v>-3.6999999999999999E-4</v>
      </c>
      <c r="AC62" s="43">
        <v>-3.3799999999999998E-4</v>
      </c>
      <c r="AD62" s="43">
        <v>1.5999999999999999E-5</v>
      </c>
      <c r="AF62" s="30">
        <v>3.7594147072993724E-2</v>
      </c>
      <c r="AG62" s="43">
        <v>-4.3300000000000001E-4</v>
      </c>
      <c r="AH62" s="43">
        <v>-3.9800000000000002E-4</v>
      </c>
      <c r="AI62" s="43">
        <v>-5.3000000000000001E-5</v>
      </c>
      <c r="AJ62" s="30">
        <v>4.1771230572993721E-2</v>
      </c>
      <c r="AK62" s="43">
        <v>-4.6500000000000003E-4</v>
      </c>
      <c r="AL62" s="43">
        <v>-4.2499999999999998E-4</v>
      </c>
      <c r="AM62" s="43">
        <v>-2.6999999999999999E-5</v>
      </c>
      <c r="AO62" s="30">
        <v>3.7594147072993724E-2</v>
      </c>
      <c r="AP62" s="43">
        <v>-2.31E-4</v>
      </c>
      <c r="AQ62" s="43">
        <v>-2.3000000000000001E-4</v>
      </c>
      <c r="AR62" s="43">
        <v>-2.1100000000000001E-4</v>
      </c>
      <c r="AS62" s="30">
        <v>4.1771230572993721E-2</v>
      </c>
      <c r="AT62" s="43">
        <v>-2.2900000000000001E-4</v>
      </c>
      <c r="AU62" s="43">
        <v>-2.2800000000000001E-4</v>
      </c>
      <c r="AV62" s="43">
        <v>-2.12E-4</v>
      </c>
      <c r="AX62" s="30">
        <v>3.7594147072993724E-2</v>
      </c>
      <c r="AY62" s="43">
        <v>-4.35E-4</v>
      </c>
      <c r="AZ62" s="43">
        <v>-4.0000000000000002E-4</v>
      </c>
      <c r="BA62" s="43">
        <v>-5.3000000000000001E-5</v>
      </c>
      <c r="BB62" s="30">
        <v>4.1771230572993721E-2</v>
      </c>
      <c r="BC62" s="43">
        <v>-4.6900000000000002E-4</v>
      </c>
      <c r="BD62" s="43">
        <v>-4.2900000000000002E-4</v>
      </c>
      <c r="BE62" s="43">
        <v>-2.5999999999999998E-5</v>
      </c>
      <c r="BG62" s="30">
        <v>3.7594147072993724E-2</v>
      </c>
      <c r="BH62" s="43">
        <v>-2.3000000000000001E-4</v>
      </c>
      <c r="BI62" s="43">
        <v>-2.2900000000000001E-4</v>
      </c>
      <c r="BJ62" s="43">
        <v>-2.14E-4</v>
      </c>
      <c r="BK62" s="30">
        <v>4.1771230572993721E-2</v>
      </c>
      <c r="BL62" s="43">
        <v>-2.2699999999999999E-4</v>
      </c>
      <c r="BM62" s="43">
        <v>-2.2599999999999999E-4</v>
      </c>
      <c r="BN62" s="43">
        <v>-2.1699999999999999E-4</v>
      </c>
      <c r="BP62" s="30">
        <v>3.7594147072993724E-2</v>
      </c>
      <c r="BQ62" s="43">
        <v>-3.9100000000000002E-4</v>
      </c>
      <c r="BR62" s="43">
        <v>-3.5100000000000002E-4</v>
      </c>
      <c r="BS62" s="43">
        <v>4.6999999999999997E-5</v>
      </c>
      <c r="BT62" s="30">
        <v>4.1771230572993721E-2</v>
      </c>
      <c r="BU62" s="43">
        <v>-4.2099999999999999E-4</v>
      </c>
      <c r="BV62" s="43">
        <v>-3.77E-4</v>
      </c>
      <c r="BW62" s="43">
        <v>6.8999999999999997E-5</v>
      </c>
      <c r="BY62" s="30">
        <v>3.7594147072993724E-2</v>
      </c>
      <c r="BZ62" s="43">
        <v>-1.9699999999999999E-4</v>
      </c>
      <c r="CA62" s="43">
        <v>-1.8900000000000001E-4</v>
      </c>
      <c r="CB62" s="43">
        <v>-1.0399999999999999E-4</v>
      </c>
      <c r="CC62" s="30">
        <v>4.1771230572993721E-2</v>
      </c>
      <c r="CD62" s="43">
        <v>-1.9699999999999999E-4</v>
      </c>
      <c r="CE62" s="43">
        <v>-1.8900000000000001E-4</v>
      </c>
      <c r="CF62" s="43">
        <v>-1.07E-4</v>
      </c>
      <c r="CH62" s="30">
        <v>3.7594147072993724E-2</v>
      </c>
      <c r="CI62" s="43">
        <v>-6.3199999999999997E-4</v>
      </c>
      <c r="CJ62" s="43">
        <v>-6.3699999999999998E-4</v>
      </c>
      <c r="CK62" s="43">
        <v>1.8799999999999999E-4</v>
      </c>
      <c r="CL62" s="30">
        <v>4.1771230572993721E-2</v>
      </c>
      <c r="CM62" s="43">
        <v>-7.0699999999999995E-4</v>
      </c>
      <c r="CN62" s="43">
        <v>-7.1199999999999996E-4</v>
      </c>
      <c r="CO62" s="43">
        <v>3.19E-4</v>
      </c>
      <c r="CQ62" s="30">
        <v>3.7594147072993724E-2</v>
      </c>
      <c r="CR62" s="43">
        <v>-3.6499999999999998E-4</v>
      </c>
      <c r="CS62" s="43">
        <v>-3.6699999999999998E-4</v>
      </c>
      <c r="CT62" s="43">
        <v>-7.8999999999999996E-5</v>
      </c>
      <c r="CU62" s="30">
        <v>4.1771230572993721E-2</v>
      </c>
      <c r="CV62" s="43">
        <v>-3.7599999999999998E-4</v>
      </c>
      <c r="CW62" s="43">
        <v>-3.7800000000000003E-4</v>
      </c>
      <c r="CX62" s="43">
        <v>-6.8999999999999997E-5</v>
      </c>
    </row>
    <row r="63" spans="14:102" x14ac:dyDescent="0.25">
      <c r="N63" s="30">
        <v>3.8290327656327054E-2</v>
      </c>
      <c r="O63" s="43">
        <v>-3.3199999999999999E-4</v>
      </c>
      <c r="P63" s="43">
        <v>-3.0699999999999998E-4</v>
      </c>
      <c r="Q63" s="43">
        <v>-2.4000000000000001E-5</v>
      </c>
      <c r="R63" s="30"/>
      <c r="W63" s="30">
        <v>3.8290327656327054E-2</v>
      </c>
      <c r="X63" s="43">
        <v>-3.7300000000000001E-4</v>
      </c>
      <c r="Y63" s="43">
        <v>-3.4099999999999999E-4</v>
      </c>
      <c r="Z63" s="43">
        <v>1.5999999999999999E-5</v>
      </c>
      <c r="AA63" s="30"/>
      <c r="AF63" s="30">
        <v>3.8290327656327054E-2</v>
      </c>
      <c r="AG63" s="43">
        <v>-4.3800000000000002E-4</v>
      </c>
      <c r="AH63" s="43">
        <v>-4.0200000000000001E-4</v>
      </c>
      <c r="AI63" s="43">
        <v>-4.8999999999999998E-5</v>
      </c>
      <c r="AJ63" s="30"/>
      <c r="AO63" s="30">
        <v>3.8290327656327054E-2</v>
      </c>
      <c r="AP63" s="43">
        <v>-2.31E-4</v>
      </c>
      <c r="AQ63" s="43">
        <v>-2.3000000000000001E-4</v>
      </c>
      <c r="AR63" s="43">
        <v>-2.1100000000000001E-4</v>
      </c>
      <c r="AS63" s="30"/>
      <c r="AX63" s="30">
        <v>3.8290327656327054E-2</v>
      </c>
      <c r="AY63" s="43">
        <v>-4.4000000000000002E-4</v>
      </c>
      <c r="AZ63" s="43">
        <v>-4.0400000000000001E-4</v>
      </c>
      <c r="BA63" s="43">
        <v>-5.0000000000000002E-5</v>
      </c>
      <c r="BB63" s="30"/>
      <c r="BG63" s="30">
        <v>3.8290327656327054E-2</v>
      </c>
      <c r="BH63" s="43">
        <v>-2.3000000000000001E-4</v>
      </c>
      <c r="BI63" s="43">
        <v>-2.2900000000000001E-4</v>
      </c>
      <c r="BJ63" s="43">
        <v>-2.14E-4</v>
      </c>
      <c r="BK63" s="30"/>
      <c r="BP63" s="30">
        <v>3.8290327656327054E-2</v>
      </c>
      <c r="BQ63" s="43">
        <v>-3.9599999999999998E-4</v>
      </c>
      <c r="BR63" s="43">
        <v>-3.5500000000000001E-4</v>
      </c>
      <c r="BS63" s="43">
        <v>5.1E-5</v>
      </c>
      <c r="BT63" s="30"/>
      <c r="BY63" s="30">
        <v>3.8290327656327054E-2</v>
      </c>
      <c r="BZ63" s="43">
        <v>-1.9699999999999999E-4</v>
      </c>
      <c r="CA63" s="43">
        <v>-1.8900000000000001E-4</v>
      </c>
      <c r="CB63" s="43">
        <v>-1.05E-4</v>
      </c>
      <c r="CC63" s="30"/>
      <c r="CH63" s="30">
        <v>3.8290327656327054E-2</v>
      </c>
      <c r="CI63" s="43">
        <v>-6.4199999999999999E-4</v>
      </c>
      <c r="CJ63" s="43">
        <v>-6.4700000000000001E-4</v>
      </c>
      <c r="CK63" s="43">
        <v>1.9900000000000001E-4</v>
      </c>
      <c r="CL63" s="30"/>
      <c r="CQ63" s="30">
        <v>3.8290327656327054E-2</v>
      </c>
      <c r="CR63" s="43">
        <v>-3.6699999999999998E-4</v>
      </c>
      <c r="CS63" s="43">
        <v>-3.6900000000000002E-4</v>
      </c>
      <c r="CT63" s="43">
        <v>-7.7000000000000001E-5</v>
      </c>
      <c r="CU63" s="30"/>
    </row>
    <row r="64" spans="14:102" x14ac:dyDescent="0.25">
      <c r="N64" s="30">
        <v>3.8986508239660385E-2</v>
      </c>
      <c r="O64" s="43">
        <v>-3.3599999999999998E-4</v>
      </c>
      <c r="P64" s="43">
        <v>-3.1E-4</v>
      </c>
      <c r="Q64" s="43">
        <v>-2.0000000000000002E-5</v>
      </c>
      <c r="R64" s="30"/>
      <c r="W64" s="30">
        <v>3.8986508239660385E-2</v>
      </c>
      <c r="X64" s="43">
        <v>-3.7300000000000001E-4</v>
      </c>
      <c r="Y64" s="43">
        <v>-3.4099999999999999E-4</v>
      </c>
      <c r="Z64" s="43">
        <v>1.5999999999999999E-5</v>
      </c>
      <c r="AA64" s="30"/>
      <c r="AF64" s="30">
        <v>3.8986508239660385E-2</v>
      </c>
      <c r="AG64" s="43">
        <v>-4.4299999999999998E-4</v>
      </c>
      <c r="AH64" s="43">
        <v>-4.0700000000000003E-4</v>
      </c>
      <c r="AI64" s="43">
        <v>-4.5000000000000003E-5</v>
      </c>
      <c r="AJ64" s="30"/>
      <c r="AO64" s="30">
        <v>3.8986508239660385E-2</v>
      </c>
      <c r="AP64" s="43">
        <v>-2.31E-4</v>
      </c>
      <c r="AQ64" s="43">
        <v>-2.2900000000000001E-4</v>
      </c>
      <c r="AR64" s="43">
        <v>-2.1100000000000001E-4</v>
      </c>
      <c r="AS64" s="30"/>
      <c r="AX64" s="30">
        <v>3.8986508239660385E-2</v>
      </c>
      <c r="AY64" s="43">
        <v>-4.4499999999999997E-4</v>
      </c>
      <c r="AZ64" s="43">
        <v>-4.08E-4</v>
      </c>
      <c r="BA64" s="43">
        <v>-4.6E-5</v>
      </c>
      <c r="BB64" s="30"/>
      <c r="BG64" s="30">
        <v>3.8986508239660385E-2</v>
      </c>
      <c r="BH64" s="43">
        <v>-2.3000000000000001E-4</v>
      </c>
      <c r="BI64" s="43">
        <v>-2.2800000000000001E-4</v>
      </c>
      <c r="BJ64" s="43">
        <v>-2.14E-4</v>
      </c>
      <c r="BK64" s="30"/>
      <c r="BP64" s="30">
        <v>3.8986508239660385E-2</v>
      </c>
      <c r="BQ64" s="43">
        <v>-4.0000000000000002E-4</v>
      </c>
      <c r="BR64" s="43">
        <v>-3.59E-4</v>
      </c>
      <c r="BS64" s="43">
        <v>5.3999999999999998E-5</v>
      </c>
      <c r="BT64" s="30"/>
      <c r="BY64" s="30">
        <v>3.8986508239660385E-2</v>
      </c>
      <c r="BZ64" s="43">
        <v>-1.9699999999999999E-4</v>
      </c>
      <c r="CA64" s="43">
        <v>-1.8900000000000001E-4</v>
      </c>
      <c r="CB64" s="43">
        <v>-1.05E-4</v>
      </c>
      <c r="CC64" s="30"/>
      <c r="CH64" s="30">
        <v>3.8986508239660385E-2</v>
      </c>
      <c r="CI64" s="43">
        <v>-6.5200000000000002E-4</v>
      </c>
      <c r="CJ64" s="43">
        <v>-6.5700000000000003E-4</v>
      </c>
      <c r="CK64" s="43">
        <v>2.1100000000000001E-4</v>
      </c>
      <c r="CL64" s="30"/>
      <c r="CQ64" s="30">
        <v>3.8986508239660385E-2</v>
      </c>
      <c r="CR64" s="43">
        <v>-3.6900000000000002E-4</v>
      </c>
      <c r="CS64" s="43">
        <v>-3.7100000000000002E-4</v>
      </c>
      <c r="CT64" s="43">
        <v>-7.4999999999999993E-5</v>
      </c>
      <c r="CU64" s="30"/>
    </row>
    <row r="65" spans="14:99" x14ac:dyDescent="0.25">
      <c r="N65" s="30">
        <v>3.9682688822993709E-2</v>
      </c>
      <c r="O65" s="43">
        <v>-3.4000000000000002E-4</v>
      </c>
      <c r="P65" s="43">
        <v>-3.1399999999999999E-4</v>
      </c>
      <c r="Q65" s="43">
        <v>-1.5E-5</v>
      </c>
      <c r="R65" s="30"/>
      <c r="W65" s="30">
        <v>3.9682688822993709E-2</v>
      </c>
      <c r="X65" s="43">
        <v>-3.7199999999999999E-4</v>
      </c>
      <c r="Y65" s="43">
        <v>-3.4099999999999999E-4</v>
      </c>
      <c r="Z65" s="43">
        <v>1.5999999999999999E-5</v>
      </c>
      <c r="AA65" s="30"/>
      <c r="AF65" s="30">
        <v>3.9682688822993709E-2</v>
      </c>
      <c r="AG65" s="43">
        <v>-4.4799999999999999E-4</v>
      </c>
      <c r="AH65" s="43">
        <v>-4.1100000000000002E-4</v>
      </c>
      <c r="AI65" s="43">
        <v>-4.1E-5</v>
      </c>
      <c r="AJ65" s="30"/>
      <c r="AO65" s="30">
        <v>3.9682688822993709E-2</v>
      </c>
      <c r="AP65" s="43">
        <v>-2.31E-4</v>
      </c>
      <c r="AQ65" s="43">
        <v>-2.2900000000000001E-4</v>
      </c>
      <c r="AR65" s="43">
        <v>-2.1100000000000001E-4</v>
      </c>
      <c r="AS65" s="30"/>
      <c r="AX65" s="30">
        <v>3.9682688822993709E-2</v>
      </c>
      <c r="AY65" s="43">
        <v>-4.4999999999999999E-4</v>
      </c>
      <c r="AZ65" s="43">
        <v>-4.1199999999999999E-4</v>
      </c>
      <c r="BA65" s="43">
        <v>-4.1999999999999998E-5</v>
      </c>
      <c r="BB65" s="30"/>
      <c r="BG65" s="30">
        <v>3.9682688822993709E-2</v>
      </c>
      <c r="BH65" s="43">
        <v>-2.2900000000000001E-4</v>
      </c>
      <c r="BI65" s="43">
        <v>-2.2800000000000001E-4</v>
      </c>
      <c r="BJ65" s="43">
        <v>-2.14E-4</v>
      </c>
      <c r="BK65" s="30"/>
      <c r="BP65" s="30">
        <v>3.9682688822993709E-2</v>
      </c>
      <c r="BQ65" s="43">
        <v>-4.0499999999999998E-4</v>
      </c>
      <c r="BR65" s="43">
        <v>-3.6299999999999999E-4</v>
      </c>
      <c r="BS65" s="43">
        <v>5.7000000000000003E-5</v>
      </c>
      <c r="BT65" s="30"/>
      <c r="BY65" s="30">
        <v>3.9682688822993709E-2</v>
      </c>
      <c r="BZ65" s="43">
        <v>-1.9699999999999999E-4</v>
      </c>
      <c r="CA65" s="43">
        <v>-1.8900000000000001E-4</v>
      </c>
      <c r="CB65" s="43">
        <v>-1.06E-4</v>
      </c>
      <c r="CC65" s="30"/>
      <c r="CH65" s="30">
        <v>3.9682688822993709E-2</v>
      </c>
      <c r="CI65" s="43">
        <v>-6.6200000000000005E-4</v>
      </c>
      <c r="CJ65" s="43">
        <v>-6.6699999999999995E-4</v>
      </c>
      <c r="CK65" s="43">
        <v>2.23E-4</v>
      </c>
      <c r="CL65" s="30"/>
      <c r="CQ65" s="30">
        <v>3.9682688822993709E-2</v>
      </c>
      <c r="CR65" s="43">
        <v>-3.7100000000000002E-4</v>
      </c>
      <c r="CS65" s="43">
        <v>-3.7300000000000001E-4</v>
      </c>
      <c r="CT65" s="43">
        <v>-7.2999999999999999E-5</v>
      </c>
      <c r="CU65" s="30"/>
    </row>
    <row r="66" spans="14:99" x14ac:dyDescent="0.25">
      <c r="N66" s="30">
        <v>4.0378869406327039E-2</v>
      </c>
      <c r="O66" s="43">
        <v>-3.4499999999999998E-4</v>
      </c>
      <c r="P66" s="43">
        <v>-3.1799999999999998E-4</v>
      </c>
      <c r="Q66" s="43">
        <v>-1.1E-5</v>
      </c>
      <c r="R66" s="30"/>
      <c r="W66" s="30">
        <v>4.0378869406327039E-2</v>
      </c>
      <c r="X66" s="43">
        <v>-3.7199999999999999E-4</v>
      </c>
      <c r="Y66" s="43">
        <v>-3.4000000000000002E-4</v>
      </c>
      <c r="Z66" s="43">
        <v>1.7E-5</v>
      </c>
      <c r="AA66" s="30"/>
      <c r="AF66" s="30">
        <v>4.0378869406327039E-2</v>
      </c>
      <c r="AG66" s="43">
        <v>-4.5300000000000001E-4</v>
      </c>
      <c r="AH66" s="43">
        <v>-4.15E-4</v>
      </c>
      <c r="AI66" s="43">
        <v>-3.6999999999999998E-5</v>
      </c>
      <c r="AJ66" s="30"/>
      <c r="AO66" s="30">
        <v>4.0378869406327039E-2</v>
      </c>
      <c r="AP66" s="43">
        <v>-2.3000000000000001E-4</v>
      </c>
      <c r="AQ66" s="43">
        <v>-2.2900000000000001E-4</v>
      </c>
      <c r="AR66" s="43">
        <v>-2.1100000000000001E-4</v>
      </c>
      <c r="AS66" s="30"/>
      <c r="AX66" s="30">
        <v>4.0378869406327039E-2</v>
      </c>
      <c r="AY66" s="43">
        <v>-4.55E-4</v>
      </c>
      <c r="AZ66" s="43">
        <v>-4.17E-4</v>
      </c>
      <c r="BA66" s="43">
        <v>-3.8000000000000002E-5</v>
      </c>
      <c r="BB66" s="30"/>
      <c r="BG66" s="30">
        <v>4.0378869406327039E-2</v>
      </c>
      <c r="BH66" s="43">
        <v>-2.2900000000000001E-4</v>
      </c>
      <c r="BI66" s="43">
        <v>-2.2800000000000001E-4</v>
      </c>
      <c r="BJ66" s="43">
        <v>-2.1499999999999999E-4</v>
      </c>
      <c r="BK66" s="30"/>
      <c r="BP66" s="30">
        <v>4.0378869406327039E-2</v>
      </c>
      <c r="BQ66" s="43">
        <v>-4.0999999999999999E-4</v>
      </c>
      <c r="BR66" s="43">
        <v>-3.6699999999999998E-4</v>
      </c>
      <c r="BS66" s="43">
        <v>6.0999999999999999E-5</v>
      </c>
      <c r="BT66" s="30"/>
      <c r="BY66" s="30">
        <v>4.0378869406327039E-2</v>
      </c>
      <c r="BZ66" s="43">
        <v>-1.9699999999999999E-4</v>
      </c>
      <c r="CA66" s="43">
        <v>-1.8900000000000001E-4</v>
      </c>
      <c r="CB66" s="43">
        <v>-1.06E-4</v>
      </c>
      <c r="CC66" s="30"/>
      <c r="CH66" s="30">
        <v>4.0378869406327039E-2</v>
      </c>
      <c r="CI66" s="43">
        <v>-6.7400000000000001E-4</v>
      </c>
      <c r="CJ66" s="43">
        <v>-6.8000000000000005E-4</v>
      </c>
      <c r="CK66" s="43">
        <v>2.4399999999999999E-4</v>
      </c>
      <c r="CL66" s="30"/>
      <c r="CQ66" s="30">
        <v>4.0378869406327039E-2</v>
      </c>
      <c r="CR66" s="43">
        <v>-3.7300000000000001E-4</v>
      </c>
      <c r="CS66" s="43">
        <v>-3.7500000000000001E-4</v>
      </c>
      <c r="CT66" s="43">
        <v>-7.1000000000000005E-5</v>
      </c>
      <c r="CU66" s="30"/>
    </row>
    <row r="67" spans="14:99" x14ac:dyDescent="0.25">
      <c r="N67" s="30">
        <v>4.107504998966037E-2</v>
      </c>
      <c r="O67" s="43">
        <v>-3.5100000000000002E-4</v>
      </c>
      <c r="P67" s="43">
        <v>-3.2200000000000002E-4</v>
      </c>
      <c r="Q67" s="43">
        <v>-6.0000000000000002E-6</v>
      </c>
      <c r="R67" s="30"/>
      <c r="W67" s="30">
        <v>4.107504998966037E-2</v>
      </c>
      <c r="X67" s="43">
        <v>-3.7100000000000002E-4</v>
      </c>
      <c r="Y67" s="43">
        <v>-3.39E-4</v>
      </c>
      <c r="Z67" s="43">
        <v>1.5999999999999999E-5</v>
      </c>
      <c r="AA67" s="30"/>
      <c r="AF67" s="30">
        <v>4.107504998966037E-2</v>
      </c>
      <c r="AG67" s="43">
        <v>-4.5899999999999999E-4</v>
      </c>
      <c r="AH67" s="43">
        <v>-4.2000000000000002E-4</v>
      </c>
      <c r="AI67" s="43">
        <v>-3.1000000000000001E-5</v>
      </c>
      <c r="AJ67" s="30"/>
      <c r="AO67" s="30">
        <v>4.107504998966037E-2</v>
      </c>
      <c r="AP67" s="43">
        <v>-2.2900000000000001E-4</v>
      </c>
      <c r="AQ67" s="43">
        <v>-2.2800000000000001E-4</v>
      </c>
      <c r="AR67" s="43">
        <v>-2.12E-4</v>
      </c>
      <c r="AS67" s="30"/>
      <c r="AX67" s="30">
        <v>4.107504998966037E-2</v>
      </c>
      <c r="AY67" s="43">
        <v>-4.6099999999999998E-4</v>
      </c>
      <c r="AZ67" s="43">
        <v>-4.2200000000000001E-4</v>
      </c>
      <c r="BA67" s="43">
        <v>-3.3000000000000003E-5</v>
      </c>
      <c r="BB67" s="30"/>
      <c r="BG67" s="30">
        <v>4.107504998966037E-2</v>
      </c>
      <c r="BH67" s="43">
        <v>-2.2800000000000001E-4</v>
      </c>
      <c r="BI67" s="43">
        <v>-2.2699999999999999E-4</v>
      </c>
      <c r="BJ67" s="43">
        <v>-2.1499999999999999E-4</v>
      </c>
      <c r="BK67" s="30"/>
      <c r="BP67" s="30">
        <v>4.107504998966037E-2</v>
      </c>
      <c r="BQ67" s="43">
        <v>-4.1599999999999997E-4</v>
      </c>
      <c r="BR67" s="43">
        <v>-3.7199999999999999E-4</v>
      </c>
      <c r="BS67" s="43">
        <v>6.4999999999999994E-5</v>
      </c>
      <c r="BT67" s="30"/>
      <c r="BY67" s="30">
        <v>4.107504998966037E-2</v>
      </c>
      <c r="BZ67" s="43">
        <v>-1.9699999999999999E-4</v>
      </c>
      <c r="CA67" s="43">
        <v>-1.8900000000000001E-4</v>
      </c>
      <c r="CB67" s="43">
        <v>-1.06E-4</v>
      </c>
      <c r="CC67" s="30"/>
      <c r="CH67" s="30">
        <v>4.107504998966037E-2</v>
      </c>
      <c r="CI67" s="43">
        <v>-6.8900000000000005E-4</v>
      </c>
      <c r="CJ67" s="43">
        <v>-6.9499999999999998E-4</v>
      </c>
      <c r="CK67" s="43">
        <v>2.8499999999999999E-4</v>
      </c>
      <c r="CL67" s="30"/>
      <c r="CQ67" s="30">
        <v>4.107504998966037E-2</v>
      </c>
      <c r="CR67" s="43">
        <v>-3.7399999999999998E-4</v>
      </c>
      <c r="CS67" s="43">
        <v>-3.7599999999999998E-4</v>
      </c>
      <c r="CT67" s="43">
        <v>-6.9999999999999994E-5</v>
      </c>
      <c r="CU67" s="30"/>
    </row>
    <row r="68" spans="14:99" x14ac:dyDescent="0.25">
      <c r="N68" s="30">
        <v>4.1771230572993701E-2</v>
      </c>
      <c r="O68" s="43">
        <v>-3.5599999999999998E-4</v>
      </c>
      <c r="P68" s="43">
        <v>-3.2699999999999998E-4</v>
      </c>
      <c r="Q68" s="43">
        <v>-9.9999999999999995E-7</v>
      </c>
      <c r="R68" s="30"/>
      <c r="W68" s="30">
        <v>4.1771230572993701E-2</v>
      </c>
      <c r="X68" s="43">
        <v>-3.6999999999999999E-4</v>
      </c>
      <c r="Y68" s="43">
        <v>-3.3799999999999998E-4</v>
      </c>
      <c r="Z68" s="43">
        <v>1.5999999999999999E-5</v>
      </c>
      <c r="AA68" s="30"/>
      <c r="AF68" s="30">
        <v>4.1771230572993701E-2</v>
      </c>
      <c r="AG68" s="43">
        <v>-4.64E-4</v>
      </c>
      <c r="AH68" s="43">
        <v>-4.2499999999999998E-4</v>
      </c>
      <c r="AI68" s="43">
        <v>-2.8E-5</v>
      </c>
      <c r="AJ68" s="30"/>
      <c r="AO68" s="30">
        <v>4.1771230572993701E-2</v>
      </c>
      <c r="AP68" s="43">
        <v>-2.2900000000000001E-4</v>
      </c>
      <c r="AQ68" s="43">
        <v>-2.2800000000000001E-4</v>
      </c>
      <c r="AR68" s="43">
        <v>-2.13E-4</v>
      </c>
      <c r="AS68" s="30"/>
      <c r="AX68" s="30">
        <v>4.1771230572993701E-2</v>
      </c>
      <c r="AY68" s="43">
        <v>-4.66E-4</v>
      </c>
      <c r="AZ68" s="43">
        <v>-4.2700000000000002E-4</v>
      </c>
      <c r="BA68" s="43">
        <v>-2.8E-5</v>
      </c>
      <c r="BB68" s="30"/>
      <c r="BG68" s="30">
        <v>4.1771230572993701E-2</v>
      </c>
      <c r="BH68" s="43">
        <v>-2.2699999999999999E-4</v>
      </c>
      <c r="BI68" s="43">
        <v>-2.2699999999999999E-4</v>
      </c>
      <c r="BJ68" s="43">
        <v>-2.1599999999999999E-4</v>
      </c>
      <c r="BK68" s="30"/>
      <c r="BP68" s="30">
        <v>4.1771230572993701E-2</v>
      </c>
      <c r="BQ68" s="43">
        <v>-4.2200000000000001E-4</v>
      </c>
      <c r="BR68" s="43">
        <v>-3.77E-4</v>
      </c>
      <c r="BS68" s="43">
        <v>6.8999999999999997E-5</v>
      </c>
      <c r="BT68" s="30"/>
      <c r="BY68" s="30">
        <v>4.1771230572993701E-2</v>
      </c>
      <c r="BZ68" s="43">
        <v>-1.9799999999999999E-4</v>
      </c>
      <c r="CA68" s="43">
        <v>-1.8900000000000001E-4</v>
      </c>
      <c r="CB68" s="43">
        <v>-1.06E-4</v>
      </c>
      <c r="CC68" s="30"/>
      <c r="CH68" s="30">
        <v>4.1771230572993701E-2</v>
      </c>
      <c r="CI68" s="43">
        <v>-7.0399999999999998E-4</v>
      </c>
      <c r="CJ68" s="43">
        <v>-7.1000000000000002E-4</v>
      </c>
      <c r="CK68" s="43">
        <v>3.1599999999999998E-4</v>
      </c>
      <c r="CL68" s="30"/>
      <c r="CQ68" s="30">
        <v>4.1771230572993701E-2</v>
      </c>
      <c r="CR68" s="43">
        <v>-3.7599999999999998E-4</v>
      </c>
      <c r="CS68" s="43">
        <v>-3.7800000000000003E-4</v>
      </c>
      <c r="CT68" s="43">
        <v>-6.8999999999999997E-5</v>
      </c>
      <c r="CU68" s="30"/>
    </row>
    <row r="69" spans="14:99" x14ac:dyDescent="0.25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25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25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25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25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25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25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25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25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25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25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25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25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25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25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25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25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25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25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25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25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25">
      <c r="R90" s="30"/>
      <c r="AA90" s="30"/>
      <c r="AJ90" s="30"/>
      <c r="AS90" s="30"/>
      <c r="BB90" s="30"/>
      <c r="BK90" s="30"/>
      <c r="BT90" s="30"/>
      <c r="CC90" s="30"/>
      <c r="CL90" s="30"/>
      <c r="CU90" s="30"/>
    </row>
    <row r="91" spans="14:99" x14ac:dyDescent="0.25">
      <c r="R91" s="30"/>
      <c r="AA91" s="30"/>
      <c r="AJ91" s="30"/>
      <c r="AS91" s="30"/>
      <c r="BB91" s="30"/>
      <c r="BK91" s="30"/>
      <c r="BT91" s="30"/>
      <c r="CC91" s="30"/>
      <c r="CL91" s="30"/>
      <c r="CU91" s="30"/>
    </row>
    <row r="92" spans="14:99" x14ac:dyDescent="0.25">
      <c r="R92" s="30"/>
      <c r="AA92" s="30"/>
      <c r="AJ92" s="30"/>
      <c r="AS92" s="30"/>
      <c r="BB92" s="30"/>
      <c r="BK92" s="30"/>
      <c r="BT92" s="30"/>
      <c r="CC92" s="30"/>
      <c r="CL92" s="30"/>
      <c r="CU92" s="30"/>
    </row>
    <row r="93" spans="14:99" x14ac:dyDescent="0.25">
      <c r="R93" s="30"/>
      <c r="AA93" s="30"/>
      <c r="AJ93" s="30"/>
      <c r="AS93" s="30"/>
      <c r="BB93" s="30"/>
      <c r="BK93" s="30"/>
      <c r="BT93" s="30"/>
      <c r="CC93" s="30"/>
      <c r="CL93" s="30"/>
      <c r="CU93" s="30"/>
    </row>
    <row r="94" spans="14:99" x14ac:dyDescent="0.25">
      <c r="R94" s="30"/>
      <c r="AA94" s="30"/>
      <c r="AJ94" s="30"/>
      <c r="AS94" s="30"/>
      <c r="BB94" s="30"/>
      <c r="BK94" s="30"/>
      <c r="BT94" s="30"/>
      <c r="CC94" s="30"/>
      <c r="CL94" s="30"/>
      <c r="CU94" s="30"/>
    </row>
    <row r="95" spans="14:99" x14ac:dyDescent="0.25">
      <c r="R95" s="30"/>
      <c r="AA95" s="30"/>
      <c r="AJ95" s="30"/>
      <c r="AS95" s="30"/>
      <c r="BB95" s="30"/>
      <c r="BK95" s="30"/>
      <c r="BT95" s="30"/>
      <c r="CC95" s="30"/>
      <c r="CL95" s="30"/>
      <c r="CU95" s="30"/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5" t="s">
        <v>48</v>
      </c>
      <c r="C1" s="56"/>
      <c r="D1" s="56"/>
      <c r="E1" s="56"/>
      <c r="F1" s="56"/>
      <c r="G1" s="56"/>
      <c r="H1" s="56"/>
      <c r="I1" s="57"/>
      <c r="K1" s="55" t="s">
        <v>95</v>
      </c>
      <c r="L1" s="56"/>
      <c r="M1" s="56"/>
      <c r="N1" s="56"/>
      <c r="O1" s="56"/>
      <c r="P1" s="56"/>
      <c r="Q1" s="56"/>
      <c r="R1" s="57"/>
    </row>
    <row r="2" spans="2:18" ht="15" customHeight="1" x14ac:dyDescent="0.2">
      <c r="B2" s="60" t="s">
        <v>93</v>
      </c>
      <c r="C2" s="60"/>
      <c r="E2" s="60" t="s">
        <v>94</v>
      </c>
      <c r="F2" s="60"/>
      <c r="H2" s="60" t="s">
        <v>91</v>
      </c>
      <c r="I2" s="60"/>
      <c r="K2" s="60" t="s">
        <v>93</v>
      </c>
      <c r="L2" s="60"/>
      <c r="N2" s="60" t="s">
        <v>94</v>
      </c>
      <c r="O2" s="60"/>
      <c r="Q2" s="60" t="s">
        <v>91</v>
      </c>
      <c r="R2" s="60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189</v>
      </c>
      <c r="C4" s="43" t="s">
        <v>65</v>
      </c>
      <c r="E4" s="43">
        <v>189</v>
      </c>
      <c r="F4" s="43" t="s">
        <v>65</v>
      </c>
      <c r="H4" s="43">
        <v>189</v>
      </c>
      <c r="I4" s="43" t="s">
        <v>104</v>
      </c>
      <c r="K4" s="43">
        <v>189</v>
      </c>
      <c r="L4" s="43" t="s">
        <v>65</v>
      </c>
      <c r="N4" s="43">
        <v>189</v>
      </c>
      <c r="O4" s="43" t="s">
        <v>65</v>
      </c>
      <c r="P4" s="11"/>
      <c r="Q4" s="43">
        <v>189</v>
      </c>
      <c r="R4" s="43" t="s">
        <v>123</v>
      </c>
    </row>
    <row r="5" spans="2:18" ht="15" customHeight="1" x14ac:dyDescent="0.2">
      <c r="B5" s="43">
        <v>201</v>
      </c>
      <c r="C5" s="43" t="s">
        <v>65</v>
      </c>
      <c r="E5" s="43">
        <v>201</v>
      </c>
      <c r="F5" s="43" t="s">
        <v>65</v>
      </c>
      <c r="H5" s="43">
        <v>201</v>
      </c>
      <c r="I5" s="43" t="s">
        <v>104</v>
      </c>
      <c r="K5" s="43">
        <v>201</v>
      </c>
      <c r="L5" s="43" t="s">
        <v>65</v>
      </c>
      <c r="N5" s="43">
        <v>201</v>
      </c>
      <c r="O5" s="43" t="s">
        <v>65</v>
      </c>
      <c r="P5" s="11"/>
      <c r="Q5" s="43">
        <v>201</v>
      </c>
      <c r="R5" s="43" t="s">
        <v>123</v>
      </c>
    </row>
    <row r="6" spans="2:18" ht="15" customHeight="1" x14ac:dyDescent="0.2">
      <c r="B6" s="43">
        <v>197</v>
      </c>
      <c r="C6" s="43" t="s">
        <v>65</v>
      </c>
      <c r="E6" s="43">
        <v>197</v>
      </c>
      <c r="F6" s="43" t="s">
        <v>65</v>
      </c>
      <c r="H6" s="43">
        <v>197</v>
      </c>
      <c r="I6" s="43" t="s">
        <v>104</v>
      </c>
      <c r="K6" s="43">
        <v>197</v>
      </c>
      <c r="L6" s="43" t="s">
        <v>65</v>
      </c>
      <c r="N6" s="43">
        <v>197</v>
      </c>
      <c r="O6" s="43" t="s">
        <v>65</v>
      </c>
      <c r="P6" s="11"/>
      <c r="Q6" s="43">
        <v>197</v>
      </c>
      <c r="R6" s="43" t="s">
        <v>123</v>
      </c>
    </row>
    <row r="7" spans="2:18" ht="15" customHeight="1" x14ac:dyDescent="0.2">
      <c r="B7" s="43">
        <v>198</v>
      </c>
      <c r="C7" s="43" t="s">
        <v>65</v>
      </c>
      <c r="E7" s="43">
        <v>198</v>
      </c>
      <c r="F7" s="43" t="s">
        <v>65</v>
      </c>
      <c r="H7" s="43">
        <v>198</v>
      </c>
      <c r="I7" s="43" t="s">
        <v>104</v>
      </c>
      <c r="K7" s="43">
        <v>198</v>
      </c>
      <c r="L7" s="43" t="s">
        <v>65</v>
      </c>
      <c r="N7" s="43">
        <v>198</v>
      </c>
      <c r="O7" s="43" t="s">
        <v>65</v>
      </c>
      <c r="P7" s="11"/>
      <c r="Q7" s="43">
        <v>198</v>
      </c>
      <c r="R7" s="43" t="s">
        <v>123</v>
      </c>
    </row>
    <row r="8" spans="2:18" ht="15" customHeight="1" x14ac:dyDescent="0.2">
      <c r="B8" s="43">
        <v>202</v>
      </c>
      <c r="C8" s="43" t="s">
        <v>65</v>
      </c>
      <c r="E8" s="43">
        <v>202</v>
      </c>
      <c r="F8" s="43" t="s">
        <v>65</v>
      </c>
      <c r="H8" s="43">
        <v>202</v>
      </c>
      <c r="I8" s="43" t="s">
        <v>104</v>
      </c>
      <c r="K8" s="43">
        <v>202</v>
      </c>
      <c r="L8" s="43" t="s">
        <v>65</v>
      </c>
      <c r="N8" s="43">
        <v>202</v>
      </c>
      <c r="O8" s="43" t="s">
        <v>65</v>
      </c>
      <c r="P8" s="11"/>
      <c r="Q8" s="43">
        <v>202</v>
      </c>
      <c r="R8" s="43" t="s">
        <v>123</v>
      </c>
    </row>
    <row r="9" spans="2:18" ht="15" customHeight="1" x14ac:dyDescent="0.2">
      <c r="B9" s="43">
        <v>190</v>
      </c>
      <c r="C9" s="43" t="s">
        <v>65</v>
      </c>
      <c r="E9" s="43">
        <v>190</v>
      </c>
      <c r="F9" s="43" t="s">
        <v>65</v>
      </c>
      <c r="H9" s="43">
        <v>190</v>
      </c>
      <c r="I9" s="43" t="s">
        <v>104</v>
      </c>
      <c r="K9" s="43">
        <v>190</v>
      </c>
      <c r="L9" s="43" t="s">
        <v>65</v>
      </c>
      <c r="N9" s="43">
        <v>190</v>
      </c>
      <c r="O9" s="43" t="s">
        <v>65</v>
      </c>
      <c r="P9" s="11"/>
      <c r="Q9" s="43">
        <v>190</v>
      </c>
      <c r="R9" s="43" t="s">
        <v>123</v>
      </c>
    </row>
    <row r="10" spans="2:18" ht="15" customHeight="1" x14ac:dyDescent="0.2">
      <c r="B10" s="43">
        <v>206</v>
      </c>
      <c r="C10" s="43" t="s">
        <v>65</v>
      </c>
      <c r="E10" s="43">
        <v>206</v>
      </c>
      <c r="F10" s="43" t="s">
        <v>65</v>
      </c>
      <c r="H10" s="43">
        <v>206</v>
      </c>
      <c r="I10" s="43" t="s">
        <v>104</v>
      </c>
      <c r="K10" s="43">
        <v>206</v>
      </c>
      <c r="L10" s="43" t="s">
        <v>65</v>
      </c>
      <c r="N10" s="43">
        <v>206</v>
      </c>
      <c r="O10" s="43" t="s">
        <v>65</v>
      </c>
      <c r="P10" s="11"/>
      <c r="Q10" s="43">
        <v>206</v>
      </c>
      <c r="R10" s="43" t="s">
        <v>123</v>
      </c>
    </row>
    <row r="11" spans="2:18" ht="15" customHeight="1" x14ac:dyDescent="0.2">
      <c r="B11" s="43">
        <v>191</v>
      </c>
      <c r="C11" s="43" t="s">
        <v>65</v>
      </c>
      <c r="E11" s="43">
        <v>191</v>
      </c>
      <c r="F11" s="43" t="s">
        <v>65</v>
      </c>
      <c r="H11" s="43">
        <v>191</v>
      </c>
      <c r="I11" s="43" t="s">
        <v>104</v>
      </c>
      <c r="K11" s="43">
        <v>191</v>
      </c>
      <c r="L11" s="43" t="s">
        <v>65</v>
      </c>
      <c r="N11" s="43">
        <v>191</v>
      </c>
      <c r="O11" s="43" t="s">
        <v>65</v>
      </c>
      <c r="P11" s="11"/>
      <c r="Q11" s="43">
        <v>191</v>
      </c>
      <c r="R11" s="43" t="s">
        <v>123</v>
      </c>
    </row>
    <row r="12" spans="2:18" ht="15" customHeight="1" x14ac:dyDescent="0.2">
      <c r="B12" s="43">
        <v>209</v>
      </c>
      <c r="C12" s="43" t="s">
        <v>65</v>
      </c>
      <c r="E12" s="43">
        <v>209</v>
      </c>
      <c r="F12" s="43" t="s">
        <v>65</v>
      </c>
      <c r="H12" s="43">
        <v>209</v>
      </c>
      <c r="I12" s="43" t="s">
        <v>104</v>
      </c>
      <c r="K12" s="43">
        <v>209</v>
      </c>
      <c r="L12" s="43" t="s">
        <v>65</v>
      </c>
      <c r="N12" s="43">
        <v>209</v>
      </c>
      <c r="O12" s="43" t="s">
        <v>65</v>
      </c>
      <c r="P12" s="11"/>
      <c r="Q12" s="43">
        <v>209</v>
      </c>
      <c r="R12" s="43" t="s">
        <v>123</v>
      </c>
    </row>
    <row r="13" spans="2:18" ht="15" customHeight="1" x14ac:dyDescent="0.2">
      <c r="B13" s="43">
        <v>210</v>
      </c>
      <c r="C13" s="43" t="s">
        <v>65</v>
      </c>
      <c r="E13" s="43">
        <v>210</v>
      </c>
      <c r="F13" s="43" t="s">
        <v>65</v>
      </c>
      <c r="H13" s="43">
        <v>210</v>
      </c>
      <c r="I13" s="43" t="s">
        <v>104</v>
      </c>
      <c r="K13" s="43">
        <v>210</v>
      </c>
      <c r="L13" s="43" t="s">
        <v>65</v>
      </c>
      <c r="N13" s="43">
        <v>210</v>
      </c>
      <c r="O13" s="43" t="s">
        <v>65</v>
      </c>
      <c r="P13" s="11"/>
      <c r="Q13" s="43">
        <v>210</v>
      </c>
      <c r="R13" s="43" t="s">
        <v>123</v>
      </c>
    </row>
    <row r="14" spans="2:18" ht="15" customHeight="1" x14ac:dyDescent="0.2">
      <c r="B14" s="43">
        <v>193</v>
      </c>
      <c r="C14" s="43" t="s">
        <v>65</v>
      </c>
      <c r="E14" s="43">
        <v>193</v>
      </c>
      <c r="F14" s="43" t="s">
        <v>65</v>
      </c>
      <c r="H14" s="43">
        <v>193</v>
      </c>
      <c r="I14" s="43" t="s">
        <v>104</v>
      </c>
      <c r="K14" s="43">
        <v>193</v>
      </c>
      <c r="L14" s="43" t="s">
        <v>65</v>
      </c>
      <c r="N14" s="43">
        <v>193</v>
      </c>
      <c r="O14" s="43" t="s">
        <v>65</v>
      </c>
      <c r="P14" s="11"/>
      <c r="Q14" s="43">
        <v>193</v>
      </c>
      <c r="R14" s="43" t="s">
        <v>123</v>
      </c>
    </row>
    <row r="15" spans="2:18" ht="15" customHeight="1" x14ac:dyDescent="0.2">
      <c r="B15" s="43">
        <v>204</v>
      </c>
      <c r="C15" s="43" t="s">
        <v>65</v>
      </c>
      <c r="E15" s="43">
        <v>204</v>
      </c>
      <c r="F15" s="43" t="s">
        <v>65</v>
      </c>
      <c r="H15" s="43">
        <v>204</v>
      </c>
      <c r="I15" s="43" t="s">
        <v>104</v>
      </c>
      <c r="K15" s="43">
        <v>204</v>
      </c>
      <c r="L15" s="43" t="s">
        <v>65</v>
      </c>
      <c r="N15" s="43">
        <v>204</v>
      </c>
      <c r="O15" s="43" t="s">
        <v>65</v>
      </c>
      <c r="P15" s="11"/>
      <c r="Q15" s="43">
        <v>204</v>
      </c>
      <c r="R15" s="43" t="s">
        <v>123</v>
      </c>
    </row>
    <row r="16" spans="2:18" ht="15" customHeight="1" x14ac:dyDescent="0.2">
      <c r="B16" s="43">
        <v>205</v>
      </c>
      <c r="C16" s="43" t="s">
        <v>65</v>
      </c>
      <c r="E16" s="43">
        <v>205</v>
      </c>
      <c r="F16" s="43" t="s">
        <v>65</v>
      </c>
      <c r="H16" s="43">
        <v>205</v>
      </c>
      <c r="I16" s="43" t="s">
        <v>104</v>
      </c>
      <c r="K16" s="43">
        <v>205</v>
      </c>
      <c r="L16" s="43" t="s">
        <v>65</v>
      </c>
      <c r="N16" s="43">
        <v>205</v>
      </c>
      <c r="O16" s="43" t="s">
        <v>65</v>
      </c>
      <c r="P16" s="11"/>
      <c r="Q16" s="43">
        <v>205</v>
      </c>
      <c r="R16" s="43" t="s">
        <v>123</v>
      </c>
    </row>
    <row r="17" spans="2:18" ht="15" customHeight="1" x14ac:dyDescent="0.2">
      <c r="B17" s="43">
        <v>192</v>
      </c>
      <c r="C17" s="43" t="s">
        <v>65</v>
      </c>
      <c r="E17" s="43">
        <v>192</v>
      </c>
      <c r="F17" s="43" t="s">
        <v>65</v>
      </c>
      <c r="H17" s="43">
        <v>192</v>
      </c>
      <c r="I17" s="43" t="s">
        <v>104</v>
      </c>
      <c r="K17" s="43">
        <v>192</v>
      </c>
      <c r="L17" s="43" t="s">
        <v>65</v>
      </c>
      <c r="N17" s="43">
        <v>192</v>
      </c>
      <c r="O17" s="43" t="s">
        <v>65</v>
      </c>
      <c r="P17" s="11"/>
      <c r="Q17" s="43">
        <v>192</v>
      </c>
      <c r="R17" s="43" t="s">
        <v>123</v>
      </c>
    </row>
    <row r="18" spans="2:18" ht="15" customHeight="1" x14ac:dyDescent="0.2">
      <c r="B18" s="43">
        <v>207</v>
      </c>
      <c r="C18" s="43" t="s">
        <v>65</v>
      </c>
      <c r="E18" s="43">
        <v>207</v>
      </c>
      <c r="F18" s="43" t="s">
        <v>65</v>
      </c>
      <c r="H18" s="43">
        <v>207</v>
      </c>
      <c r="I18" s="43" t="s">
        <v>104</v>
      </c>
      <c r="K18" s="43">
        <v>207</v>
      </c>
      <c r="L18" s="43" t="s">
        <v>65</v>
      </c>
      <c r="N18" s="43">
        <v>207</v>
      </c>
      <c r="O18" s="43" t="s">
        <v>65</v>
      </c>
      <c r="P18" s="11"/>
      <c r="Q18" s="43">
        <v>207</v>
      </c>
      <c r="R18" s="43" t="s">
        <v>123</v>
      </c>
    </row>
    <row r="19" spans="2:18" ht="15" customHeight="1" x14ac:dyDescent="0.2">
      <c r="B19" s="43">
        <v>208</v>
      </c>
      <c r="C19" s="43" t="s">
        <v>65</v>
      </c>
      <c r="E19" s="43">
        <v>208</v>
      </c>
      <c r="F19" s="43" t="s">
        <v>65</v>
      </c>
      <c r="H19" s="43">
        <v>208</v>
      </c>
      <c r="I19" s="43" t="s">
        <v>104</v>
      </c>
      <c r="K19" s="43">
        <v>208</v>
      </c>
      <c r="L19" s="43" t="s">
        <v>65</v>
      </c>
      <c r="N19" s="43">
        <v>208</v>
      </c>
      <c r="O19" s="43" t="s">
        <v>65</v>
      </c>
      <c r="P19" s="11"/>
      <c r="Q19" s="43">
        <v>208</v>
      </c>
      <c r="R19" s="43" t="s">
        <v>123</v>
      </c>
    </row>
    <row r="20" spans="2:18" ht="15" customHeight="1" x14ac:dyDescent="0.2">
      <c r="B20" s="43">
        <v>194</v>
      </c>
      <c r="C20" s="43" t="s">
        <v>65</v>
      </c>
      <c r="E20" s="43">
        <v>194</v>
      </c>
      <c r="F20" s="43" t="s">
        <v>65</v>
      </c>
      <c r="H20" s="43">
        <v>194</v>
      </c>
      <c r="I20" s="43" t="s">
        <v>104</v>
      </c>
      <c r="K20" s="43">
        <v>194</v>
      </c>
      <c r="L20" s="43" t="s">
        <v>65</v>
      </c>
      <c r="N20" s="43">
        <v>194</v>
      </c>
      <c r="O20" s="43" t="s">
        <v>65</v>
      </c>
      <c r="P20" s="11"/>
      <c r="Q20" s="43">
        <v>194</v>
      </c>
      <c r="R20" s="43" t="s">
        <v>123</v>
      </c>
    </row>
    <row r="21" spans="2:18" ht="15" customHeight="1" x14ac:dyDescent="0.2">
      <c r="B21" s="43">
        <v>203</v>
      </c>
      <c r="C21" s="43" t="s">
        <v>65</v>
      </c>
      <c r="E21" s="43">
        <v>203</v>
      </c>
      <c r="F21" s="43" t="s">
        <v>65</v>
      </c>
      <c r="H21" s="43">
        <v>203</v>
      </c>
      <c r="I21" s="43" t="s">
        <v>104</v>
      </c>
      <c r="K21" s="43">
        <v>203</v>
      </c>
      <c r="L21" s="43" t="s">
        <v>65</v>
      </c>
      <c r="N21" s="43">
        <v>203</v>
      </c>
      <c r="O21" s="43" t="s">
        <v>65</v>
      </c>
      <c r="P21" s="11"/>
      <c r="Q21" s="43">
        <v>203</v>
      </c>
      <c r="R21" s="43" t="s">
        <v>123</v>
      </c>
    </row>
    <row r="22" spans="2:18" ht="15" customHeight="1" x14ac:dyDescent="0.2">
      <c r="B22" s="43">
        <v>187</v>
      </c>
      <c r="C22" s="43" t="s">
        <v>65</v>
      </c>
      <c r="E22" s="43">
        <v>187</v>
      </c>
      <c r="F22" s="43" t="s">
        <v>65</v>
      </c>
      <c r="H22" s="43">
        <v>187</v>
      </c>
      <c r="I22" s="43" t="s">
        <v>104</v>
      </c>
      <c r="K22" s="43">
        <v>187</v>
      </c>
      <c r="L22" s="43" t="s">
        <v>65</v>
      </c>
      <c r="N22" s="43">
        <v>187</v>
      </c>
      <c r="O22" s="43" t="s">
        <v>65</v>
      </c>
      <c r="P22" s="11"/>
      <c r="Q22" s="43">
        <v>187</v>
      </c>
      <c r="R22" s="43" t="s">
        <v>123</v>
      </c>
    </row>
    <row r="23" spans="2:18" ht="15" customHeight="1" x14ac:dyDescent="0.2">
      <c r="B23" s="43">
        <v>199</v>
      </c>
      <c r="C23" s="43" t="s">
        <v>65</v>
      </c>
      <c r="E23" s="43">
        <v>199</v>
      </c>
      <c r="F23" s="43" t="s">
        <v>65</v>
      </c>
      <c r="H23" s="43">
        <v>199</v>
      </c>
      <c r="I23" s="43" t="s">
        <v>104</v>
      </c>
      <c r="K23" s="43">
        <v>199</v>
      </c>
      <c r="L23" s="43" t="s">
        <v>65</v>
      </c>
      <c r="N23" s="43">
        <v>199</v>
      </c>
      <c r="O23" s="43" t="s">
        <v>65</v>
      </c>
      <c r="P23" s="11"/>
      <c r="Q23" s="43">
        <v>199</v>
      </c>
      <c r="R23" s="43" t="s">
        <v>123</v>
      </c>
    </row>
    <row r="24" spans="2:18" ht="15" customHeight="1" x14ac:dyDescent="0.2">
      <c r="B24" s="43">
        <v>195</v>
      </c>
      <c r="C24" s="43" t="s">
        <v>65</v>
      </c>
      <c r="E24" s="43">
        <v>195</v>
      </c>
      <c r="F24" s="43" t="s">
        <v>65</v>
      </c>
      <c r="H24" s="43">
        <v>195</v>
      </c>
      <c r="I24" s="43" t="s">
        <v>104</v>
      </c>
      <c r="K24" s="43">
        <v>195</v>
      </c>
      <c r="L24" s="43" t="s">
        <v>65</v>
      </c>
      <c r="N24" s="43">
        <v>195</v>
      </c>
      <c r="O24" s="43" t="s">
        <v>65</v>
      </c>
      <c r="P24" s="11"/>
      <c r="Q24" s="43">
        <v>195</v>
      </c>
      <c r="R24" s="43" t="s">
        <v>123</v>
      </c>
    </row>
    <row r="25" spans="2:18" ht="15" customHeight="1" x14ac:dyDescent="0.2">
      <c r="B25" s="43">
        <v>196</v>
      </c>
      <c r="C25" s="43" t="s">
        <v>65</v>
      </c>
      <c r="E25" s="43">
        <v>196</v>
      </c>
      <c r="F25" s="43" t="s">
        <v>65</v>
      </c>
      <c r="H25" s="43">
        <v>196</v>
      </c>
      <c r="I25" s="43" t="s">
        <v>104</v>
      </c>
      <c r="K25" s="43">
        <v>196</v>
      </c>
      <c r="L25" s="43" t="s">
        <v>65</v>
      </c>
      <c r="N25" s="43">
        <v>196</v>
      </c>
      <c r="O25" s="43" t="s">
        <v>65</v>
      </c>
      <c r="P25" s="11"/>
      <c r="Q25" s="43">
        <v>196</v>
      </c>
      <c r="R25" s="43" t="s">
        <v>123</v>
      </c>
    </row>
    <row r="26" spans="2:18" ht="15" customHeight="1" x14ac:dyDescent="0.2">
      <c r="B26" s="43">
        <v>200</v>
      </c>
      <c r="C26" s="43" t="s">
        <v>65</v>
      </c>
      <c r="E26" s="43">
        <v>200</v>
      </c>
      <c r="F26" s="43" t="s">
        <v>65</v>
      </c>
      <c r="H26" s="43">
        <v>200</v>
      </c>
      <c r="I26" s="43" t="s">
        <v>104</v>
      </c>
      <c r="K26" s="43">
        <v>200</v>
      </c>
      <c r="L26" s="43" t="s">
        <v>65</v>
      </c>
      <c r="N26" s="43">
        <v>200</v>
      </c>
      <c r="O26" s="43" t="s">
        <v>65</v>
      </c>
      <c r="P26" s="11"/>
      <c r="Q26" s="43">
        <v>200</v>
      </c>
      <c r="R26" s="43" t="s">
        <v>123</v>
      </c>
    </row>
    <row r="27" spans="2:18" ht="15" customHeight="1" x14ac:dyDescent="0.2">
      <c r="B27" s="43">
        <v>188</v>
      </c>
      <c r="C27" s="43" t="s">
        <v>65</v>
      </c>
      <c r="E27" s="43">
        <v>188</v>
      </c>
      <c r="F27" s="43" t="s">
        <v>65</v>
      </c>
      <c r="H27" s="43">
        <v>188</v>
      </c>
      <c r="I27" s="43" t="s">
        <v>104</v>
      </c>
      <c r="K27" s="43">
        <v>188</v>
      </c>
      <c r="L27" s="43" t="s">
        <v>65</v>
      </c>
      <c r="N27" s="43">
        <v>188</v>
      </c>
      <c r="O27" s="43" t="s">
        <v>65</v>
      </c>
      <c r="P27" s="11"/>
      <c r="Q27" s="43">
        <v>188</v>
      </c>
      <c r="R27" s="43" t="s">
        <v>123</v>
      </c>
    </row>
    <row r="28" spans="2:18" ht="15" customHeight="1" x14ac:dyDescent="0.2">
      <c r="B28" s="43">
        <v>251</v>
      </c>
      <c r="C28" s="43" t="s">
        <v>65</v>
      </c>
      <c r="E28" s="43">
        <v>251</v>
      </c>
      <c r="F28" s="43" t="s">
        <v>65</v>
      </c>
      <c r="H28" s="43">
        <v>251</v>
      </c>
      <c r="I28" s="43" t="s">
        <v>104</v>
      </c>
      <c r="K28" s="43">
        <v>251</v>
      </c>
      <c r="L28" s="43" t="s">
        <v>65</v>
      </c>
      <c r="N28" s="43">
        <v>251</v>
      </c>
      <c r="O28" s="43" t="s">
        <v>65</v>
      </c>
      <c r="P28" s="11"/>
      <c r="Q28" s="43">
        <v>251</v>
      </c>
      <c r="R28" s="43" t="s">
        <v>123</v>
      </c>
    </row>
    <row r="29" spans="2:18" ht="15" customHeight="1" x14ac:dyDescent="0.2">
      <c r="B29" s="43">
        <v>263</v>
      </c>
      <c r="C29" s="43" t="s">
        <v>65</v>
      </c>
      <c r="E29" s="43">
        <v>263</v>
      </c>
      <c r="F29" s="43" t="s">
        <v>65</v>
      </c>
      <c r="H29" s="43">
        <v>263</v>
      </c>
      <c r="I29" s="43" t="s">
        <v>104</v>
      </c>
      <c r="K29" s="43">
        <v>263</v>
      </c>
      <c r="L29" s="43" t="s">
        <v>65</v>
      </c>
      <c r="N29" s="43">
        <v>263</v>
      </c>
      <c r="O29" s="43" t="s">
        <v>65</v>
      </c>
      <c r="P29" s="11"/>
      <c r="Q29" s="43">
        <v>263</v>
      </c>
      <c r="R29" s="43" t="s">
        <v>123</v>
      </c>
    </row>
    <row r="30" spans="2:18" ht="15" customHeight="1" x14ac:dyDescent="0.2">
      <c r="B30" s="43">
        <v>259</v>
      </c>
      <c r="C30" s="43" t="s">
        <v>65</v>
      </c>
      <c r="E30" s="43">
        <v>259</v>
      </c>
      <c r="F30" s="43" t="s">
        <v>65</v>
      </c>
      <c r="H30" s="43">
        <v>259</v>
      </c>
      <c r="I30" s="43" t="s">
        <v>104</v>
      </c>
      <c r="K30" s="43">
        <v>259</v>
      </c>
      <c r="L30" s="43" t="s">
        <v>65</v>
      </c>
      <c r="N30" s="43">
        <v>259</v>
      </c>
      <c r="O30" s="43" t="s">
        <v>65</v>
      </c>
      <c r="P30" s="11"/>
      <c r="Q30" s="43">
        <v>259</v>
      </c>
      <c r="R30" s="43" t="s">
        <v>123</v>
      </c>
    </row>
    <row r="31" spans="2:18" ht="15" customHeight="1" x14ac:dyDescent="0.2">
      <c r="B31" s="43">
        <v>260</v>
      </c>
      <c r="C31" s="43" t="s">
        <v>65</v>
      </c>
      <c r="E31" s="43">
        <v>260</v>
      </c>
      <c r="F31" s="43" t="s">
        <v>65</v>
      </c>
      <c r="H31" s="43">
        <v>260</v>
      </c>
      <c r="I31" s="43" t="s">
        <v>104</v>
      </c>
      <c r="K31" s="43">
        <v>260</v>
      </c>
      <c r="L31" s="43" t="s">
        <v>65</v>
      </c>
      <c r="N31" s="43">
        <v>260</v>
      </c>
      <c r="O31" s="43" t="s">
        <v>65</v>
      </c>
      <c r="P31" s="11"/>
      <c r="Q31" s="43">
        <v>260</v>
      </c>
      <c r="R31" s="43" t="s">
        <v>123</v>
      </c>
    </row>
    <row r="32" spans="2:18" ht="15" customHeight="1" x14ac:dyDescent="0.2">
      <c r="B32" s="43">
        <v>264</v>
      </c>
      <c r="C32" s="43" t="s">
        <v>65</v>
      </c>
      <c r="E32" s="43">
        <v>264</v>
      </c>
      <c r="F32" s="43" t="s">
        <v>65</v>
      </c>
      <c r="H32" s="43">
        <v>264</v>
      </c>
      <c r="I32" s="43" t="s">
        <v>104</v>
      </c>
      <c r="K32" s="43">
        <v>264</v>
      </c>
      <c r="L32" s="43" t="s">
        <v>65</v>
      </c>
      <c r="N32" s="43">
        <v>264</v>
      </c>
      <c r="O32" s="43" t="s">
        <v>65</v>
      </c>
      <c r="P32" s="11"/>
      <c r="Q32" s="43">
        <v>264</v>
      </c>
      <c r="R32" s="43" t="s">
        <v>123</v>
      </c>
    </row>
    <row r="33" spans="2:18" ht="15" customHeight="1" x14ac:dyDescent="0.2">
      <c r="B33" s="43">
        <v>252</v>
      </c>
      <c r="C33" s="43" t="s">
        <v>65</v>
      </c>
      <c r="E33" s="43">
        <v>252</v>
      </c>
      <c r="F33" s="43" t="s">
        <v>65</v>
      </c>
      <c r="H33" s="43">
        <v>252</v>
      </c>
      <c r="I33" s="43" t="s">
        <v>104</v>
      </c>
      <c r="K33" s="43">
        <v>252</v>
      </c>
      <c r="L33" s="43" t="s">
        <v>65</v>
      </c>
      <c r="N33" s="43">
        <v>252</v>
      </c>
      <c r="O33" s="43" t="s">
        <v>65</v>
      </c>
      <c r="P33" s="11"/>
      <c r="Q33" s="43">
        <v>252</v>
      </c>
      <c r="R33" s="43" t="s">
        <v>123</v>
      </c>
    </row>
    <row r="34" spans="2:18" ht="15" customHeight="1" x14ac:dyDescent="0.2">
      <c r="B34" s="43">
        <v>268</v>
      </c>
      <c r="C34" s="43" t="s">
        <v>65</v>
      </c>
      <c r="E34" s="43">
        <v>268</v>
      </c>
      <c r="F34" s="43" t="s">
        <v>65</v>
      </c>
      <c r="H34" s="43">
        <v>268</v>
      </c>
      <c r="I34" s="43" t="s">
        <v>104</v>
      </c>
      <c r="K34" s="43">
        <v>268</v>
      </c>
      <c r="L34" s="43" t="s">
        <v>65</v>
      </c>
      <c r="N34" s="43">
        <v>268</v>
      </c>
      <c r="O34" s="43" t="s">
        <v>65</v>
      </c>
      <c r="P34" s="11"/>
      <c r="Q34" s="43">
        <v>268</v>
      </c>
      <c r="R34" s="43" t="s">
        <v>123</v>
      </c>
    </row>
    <row r="35" spans="2:18" ht="15" customHeight="1" x14ac:dyDescent="0.2">
      <c r="B35" s="43">
        <v>253</v>
      </c>
      <c r="C35" s="43" t="s">
        <v>65</v>
      </c>
      <c r="E35" s="43">
        <v>253</v>
      </c>
      <c r="F35" s="43" t="s">
        <v>65</v>
      </c>
      <c r="H35" s="43">
        <v>253</v>
      </c>
      <c r="I35" s="43" t="s">
        <v>104</v>
      </c>
      <c r="K35" s="43">
        <v>253</v>
      </c>
      <c r="L35" s="43" t="s">
        <v>65</v>
      </c>
      <c r="N35" s="43">
        <v>253</v>
      </c>
      <c r="O35" s="43" t="s">
        <v>65</v>
      </c>
      <c r="P35" s="11"/>
      <c r="Q35" s="43">
        <v>253</v>
      </c>
      <c r="R35" s="43" t="s">
        <v>123</v>
      </c>
    </row>
    <row r="36" spans="2:18" ht="15" customHeight="1" x14ac:dyDescent="0.2">
      <c r="B36" s="43">
        <v>271</v>
      </c>
      <c r="C36" s="43" t="s">
        <v>65</v>
      </c>
      <c r="E36" s="43">
        <v>271</v>
      </c>
      <c r="F36" s="43" t="s">
        <v>65</v>
      </c>
      <c r="H36" s="43">
        <v>271</v>
      </c>
      <c r="I36" s="43" t="s">
        <v>104</v>
      </c>
      <c r="K36" s="43">
        <v>271</v>
      </c>
      <c r="L36" s="43" t="s">
        <v>65</v>
      </c>
      <c r="N36" s="43">
        <v>271</v>
      </c>
      <c r="O36" s="43" t="s">
        <v>65</v>
      </c>
      <c r="P36" s="11"/>
      <c r="Q36" s="43">
        <v>271</v>
      </c>
      <c r="R36" s="43" t="s">
        <v>123</v>
      </c>
    </row>
    <row r="37" spans="2:18" ht="15" customHeight="1" x14ac:dyDescent="0.2">
      <c r="B37" s="43">
        <v>272</v>
      </c>
      <c r="C37" s="43" t="s">
        <v>65</v>
      </c>
      <c r="E37" s="43">
        <v>272</v>
      </c>
      <c r="F37" s="43" t="s">
        <v>65</v>
      </c>
      <c r="H37" s="43">
        <v>272</v>
      </c>
      <c r="I37" s="43" t="s">
        <v>104</v>
      </c>
      <c r="K37" s="43">
        <v>272</v>
      </c>
      <c r="L37" s="43" t="s">
        <v>65</v>
      </c>
      <c r="N37" s="43">
        <v>272</v>
      </c>
      <c r="O37" s="43" t="s">
        <v>65</v>
      </c>
      <c r="P37" s="11"/>
      <c r="Q37" s="43">
        <v>272</v>
      </c>
      <c r="R37" s="43" t="s">
        <v>123</v>
      </c>
    </row>
    <row r="38" spans="2:18" ht="15" customHeight="1" x14ac:dyDescent="0.2">
      <c r="B38" s="43">
        <v>255</v>
      </c>
      <c r="C38" s="43" t="s">
        <v>65</v>
      </c>
      <c r="E38" s="43">
        <v>255</v>
      </c>
      <c r="F38" s="43" t="s">
        <v>65</v>
      </c>
      <c r="H38" s="43">
        <v>255</v>
      </c>
      <c r="I38" s="43" t="s">
        <v>104</v>
      </c>
      <c r="K38" s="43">
        <v>255</v>
      </c>
      <c r="L38" s="43" t="s">
        <v>65</v>
      </c>
      <c r="N38" s="43">
        <v>255</v>
      </c>
      <c r="O38" s="43" t="s">
        <v>65</v>
      </c>
      <c r="P38" s="11"/>
      <c r="Q38" s="43">
        <v>255</v>
      </c>
      <c r="R38" s="43" t="s">
        <v>123</v>
      </c>
    </row>
    <row r="39" spans="2:18" ht="15" customHeight="1" x14ac:dyDescent="0.2">
      <c r="B39" s="43">
        <v>266</v>
      </c>
      <c r="C39" s="43" t="s">
        <v>65</v>
      </c>
      <c r="E39" s="43">
        <v>266</v>
      </c>
      <c r="F39" s="43" t="s">
        <v>65</v>
      </c>
      <c r="H39" s="43">
        <v>266</v>
      </c>
      <c r="I39" s="43" t="s">
        <v>104</v>
      </c>
      <c r="K39" s="43">
        <v>266</v>
      </c>
      <c r="L39" s="43" t="s">
        <v>65</v>
      </c>
      <c r="N39" s="43">
        <v>266</v>
      </c>
      <c r="O39" s="43" t="s">
        <v>65</v>
      </c>
      <c r="P39" s="11"/>
      <c r="Q39" s="43">
        <v>266</v>
      </c>
      <c r="R39" s="43" t="s">
        <v>123</v>
      </c>
    </row>
    <row r="40" spans="2:18" ht="15" customHeight="1" x14ac:dyDescent="0.2">
      <c r="B40" s="43">
        <v>267</v>
      </c>
      <c r="C40" s="43" t="s">
        <v>65</v>
      </c>
      <c r="E40" s="43">
        <v>267</v>
      </c>
      <c r="F40" s="43" t="s">
        <v>65</v>
      </c>
      <c r="H40" s="43">
        <v>267</v>
      </c>
      <c r="I40" s="43" t="s">
        <v>104</v>
      </c>
      <c r="K40" s="43">
        <v>267</v>
      </c>
      <c r="L40" s="43" t="s">
        <v>65</v>
      </c>
      <c r="N40" s="43">
        <v>267</v>
      </c>
      <c r="O40" s="43" t="s">
        <v>65</v>
      </c>
      <c r="P40" s="11"/>
      <c r="Q40" s="43">
        <v>267</v>
      </c>
      <c r="R40" s="43" t="s">
        <v>123</v>
      </c>
    </row>
    <row r="41" spans="2:18" ht="15" customHeight="1" x14ac:dyDescent="0.2">
      <c r="B41" s="43">
        <v>254</v>
      </c>
      <c r="C41" s="43" t="s">
        <v>65</v>
      </c>
      <c r="E41" s="43">
        <v>254</v>
      </c>
      <c r="F41" s="43" t="s">
        <v>65</v>
      </c>
      <c r="H41" s="43">
        <v>254</v>
      </c>
      <c r="I41" s="43" t="s">
        <v>104</v>
      </c>
      <c r="K41" s="43">
        <v>254</v>
      </c>
      <c r="L41" s="43" t="s">
        <v>65</v>
      </c>
      <c r="N41" s="43">
        <v>254</v>
      </c>
      <c r="O41" s="43" t="s">
        <v>65</v>
      </c>
      <c r="P41" s="11"/>
      <c r="Q41" s="43">
        <v>254</v>
      </c>
      <c r="R41" s="43" t="s">
        <v>123</v>
      </c>
    </row>
    <row r="42" spans="2:18" ht="15" customHeight="1" x14ac:dyDescent="0.2">
      <c r="B42" s="43">
        <v>269</v>
      </c>
      <c r="C42" s="43" t="s">
        <v>65</v>
      </c>
      <c r="E42" s="43">
        <v>269</v>
      </c>
      <c r="F42" s="43" t="s">
        <v>65</v>
      </c>
      <c r="H42" s="43">
        <v>269</v>
      </c>
      <c r="I42" s="43" t="s">
        <v>104</v>
      </c>
      <c r="K42" s="43">
        <v>269</v>
      </c>
      <c r="L42" s="43" t="s">
        <v>65</v>
      </c>
      <c r="N42" s="43">
        <v>269</v>
      </c>
      <c r="O42" s="43" t="s">
        <v>65</v>
      </c>
      <c r="P42" s="11"/>
      <c r="Q42" s="43">
        <v>269</v>
      </c>
      <c r="R42" s="43" t="s">
        <v>123</v>
      </c>
    </row>
    <row r="43" spans="2:18" ht="15" customHeight="1" x14ac:dyDescent="0.2">
      <c r="B43" s="43">
        <v>270</v>
      </c>
      <c r="C43" s="43" t="s">
        <v>65</v>
      </c>
      <c r="E43" s="43">
        <v>270</v>
      </c>
      <c r="F43" s="43" t="s">
        <v>65</v>
      </c>
      <c r="H43" s="43">
        <v>270</v>
      </c>
      <c r="I43" s="43" t="s">
        <v>104</v>
      </c>
      <c r="K43" s="43">
        <v>270</v>
      </c>
      <c r="L43" s="43" t="s">
        <v>65</v>
      </c>
      <c r="N43" s="43">
        <v>270</v>
      </c>
      <c r="O43" s="43" t="s">
        <v>65</v>
      </c>
      <c r="P43" s="11"/>
      <c r="Q43" s="43">
        <v>270</v>
      </c>
      <c r="R43" s="43" t="s">
        <v>123</v>
      </c>
    </row>
    <row r="44" spans="2:18" ht="15" customHeight="1" x14ac:dyDescent="0.2">
      <c r="B44" s="43">
        <v>256</v>
      </c>
      <c r="C44" s="43" t="s">
        <v>65</v>
      </c>
      <c r="E44" s="43">
        <v>256</v>
      </c>
      <c r="F44" s="43" t="s">
        <v>65</v>
      </c>
      <c r="H44" s="43">
        <v>256</v>
      </c>
      <c r="I44" s="43" t="s">
        <v>104</v>
      </c>
      <c r="K44" s="43">
        <v>256</v>
      </c>
      <c r="L44" s="43" t="s">
        <v>65</v>
      </c>
      <c r="N44" s="43">
        <v>256</v>
      </c>
      <c r="O44" s="43" t="s">
        <v>65</v>
      </c>
      <c r="P44" s="11"/>
      <c r="Q44" s="43">
        <v>256</v>
      </c>
      <c r="R44" s="43" t="s">
        <v>123</v>
      </c>
    </row>
    <row r="45" spans="2:18" ht="15" customHeight="1" x14ac:dyDescent="0.2">
      <c r="B45" s="43">
        <v>265</v>
      </c>
      <c r="C45" s="43" t="s">
        <v>65</v>
      </c>
      <c r="E45" s="43">
        <v>265</v>
      </c>
      <c r="F45" s="43" t="s">
        <v>65</v>
      </c>
      <c r="H45" s="43">
        <v>265</v>
      </c>
      <c r="I45" s="43" t="s">
        <v>104</v>
      </c>
      <c r="K45" s="43">
        <v>265</v>
      </c>
      <c r="L45" s="43" t="s">
        <v>65</v>
      </c>
      <c r="N45" s="43">
        <v>265</v>
      </c>
      <c r="O45" s="43" t="s">
        <v>65</v>
      </c>
      <c r="P45" s="11"/>
      <c r="Q45" s="43">
        <v>265</v>
      </c>
      <c r="R45" s="43" t="s">
        <v>123</v>
      </c>
    </row>
    <row r="46" spans="2:18" ht="15" customHeight="1" x14ac:dyDescent="0.2">
      <c r="B46" s="43">
        <v>249</v>
      </c>
      <c r="C46" s="43" t="s">
        <v>65</v>
      </c>
      <c r="E46" s="43">
        <v>249</v>
      </c>
      <c r="F46" s="43" t="s">
        <v>65</v>
      </c>
      <c r="H46" s="43">
        <v>249</v>
      </c>
      <c r="I46" s="43" t="s">
        <v>104</v>
      </c>
      <c r="K46" s="43">
        <v>249</v>
      </c>
      <c r="L46" s="43" t="s">
        <v>65</v>
      </c>
      <c r="N46" s="43">
        <v>249</v>
      </c>
      <c r="O46" s="43" t="s">
        <v>65</v>
      </c>
      <c r="P46" s="11"/>
      <c r="Q46" s="43">
        <v>249</v>
      </c>
      <c r="R46" s="43" t="s">
        <v>123</v>
      </c>
    </row>
    <row r="47" spans="2:18" ht="15" customHeight="1" x14ac:dyDescent="0.2">
      <c r="B47" s="43">
        <v>261</v>
      </c>
      <c r="C47" s="43" t="s">
        <v>65</v>
      </c>
      <c r="E47" s="43">
        <v>261</v>
      </c>
      <c r="F47" s="43" t="s">
        <v>65</v>
      </c>
      <c r="H47" s="43">
        <v>261</v>
      </c>
      <c r="I47" s="43" t="s">
        <v>104</v>
      </c>
      <c r="K47" s="43">
        <v>261</v>
      </c>
      <c r="L47" s="43" t="s">
        <v>65</v>
      </c>
      <c r="N47" s="43">
        <v>261</v>
      </c>
      <c r="O47" s="43" t="s">
        <v>65</v>
      </c>
      <c r="P47" s="11"/>
      <c r="Q47" s="43">
        <v>261</v>
      </c>
      <c r="R47" s="43" t="s">
        <v>123</v>
      </c>
    </row>
    <row r="48" spans="2:18" ht="15" customHeight="1" x14ac:dyDescent="0.2">
      <c r="B48" s="43">
        <v>257</v>
      </c>
      <c r="C48" s="43" t="s">
        <v>65</v>
      </c>
      <c r="E48" s="43">
        <v>257</v>
      </c>
      <c r="F48" s="43" t="s">
        <v>65</v>
      </c>
      <c r="H48" s="43">
        <v>257</v>
      </c>
      <c r="I48" s="43" t="s">
        <v>104</v>
      </c>
      <c r="K48" s="43">
        <v>257</v>
      </c>
      <c r="L48" s="43" t="s">
        <v>65</v>
      </c>
      <c r="N48" s="43">
        <v>257</v>
      </c>
      <c r="O48" s="43" t="s">
        <v>65</v>
      </c>
      <c r="P48" s="11"/>
      <c r="Q48" s="43">
        <v>257</v>
      </c>
      <c r="R48" s="43" t="s">
        <v>123</v>
      </c>
    </row>
    <row r="49" spans="2:18" ht="15" customHeight="1" x14ac:dyDescent="0.2">
      <c r="B49" s="43">
        <v>258</v>
      </c>
      <c r="C49" s="43" t="s">
        <v>65</v>
      </c>
      <c r="E49" s="43">
        <v>258</v>
      </c>
      <c r="F49" s="43" t="s">
        <v>65</v>
      </c>
      <c r="H49" s="43">
        <v>258</v>
      </c>
      <c r="I49" s="43" t="s">
        <v>104</v>
      </c>
      <c r="K49" s="43">
        <v>258</v>
      </c>
      <c r="L49" s="43" t="s">
        <v>65</v>
      </c>
      <c r="N49" s="43">
        <v>258</v>
      </c>
      <c r="O49" s="43" t="s">
        <v>65</v>
      </c>
      <c r="P49" s="11"/>
      <c r="Q49" s="43">
        <v>258</v>
      </c>
      <c r="R49" s="43" t="s">
        <v>123</v>
      </c>
    </row>
    <row r="50" spans="2:18" ht="15" customHeight="1" x14ac:dyDescent="0.2">
      <c r="B50" s="43">
        <v>262</v>
      </c>
      <c r="C50" s="43" t="s">
        <v>65</v>
      </c>
      <c r="E50" s="43">
        <v>262</v>
      </c>
      <c r="F50" s="43" t="s">
        <v>65</v>
      </c>
      <c r="H50" s="43">
        <v>262</v>
      </c>
      <c r="I50" s="43" t="s">
        <v>104</v>
      </c>
      <c r="K50" s="43">
        <v>262</v>
      </c>
      <c r="L50" s="43" t="s">
        <v>65</v>
      </c>
      <c r="N50" s="43">
        <v>262</v>
      </c>
      <c r="O50" s="43" t="s">
        <v>65</v>
      </c>
      <c r="P50" s="11"/>
      <c r="Q50" s="43">
        <v>262</v>
      </c>
      <c r="R50" s="43" t="s">
        <v>123</v>
      </c>
    </row>
    <row r="51" spans="2:18" ht="15" customHeight="1" x14ac:dyDescent="0.2">
      <c r="B51" s="43">
        <v>250</v>
      </c>
      <c r="C51" s="43" t="s">
        <v>65</v>
      </c>
      <c r="E51" s="43">
        <v>250</v>
      </c>
      <c r="F51" s="43" t="s">
        <v>65</v>
      </c>
      <c r="H51" s="43">
        <v>250</v>
      </c>
      <c r="I51" s="43" t="s">
        <v>104</v>
      </c>
      <c r="K51" s="43">
        <v>250</v>
      </c>
      <c r="L51" s="43" t="s">
        <v>65</v>
      </c>
      <c r="N51" s="43">
        <v>250</v>
      </c>
      <c r="O51" s="43" t="s">
        <v>65</v>
      </c>
      <c r="P51" s="11"/>
      <c r="Q51" s="43">
        <v>250</v>
      </c>
      <c r="R51" s="43" t="s">
        <v>123</v>
      </c>
    </row>
    <row r="52" spans="2:18" ht="15" customHeight="1" x14ac:dyDescent="0.2">
      <c r="B52" s="43">
        <v>65</v>
      </c>
      <c r="C52" s="43" t="s">
        <v>65</v>
      </c>
      <c r="E52" s="43">
        <v>65</v>
      </c>
      <c r="F52" s="43" t="s">
        <v>65</v>
      </c>
      <c r="H52" s="43">
        <v>65</v>
      </c>
      <c r="I52" s="43" t="s">
        <v>104</v>
      </c>
      <c r="K52" s="43">
        <v>65</v>
      </c>
      <c r="L52" s="43" t="s">
        <v>65</v>
      </c>
      <c r="N52" s="43">
        <v>65</v>
      </c>
      <c r="O52" s="43" t="s">
        <v>65</v>
      </c>
      <c r="P52" s="11"/>
      <c r="Q52" s="43">
        <v>65</v>
      </c>
      <c r="R52" s="43" t="s">
        <v>123</v>
      </c>
    </row>
    <row r="53" spans="2:18" ht="15" customHeight="1" x14ac:dyDescent="0.2">
      <c r="B53" s="43">
        <v>77</v>
      </c>
      <c r="C53" s="43" t="s">
        <v>65</v>
      </c>
      <c r="E53" s="43">
        <v>77</v>
      </c>
      <c r="F53" s="43" t="s">
        <v>65</v>
      </c>
      <c r="H53" s="43">
        <v>77</v>
      </c>
      <c r="I53" s="43" t="s">
        <v>104</v>
      </c>
      <c r="K53" s="43">
        <v>77</v>
      </c>
      <c r="L53" s="43" t="s">
        <v>65</v>
      </c>
      <c r="N53" s="43">
        <v>77</v>
      </c>
      <c r="O53" s="43" t="s">
        <v>65</v>
      </c>
      <c r="P53" s="11"/>
      <c r="Q53" s="43">
        <v>77</v>
      </c>
      <c r="R53" s="43" t="s">
        <v>123</v>
      </c>
    </row>
    <row r="54" spans="2:18" ht="15" customHeight="1" x14ac:dyDescent="0.2">
      <c r="B54" s="43">
        <v>73</v>
      </c>
      <c r="C54" s="43" t="s">
        <v>65</v>
      </c>
      <c r="E54" s="43">
        <v>73</v>
      </c>
      <c r="F54" s="43" t="s">
        <v>65</v>
      </c>
      <c r="H54" s="43">
        <v>73</v>
      </c>
      <c r="I54" s="43" t="s">
        <v>104</v>
      </c>
      <c r="K54" s="43">
        <v>73</v>
      </c>
      <c r="L54" s="43" t="s">
        <v>65</v>
      </c>
      <c r="N54" s="43">
        <v>73</v>
      </c>
      <c r="O54" s="43" t="s">
        <v>65</v>
      </c>
      <c r="P54" s="11"/>
      <c r="Q54" s="43">
        <v>73</v>
      </c>
      <c r="R54" s="43" t="s">
        <v>123</v>
      </c>
    </row>
    <row r="55" spans="2:18" ht="15" customHeight="1" x14ac:dyDescent="0.2">
      <c r="B55" s="43">
        <v>74</v>
      </c>
      <c r="C55" s="43" t="s">
        <v>65</v>
      </c>
      <c r="E55" s="43">
        <v>74</v>
      </c>
      <c r="F55" s="43" t="s">
        <v>65</v>
      </c>
      <c r="H55" s="43">
        <v>74</v>
      </c>
      <c r="I55" s="43" t="s">
        <v>104</v>
      </c>
      <c r="K55" s="43">
        <v>74</v>
      </c>
      <c r="L55" s="43" t="s">
        <v>65</v>
      </c>
      <c r="N55" s="43">
        <v>74</v>
      </c>
      <c r="O55" s="43" t="s">
        <v>65</v>
      </c>
      <c r="P55" s="11"/>
      <c r="Q55" s="43">
        <v>74</v>
      </c>
      <c r="R55" s="43" t="s">
        <v>123</v>
      </c>
    </row>
    <row r="56" spans="2:18" ht="15" customHeight="1" x14ac:dyDescent="0.2">
      <c r="B56" s="43">
        <v>78</v>
      </c>
      <c r="C56" s="43" t="s">
        <v>65</v>
      </c>
      <c r="E56" s="43">
        <v>78</v>
      </c>
      <c r="F56" s="43" t="s">
        <v>65</v>
      </c>
      <c r="H56" s="43">
        <v>78</v>
      </c>
      <c r="I56" s="43" t="s">
        <v>104</v>
      </c>
      <c r="K56" s="43">
        <v>78</v>
      </c>
      <c r="L56" s="43" t="s">
        <v>65</v>
      </c>
      <c r="N56" s="43">
        <v>78</v>
      </c>
      <c r="O56" s="43" t="s">
        <v>65</v>
      </c>
      <c r="P56" s="11"/>
      <c r="Q56" s="43">
        <v>78</v>
      </c>
      <c r="R56" s="43" t="s">
        <v>123</v>
      </c>
    </row>
    <row r="57" spans="2:18" ht="15" customHeight="1" x14ac:dyDescent="0.2">
      <c r="B57" s="43">
        <v>66</v>
      </c>
      <c r="C57" s="43" t="s">
        <v>65</v>
      </c>
      <c r="E57" s="43">
        <v>66</v>
      </c>
      <c r="F57" s="43" t="s">
        <v>65</v>
      </c>
      <c r="H57" s="43">
        <v>66</v>
      </c>
      <c r="I57" s="43" t="s">
        <v>104</v>
      </c>
      <c r="K57" s="43">
        <v>66</v>
      </c>
      <c r="L57" s="43" t="s">
        <v>65</v>
      </c>
      <c r="N57" s="43">
        <v>66</v>
      </c>
      <c r="O57" s="43" t="s">
        <v>65</v>
      </c>
      <c r="P57" s="11"/>
      <c r="Q57" s="43">
        <v>66</v>
      </c>
      <c r="R57" s="43" t="s">
        <v>123</v>
      </c>
    </row>
    <row r="58" spans="2:18" ht="15" customHeight="1" x14ac:dyDescent="0.2">
      <c r="B58" s="43">
        <v>82</v>
      </c>
      <c r="C58" s="43" t="s">
        <v>65</v>
      </c>
      <c r="E58" s="43">
        <v>82</v>
      </c>
      <c r="F58" s="43" t="s">
        <v>65</v>
      </c>
      <c r="H58" s="43">
        <v>82</v>
      </c>
      <c r="I58" s="43" t="s">
        <v>104</v>
      </c>
      <c r="K58" s="43">
        <v>82</v>
      </c>
      <c r="L58" s="43" t="s">
        <v>65</v>
      </c>
      <c r="N58" s="43">
        <v>82</v>
      </c>
      <c r="O58" s="43" t="s">
        <v>65</v>
      </c>
      <c r="P58" s="11"/>
      <c r="Q58" s="43">
        <v>82</v>
      </c>
      <c r="R58" s="43" t="s">
        <v>123</v>
      </c>
    </row>
    <row r="59" spans="2:18" ht="15" customHeight="1" x14ac:dyDescent="0.2">
      <c r="B59" s="43">
        <v>67</v>
      </c>
      <c r="C59" s="43" t="s">
        <v>65</v>
      </c>
      <c r="E59" s="43">
        <v>67</v>
      </c>
      <c r="F59" s="43" t="s">
        <v>65</v>
      </c>
      <c r="H59" s="43">
        <v>67</v>
      </c>
      <c r="I59" s="43" t="s">
        <v>104</v>
      </c>
      <c r="K59" s="43">
        <v>67</v>
      </c>
      <c r="L59" s="43" t="s">
        <v>65</v>
      </c>
      <c r="N59" s="43">
        <v>67</v>
      </c>
      <c r="O59" s="43" t="s">
        <v>65</v>
      </c>
      <c r="P59" s="11"/>
      <c r="Q59" s="43">
        <v>67</v>
      </c>
      <c r="R59" s="43" t="s">
        <v>123</v>
      </c>
    </row>
    <row r="60" spans="2:18" ht="15" customHeight="1" x14ac:dyDescent="0.2">
      <c r="B60" s="43">
        <v>85</v>
      </c>
      <c r="C60" s="43" t="s">
        <v>65</v>
      </c>
      <c r="E60" s="43">
        <v>85</v>
      </c>
      <c r="F60" s="43" t="s">
        <v>65</v>
      </c>
      <c r="H60" s="43">
        <v>85</v>
      </c>
      <c r="I60" s="43" t="s">
        <v>104</v>
      </c>
      <c r="K60" s="43">
        <v>85</v>
      </c>
      <c r="L60" s="43" t="s">
        <v>65</v>
      </c>
      <c r="N60" s="43">
        <v>85</v>
      </c>
      <c r="O60" s="43" t="s">
        <v>65</v>
      </c>
      <c r="P60" s="11"/>
      <c r="Q60" s="43">
        <v>85</v>
      </c>
      <c r="R60" s="43" t="s">
        <v>123</v>
      </c>
    </row>
    <row r="61" spans="2:18" ht="15" customHeight="1" x14ac:dyDescent="0.2">
      <c r="B61" s="43">
        <v>86</v>
      </c>
      <c r="C61" s="43" t="s">
        <v>65</v>
      </c>
      <c r="E61" s="43">
        <v>86</v>
      </c>
      <c r="F61" s="43" t="s">
        <v>65</v>
      </c>
      <c r="H61" s="43">
        <v>86</v>
      </c>
      <c r="I61" s="43" t="s">
        <v>104</v>
      </c>
      <c r="K61" s="43">
        <v>86</v>
      </c>
      <c r="L61" s="43" t="s">
        <v>65</v>
      </c>
      <c r="N61" s="43">
        <v>86</v>
      </c>
      <c r="O61" s="43" t="s">
        <v>65</v>
      </c>
      <c r="P61" s="11"/>
      <c r="Q61" s="43">
        <v>86</v>
      </c>
      <c r="R61" s="43" t="s">
        <v>123</v>
      </c>
    </row>
    <row r="62" spans="2:18" ht="15" customHeight="1" x14ac:dyDescent="0.2">
      <c r="B62" s="43">
        <v>69</v>
      </c>
      <c r="C62" s="43" t="s">
        <v>65</v>
      </c>
      <c r="E62" s="43">
        <v>69</v>
      </c>
      <c r="F62" s="43" t="s">
        <v>65</v>
      </c>
      <c r="H62" s="43">
        <v>69</v>
      </c>
      <c r="I62" s="43" t="s">
        <v>104</v>
      </c>
      <c r="K62" s="43">
        <v>69</v>
      </c>
      <c r="L62" s="43" t="s">
        <v>65</v>
      </c>
      <c r="N62" s="43">
        <v>69</v>
      </c>
      <c r="O62" s="43" t="s">
        <v>65</v>
      </c>
      <c r="P62" s="11"/>
      <c r="Q62" s="43">
        <v>69</v>
      </c>
      <c r="R62" s="43" t="s">
        <v>123</v>
      </c>
    </row>
    <row r="63" spans="2:18" ht="15" customHeight="1" x14ac:dyDescent="0.2">
      <c r="B63" s="43">
        <v>80</v>
      </c>
      <c r="C63" s="43" t="s">
        <v>65</v>
      </c>
      <c r="E63" s="43">
        <v>80</v>
      </c>
      <c r="F63" s="43" t="s">
        <v>65</v>
      </c>
      <c r="H63" s="43">
        <v>80</v>
      </c>
      <c r="I63" s="43" t="s">
        <v>104</v>
      </c>
      <c r="K63" s="43">
        <v>80</v>
      </c>
      <c r="L63" s="43" t="s">
        <v>65</v>
      </c>
      <c r="N63" s="43">
        <v>80</v>
      </c>
      <c r="O63" s="43" t="s">
        <v>65</v>
      </c>
      <c r="P63" s="11"/>
      <c r="Q63" s="43">
        <v>80</v>
      </c>
      <c r="R63" s="43" t="s">
        <v>123</v>
      </c>
    </row>
    <row r="64" spans="2:18" ht="15" customHeight="1" x14ac:dyDescent="0.2">
      <c r="B64" s="43">
        <v>81</v>
      </c>
      <c r="C64" s="43" t="s">
        <v>65</v>
      </c>
      <c r="E64" s="43">
        <v>81</v>
      </c>
      <c r="F64" s="43" t="s">
        <v>65</v>
      </c>
      <c r="H64" s="43">
        <v>81</v>
      </c>
      <c r="I64" s="43" t="s">
        <v>104</v>
      </c>
      <c r="K64" s="43">
        <v>81</v>
      </c>
      <c r="L64" s="43" t="s">
        <v>65</v>
      </c>
      <c r="N64" s="43">
        <v>81</v>
      </c>
      <c r="O64" s="43" t="s">
        <v>65</v>
      </c>
      <c r="P64" s="11"/>
      <c r="Q64" s="43">
        <v>81</v>
      </c>
      <c r="R64" s="43" t="s">
        <v>123</v>
      </c>
    </row>
    <row r="65" spans="2:18" ht="15" customHeight="1" x14ac:dyDescent="0.2">
      <c r="B65" s="43">
        <v>68</v>
      </c>
      <c r="C65" s="43" t="s">
        <v>65</v>
      </c>
      <c r="E65" s="43">
        <v>68</v>
      </c>
      <c r="F65" s="43" t="s">
        <v>65</v>
      </c>
      <c r="H65" s="43">
        <v>68</v>
      </c>
      <c r="I65" s="43" t="s">
        <v>104</v>
      </c>
      <c r="K65" s="43">
        <v>68</v>
      </c>
      <c r="L65" s="43" t="s">
        <v>65</v>
      </c>
      <c r="N65" s="43">
        <v>68</v>
      </c>
      <c r="O65" s="43" t="s">
        <v>65</v>
      </c>
      <c r="P65" s="11"/>
      <c r="Q65" s="43">
        <v>68</v>
      </c>
      <c r="R65" s="43" t="s">
        <v>123</v>
      </c>
    </row>
    <row r="66" spans="2:18" ht="15" customHeight="1" x14ac:dyDescent="0.2">
      <c r="B66" s="43">
        <v>83</v>
      </c>
      <c r="C66" s="43" t="s">
        <v>65</v>
      </c>
      <c r="E66" s="43">
        <v>83</v>
      </c>
      <c r="F66" s="43" t="s">
        <v>65</v>
      </c>
      <c r="H66" s="43">
        <v>83</v>
      </c>
      <c r="I66" s="43" t="s">
        <v>104</v>
      </c>
      <c r="K66" s="43">
        <v>83</v>
      </c>
      <c r="L66" s="43" t="s">
        <v>65</v>
      </c>
      <c r="N66" s="43">
        <v>83</v>
      </c>
      <c r="O66" s="43" t="s">
        <v>65</v>
      </c>
      <c r="P66" s="11"/>
      <c r="Q66" s="43">
        <v>83</v>
      </c>
      <c r="R66" s="43" t="s">
        <v>123</v>
      </c>
    </row>
    <row r="67" spans="2:18" ht="15" customHeight="1" x14ac:dyDescent="0.2">
      <c r="B67" s="43">
        <v>84</v>
      </c>
      <c r="C67" s="43" t="s">
        <v>65</v>
      </c>
      <c r="E67" s="43">
        <v>84</v>
      </c>
      <c r="F67" s="43" t="s">
        <v>65</v>
      </c>
      <c r="H67" s="43">
        <v>84</v>
      </c>
      <c r="I67" s="43" t="s">
        <v>104</v>
      </c>
      <c r="K67" s="43">
        <v>84</v>
      </c>
      <c r="L67" s="43" t="s">
        <v>65</v>
      </c>
      <c r="N67" s="43">
        <v>84</v>
      </c>
      <c r="O67" s="43" t="s">
        <v>65</v>
      </c>
      <c r="P67" s="11"/>
      <c r="Q67" s="43">
        <v>84</v>
      </c>
      <c r="R67" s="43" t="s">
        <v>123</v>
      </c>
    </row>
    <row r="68" spans="2:18" ht="15" customHeight="1" x14ac:dyDescent="0.2">
      <c r="B68" s="43">
        <v>70</v>
      </c>
      <c r="C68" s="43" t="s">
        <v>65</v>
      </c>
      <c r="E68" s="43">
        <v>70</v>
      </c>
      <c r="F68" s="43" t="s">
        <v>65</v>
      </c>
      <c r="H68" s="43">
        <v>70</v>
      </c>
      <c r="I68" s="43" t="s">
        <v>104</v>
      </c>
      <c r="K68" s="43">
        <v>70</v>
      </c>
      <c r="L68" s="43" t="s">
        <v>65</v>
      </c>
      <c r="N68" s="43">
        <v>70</v>
      </c>
      <c r="O68" s="43" t="s">
        <v>65</v>
      </c>
      <c r="P68" s="11"/>
      <c r="Q68" s="43">
        <v>70</v>
      </c>
      <c r="R68" s="43" t="s">
        <v>123</v>
      </c>
    </row>
    <row r="69" spans="2:18" ht="15" customHeight="1" x14ac:dyDescent="0.2">
      <c r="B69" s="43">
        <v>79</v>
      </c>
      <c r="C69" s="43" t="s">
        <v>65</v>
      </c>
      <c r="E69" s="43">
        <v>79</v>
      </c>
      <c r="F69" s="43" t="s">
        <v>65</v>
      </c>
      <c r="H69" s="43">
        <v>79</v>
      </c>
      <c r="I69" s="43" t="s">
        <v>104</v>
      </c>
      <c r="K69" s="43">
        <v>79</v>
      </c>
      <c r="L69" s="43" t="s">
        <v>65</v>
      </c>
      <c r="N69" s="43">
        <v>79</v>
      </c>
      <c r="O69" s="43" t="s">
        <v>65</v>
      </c>
      <c r="P69" s="11"/>
      <c r="Q69" s="43">
        <v>79</v>
      </c>
      <c r="R69" s="43" t="s">
        <v>123</v>
      </c>
    </row>
    <row r="70" spans="2:18" ht="15" customHeight="1" x14ac:dyDescent="0.2">
      <c r="B70" s="43">
        <v>63</v>
      </c>
      <c r="C70" s="43" t="s">
        <v>65</v>
      </c>
      <c r="E70" s="43">
        <v>63</v>
      </c>
      <c r="F70" s="43" t="s">
        <v>65</v>
      </c>
      <c r="H70" s="43">
        <v>63</v>
      </c>
      <c r="I70" s="43" t="s">
        <v>104</v>
      </c>
      <c r="K70" s="43">
        <v>63</v>
      </c>
      <c r="L70" s="43" t="s">
        <v>65</v>
      </c>
      <c r="N70" s="43">
        <v>63</v>
      </c>
      <c r="O70" s="43" t="s">
        <v>65</v>
      </c>
      <c r="P70" s="11"/>
      <c r="Q70" s="43">
        <v>63</v>
      </c>
      <c r="R70" s="43" t="s">
        <v>123</v>
      </c>
    </row>
    <row r="71" spans="2:18" ht="15" customHeight="1" x14ac:dyDescent="0.2">
      <c r="B71" s="43">
        <v>75</v>
      </c>
      <c r="C71" s="43" t="s">
        <v>65</v>
      </c>
      <c r="E71" s="43">
        <v>75</v>
      </c>
      <c r="F71" s="43" t="s">
        <v>65</v>
      </c>
      <c r="H71" s="43">
        <v>75</v>
      </c>
      <c r="I71" s="43" t="s">
        <v>104</v>
      </c>
      <c r="K71" s="43">
        <v>75</v>
      </c>
      <c r="L71" s="43" t="s">
        <v>65</v>
      </c>
      <c r="N71" s="43">
        <v>75</v>
      </c>
      <c r="O71" s="43" t="s">
        <v>65</v>
      </c>
      <c r="P71" s="11"/>
      <c r="Q71" s="43">
        <v>75</v>
      </c>
      <c r="R71" s="43" t="s">
        <v>123</v>
      </c>
    </row>
    <row r="72" spans="2:18" ht="15" customHeight="1" x14ac:dyDescent="0.2">
      <c r="B72" s="43">
        <v>71</v>
      </c>
      <c r="C72" s="43" t="s">
        <v>65</v>
      </c>
      <c r="E72" s="43">
        <v>71</v>
      </c>
      <c r="F72" s="43" t="s">
        <v>65</v>
      </c>
      <c r="H72" s="43">
        <v>71</v>
      </c>
      <c r="I72" s="43" t="s">
        <v>104</v>
      </c>
      <c r="K72" s="43">
        <v>71</v>
      </c>
      <c r="L72" s="43" t="s">
        <v>65</v>
      </c>
      <c r="N72" s="43">
        <v>71</v>
      </c>
      <c r="O72" s="43" t="s">
        <v>65</v>
      </c>
      <c r="P72" s="11"/>
      <c r="Q72" s="43">
        <v>71</v>
      </c>
      <c r="R72" s="43" t="s">
        <v>123</v>
      </c>
    </row>
    <row r="73" spans="2:18" ht="15" customHeight="1" x14ac:dyDescent="0.2">
      <c r="B73" s="43">
        <v>72</v>
      </c>
      <c r="C73" s="43" t="s">
        <v>65</v>
      </c>
      <c r="E73" s="43">
        <v>72</v>
      </c>
      <c r="F73" s="43" t="s">
        <v>65</v>
      </c>
      <c r="H73" s="43">
        <v>72</v>
      </c>
      <c r="I73" s="43" t="s">
        <v>104</v>
      </c>
      <c r="K73" s="43">
        <v>72</v>
      </c>
      <c r="L73" s="43" t="s">
        <v>65</v>
      </c>
      <c r="N73" s="43">
        <v>72</v>
      </c>
      <c r="O73" s="43" t="s">
        <v>65</v>
      </c>
      <c r="P73" s="11"/>
      <c r="Q73" s="43">
        <v>72</v>
      </c>
      <c r="R73" s="43" t="s">
        <v>123</v>
      </c>
    </row>
    <row r="74" spans="2:18" ht="15" customHeight="1" x14ac:dyDescent="0.2">
      <c r="B74" s="43">
        <v>76</v>
      </c>
      <c r="C74" s="43" t="s">
        <v>65</v>
      </c>
      <c r="E74" s="43">
        <v>76</v>
      </c>
      <c r="F74" s="43" t="s">
        <v>65</v>
      </c>
      <c r="H74" s="43">
        <v>76</v>
      </c>
      <c r="I74" s="43" t="s">
        <v>104</v>
      </c>
      <c r="K74" s="43">
        <v>76</v>
      </c>
      <c r="L74" s="43" t="s">
        <v>65</v>
      </c>
      <c r="N74" s="43">
        <v>76</v>
      </c>
      <c r="O74" s="43" t="s">
        <v>65</v>
      </c>
      <c r="P74" s="11"/>
      <c r="Q74" s="43">
        <v>76</v>
      </c>
      <c r="R74" s="43" t="s">
        <v>123</v>
      </c>
    </row>
    <row r="75" spans="2:18" ht="15" customHeight="1" x14ac:dyDescent="0.2">
      <c r="B75" s="43">
        <v>64</v>
      </c>
      <c r="C75" s="43" t="s">
        <v>65</v>
      </c>
      <c r="E75" s="43">
        <v>64</v>
      </c>
      <c r="F75" s="43" t="s">
        <v>65</v>
      </c>
      <c r="H75" s="43">
        <v>64</v>
      </c>
      <c r="I75" s="43" t="s">
        <v>104</v>
      </c>
      <c r="K75" s="43">
        <v>64</v>
      </c>
      <c r="L75" s="43" t="s">
        <v>65</v>
      </c>
      <c r="N75" s="43">
        <v>64</v>
      </c>
      <c r="O75" s="43" t="s">
        <v>65</v>
      </c>
      <c r="P75" s="11"/>
      <c r="Q75" s="43">
        <v>64</v>
      </c>
      <c r="R75" s="43" t="s">
        <v>123</v>
      </c>
    </row>
    <row r="76" spans="2:18" ht="15" customHeight="1" x14ac:dyDescent="0.2">
      <c r="B76" s="43">
        <v>127</v>
      </c>
      <c r="C76" s="43" t="s">
        <v>65</v>
      </c>
      <c r="E76" s="43">
        <v>127</v>
      </c>
      <c r="F76" s="43" t="s">
        <v>65</v>
      </c>
      <c r="H76" s="43">
        <v>127</v>
      </c>
      <c r="I76" s="43" t="s">
        <v>104</v>
      </c>
      <c r="K76" s="43">
        <v>127</v>
      </c>
      <c r="L76" s="43" t="s">
        <v>65</v>
      </c>
      <c r="N76" s="43">
        <v>127</v>
      </c>
      <c r="O76" s="43" t="s">
        <v>65</v>
      </c>
      <c r="P76" s="11"/>
      <c r="Q76" s="43">
        <v>127</v>
      </c>
      <c r="R76" s="43" t="s">
        <v>123</v>
      </c>
    </row>
    <row r="77" spans="2:18" ht="15" customHeight="1" x14ac:dyDescent="0.2">
      <c r="B77" s="43">
        <v>139</v>
      </c>
      <c r="C77" s="43" t="s">
        <v>65</v>
      </c>
      <c r="E77" s="43">
        <v>139</v>
      </c>
      <c r="F77" s="43" t="s">
        <v>65</v>
      </c>
      <c r="H77" s="43">
        <v>139</v>
      </c>
      <c r="I77" s="43" t="s">
        <v>104</v>
      </c>
      <c r="K77" s="43">
        <v>139</v>
      </c>
      <c r="L77" s="43" t="s">
        <v>65</v>
      </c>
      <c r="N77" s="43">
        <v>139</v>
      </c>
      <c r="O77" s="43" t="s">
        <v>65</v>
      </c>
      <c r="P77" s="11"/>
      <c r="Q77" s="43">
        <v>139</v>
      </c>
      <c r="R77" s="43" t="s">
        <v>123</v>
      </c>
    </row>
    <row r="78" spans="2:18" ht="15" customHeight="1" x14ac:dyDescent="0.2">
      <c r="B78" s="43">
        <v>135</v>
      </c>
      <c r="C78" s="43" t="s">
        <v>65</v>
      </c>
      <c r="E78" s="43">
        <v>135</v>
      </c>
      <c r="F78" s="43" t="s">
        <v>65</v>
      </c>
      <c r="H78" s="43">
        <v>135</v>
      </c>
      <c r="I78" s="43" t="s">
        <v>104</v>
      </c>
      <c r="K78" s="43">
        <v>135</v>
      </c>
      <c r="L78" s="43" t="s">
        <v>65</v>
      </c>
      <c r="N78" s="43">
        <v>135</v>
      </c>
      <c r="O78" s="43" t="s">
        <v>65</v>
      </c>
      <c r="P78" s="11"/>
      <c r="Q78" s="43">
        <v>135</v>
      </c>
      <c r="R78" s="43" t="s">
        <v>123</v>
      </c>
    </row>
    <row r="79" spans="2:18" ht="15" customHeight="1" x14ac:dyDescent="0.2">
      <c r="B79" s="43">
        <v>136</v>
      </c>
      <c r="C79" s="43" t="s">
        <v>65</v>
      </c>
      <c r="E79" s="43">
        <v>136</v>
      </c>
      <c r="F79" s="43" t="s">
        <v>65</v>
      </c>
      <c r="H79" s="43">
        <v>136</v>
      </c>
      <c r="I79" s="43" t="s">
        <v>104</v>
      </c>
      <c r="K79" s="43">
        <v>136</v>
      </c>
      <c r="L79" s="43" t="s">
        <v>65</v>
      </c>
      <c r="N79" s="43">
        <v>136</v>
      </c>
      <c r="O79" s="43" t="s">
        <v>65</v>
      </c>
      <c r="P79" s="11"/>
      <c r="Q79" s="43">
        <v>136</v>
      </c>
      <c r="R79" s="43" t="s">
        <v>123</v>
      </c>
    </row>
    <row r="80" spans="2:18" ht="15" customHeight="1" x14ac:dyDescent="0.2">
      <c r="B80" s="43">
        <v>140</v>
      </c>
      <c r="C80" s="43" t="s">
        <v>65</v>
      </c>
      <c r="E80" s="43">
        <v>140</v>
      </c>
      <c r="F80" s="43" t="s">
        <v>65</v>
      </c>
      <c r="H80" s="43">
        <v>140</v>
      </c>
      <c r="I80" s="43" t="s">
        <v>104</v>
      </c>
      <c r="K80" s="43">
        <v>140</v>
      </c>
      <c r="L80" s="43" t="s">
        <v>65</v>
      </c>
      <c r="N80" s="43">
        <v>140</v>
      </c>
      <c r="O80" s="43" t="s">
        <v>65</v>
      </c>
      <c r="P80" s="11"/>
      <c r="Q80" s="43">
        <v>140</v>
      </c>
      <c r="R80" s="43" t="s">
        <v>123</v>
      </c>
    </row>
    <row r="81" spans="2:18" ht="15" customHeight="1" x14ac:dyDescent="0.2">
      <c r="B81" s="43">
        <v>128</v>
      </c>
      <c r="C81" s="43" t="s">
        <v>65</v>
      </c>
      <c r="E81" s="43">
        <v>128</v>
      </c>
      <c r="F81" s="43" t="s">
        <v>65</v>
      </c>
      <c r="H81" s="43">
        <v>128</v>
      </c>
      <c r="I81" s="43" t="s">
        <v>104</v>
      </c>
      <c r="K81" s="43">
        <v>128</v>
      </c>
      <c r="L81" s="43" t="s">
        <v>65</v>
      </c>
      <c r="N81" s="43">
        <v>128</v>
      </c>
      <c r="O81" s="43" t="s">
        <v>65</v>
      </c>
      <c r="P81" s="11"/>
      <c r="Q81" s="43">
        <v>128</v>
      </c>
      <c r="R81" s="43" t="s">
        <v>123</v>
      </c>
    </row>
    <row r="82" spans="2:18" ht="15" customHeight="1" x14ac:dyDescent="0.2">
      <c r="B82" s="43">
        <v>144</v>
      </c>
      <c r="C82" s="43" t="s">
        <v>65</v>
      </c>
      <c r="E82" s="43">
        <v>144</v>
      </c>
      <c r="F82" s="43" t="s">
        <v>65</v>
      </c>
      <c r="H82" s="43">
        <v>144</v>
      </c>
      <c r="I82" s="43" t="s">
        <v>104</v>
      </c>
      <c r="K82" s="43">
        <v>144</v>
      </c>
      <c r="L82" s="43" t="s">
        <v>65</v>
      </c>
      <c r="N82" s="43">
        <v>144</v>
      </c>
      <c r="O82" s="43" t="s">
        <v>65</v>
      </c>
      <c r="P82" s="11"/>
      <c r="Q82" s="43">
        <v>144</v>
      </c>
      <c r="R82" s="43" t="s">
        <v>123</v>
      </c>
    </row>
    <row r="83" spans="2:18" ht="15" customHeight="1" x14ac:dyDescent="0.2">
      <c r="B83" s="43">
        <v>129</v>
      </c>
      <c r="C83" s="43" t="s">
        <v>65</v>
      </c>
      <c r="E83" s="43">
        <v>129</v>
      </c>
      <c r="F83" s="43" t="s">
        <v>65</v>
      </c>
      <c r="H83" s="43">
        <v>129</v>
      </c>
      <c r="I83" s="43" t="s">
        <v>104</v>
      </c>
      <c r="K83" s="43">
        <v>129</v>
      </c>
      <c r="L83" s="43" t="s">
        <v>65</v>
      </c>
      <c r="N83" s="43">
        <v>129</v>
      </c>
      <c r="O83" s="43" t="s">
        <v>65</v>
      </c>
      <c r="P83" s="11"/>
      <c r="Q83" s="43">
        <v>129</v>
      </c>
      <c r="R83" s="43" t="s">
        <v>123</v>
      </c>
    </row>
    <row r="84" spans="2:18" ht="15" customHeight="1" x14ac:dyDescent="0.2">
      <c r="B84" s="43">
        <v>147</v>
      </c>
      <c r="C84" s="43" t="s">
        <v>65</v>
      </c>
      <c r="E84" s="43">
        <v>147</v>
      </c>
      <c r="F84" s="43" t="s">
        <v>65</v>
      </c>
      <c r="H84" s="43">
        <v>147</v>
      </c>
      <c r="I84" s="43" t="s">
        <v>104</v>
      </c>
      <c r="K84" s="43">
        <v>147</v>
      </c>
      <c r="L84" s="43" t="s">
        <v>65</v>
      </c>
      <c r="N84" s="43">
        <v>147</v>
      </c>
      <c r="O84" s="43" t="s">
        <v>65</v>
      </c>
      <c r="P84" s="11"/>
      <c r="Q84" s="43">
        <v>147</v>
      </c>
      <c r="R84" s="43" t="s">
        <v>123</v>
      </c>
    </row>
    <row r="85" spans="2:18" ht="15" customHeight="1" x14ac:dyDescent="0.2">
      <c r="B85" s="43">
        <v>148</v>
      </c>
      <c r="C85" s="43" t="s">
        <v>65</v>
      </c>
      <c r="E85" s="43">
        <v>148</v>
      </c>
      <c r="F85" s="43" t="s">
        <v>65</v>
      </c>
      <c r="H85" s="43">
        <v>148</v>
      </c>
      <c r="I85" s="43" t="s">
        <v>104</v>
      </c>
      <c r="K85" s="43">
        <v>148</v>
      </c>
      <c r="L85" s="43" t="s">
        <v>65</v>
      </c>
      <c r="N85" s="43">
        <v>148</v>
      </c>
      <c r="O85" s="43" t="s">
        <v>65</v>
      </c>
      <c r="P85" s="11"/>
      <c r="Q85" s="43">
        <v>148</v>
      </c>
      <c r="R85" s="43" t="s">
        <v>123</v>
      </c>
    </row>
    <row r="86" spans="2:18" ht="15" customHeight="1" x14ac:dyDescent="0.2">
      <c r="B86" s="43">
        <v>131</v>
      </c>
      <c r="C86" s="43" t="s">
        <v>65</v>
      </c>
      <c r="E86" s="43">
        <v>131</v>
      </c>
      <c r="F86" s="43" t="s">
        <v>65</v>
      </c>
      <c r="H86" s="43">
        <v>131</v>
      </c>
      <c r="I86" s="43" t="s">
        <v>104</v>
      </c>
      <c r="K86" s="43">
        <v>131</v>
      </c>
      <c r="L86" s="43" t="s">
        <v>65</v>
      </c>
      <c r="N86" s="43">
        <v>131</v>
      </c>
      <c r="O86" s="43" t="s">
        <v>65</v>
      </c>
      <c r="P86" s="11"/>
      <c r="Q86" s="43">
        <v>131</v>
      </c>
      <c r="R86" s="43" t="s">
        <v>123</v>
      </c>
    </row>
    <row r="87" spans="2:18" ht="15" customHeight="1" x14ac:dyDescent="0.2">
      <c r="B87" s="43">
        <v>142</v>
      </c>
      <c r="C87" s="43" t="s">
        <v>65</v>
      </c>
      <c r="E87" s="43">
        <v>142</v>
      </c>
      <c r="F87" s="43" t="s">
        <v>65</v>
      </c>
      <c r="H87" s="43">
        <v>142</v>
      </c>
      <c r="I87" s="43" t="s">
        <v>104</v>
      </c>
      <c r="K87" s="43">
        <v>142</v>
      </c>
      <c r="L87" s="43" t="s">
        <v>65</v>
      </c>
      <c r="N87" s="43">
        <v>142</v>
      </c>
      <c r="O87" s="43" t="s">
        <v>65</v>
      </c>
      <c r="P87" s="11"/>
      <c r="Q87" s="43">
        <v>142</v>
      </c>
      <c r="R87" s="43" t="s">
        <v>123</v>
      </c>
    </row>
    <row r="88" spans="2:18" ht="15" customHeight="1" x14ac:dyDescent="0.2">
      <c r="B88" s="43">
        <v>143</v>
      </c>
      <c r="C88" s="43" t="s">
        <v>65</v>
      </c>
      <c r="E88" s="43">
        <v>143</v>
      </c>
      <c r="F88" s="43" t="s">
        <v>65</v>
      </c>
      <c r="H88" s="43">
        <v>143</v>
      </c>
      <c r="I88" s="43" t="s">
        <v>104</v>
      </c>
      <c r="K88" s="43">
        <v>143</v>
      </c>
      <c r="L88" s="43" t="s">
        <v>65</v>
      </c>
      <c r="N88" s="43">
        <v>143</v>
      </c>
      <c r="O88" s="43" t="s">
        <v>65</v>
      </c>
      <c r="P88" s="11"/>
      <c r="Q88" s="43">
        <v>143</v>
      </c>
      <c r="R88" s="43" t="s">
        <v>123</v>
      </c>
    </row>
    <row r="89" spans="2:18" ht="15" customHeight="1" x14ac:dyDescent="0.2">
      <c r="B89" s="43">
        <v>130</v>
      </c>
      <c r="C89" s="43" t="s">
        <v>65</v>
      </c>
      <c r="E89" s="43">
        <v>130</v>
      </c>
      <c r="F89" s="43" t="s">
        <v>65</v>
      </c>
      <c r="H89" s="43">
        <v>130</v>
      </c>
      <c r="I89" s="43" t="s">
        <v>104</v>
      </c>
      <c r="K89" s="43">
        <v>130</v>
      </c>
      <c r="L89" s="43" t="s">
        <v>65</v>
      </c>
      <c r="N89" s="43">
        <v>130</v>
      </c>
      <c r="O89" s="43" t="s">
        <v>65</v>
      </c>
      <c r="P89" s="11"/>
      <c r="Q89" s="43">
        <v>130</v>
      </c>
      <c r="R89" s="43" t="s">
        <v>123</v>
      </c>
    </row>
    <row r="90" spans="2:18" ht="15" customHeight="1" x14ac:dyDescent="0.2">
      <c r="B90" s="43">
        <v>145</v>
      </c>
      <c r="C90" s="43" t="s">
        <v>65</v>
      </c>
      <c r="E90" s="43">
        <v>145</v>
      </c>
      <c r="F90" s="43" t="s">
        <v>65</v>
      </c>
      <c r="H90" s="43">
        <v>145</v>
      </c>
      <c r="I90" s="43" t="s">
        <v>104</v>
      </c>
      <c r="K90" s="43">
        <v>145</v>
      </c>
      <c r="L90" s="43" t="s">
        <v>65</v>
      </c>
      <c r="N90" s="43">
        <v>145</v>
      </c>
      <c r="O90" s="43" t="s">
        <v>65</v>
      </c>
      <c r="P90" s="11"/>
      <c r="Q90" s="43">
        <v>145</v>
      </c>
      <c r="R90" s="43" t="s">
        <v>123</v>
      </c>
    </row>
    <row r="91" spans="2:18" ht="15" customHeight="1" x14ac:dyDescent="0.2">
      <c r="B91" s="43">
        <v>146</v>
      </c>
      <c r="C91" s="43" t="s">
        <v>65</v>
      </c>
      <c r="E91" s="43">
        <v>146</v>
      </c>
      <c r="F91" s="43" t="s">
        <v>65</v>
      </c>
      <c r="H91" s="43">
        <v>146</v>
      </c>
      <c r="I91" s="43" t="s">
        <v>104</v>
      </c>
      <c r="K91" s="43">
        <v>146</v>
      </c>
      <c r="L91" s="43" t="s">
        <v>65</v>
      </c>
      <c r="N91" s="43">
        <v>146</v>
      </c>
      <c r="O91" s="43" t="s">
        <v>65</v>
      </c>
      <c r="P91" s="11"/>
      <c r="Q91" s="43">
        <v>146</v>
      </c>
      <c r="R91" s="43" t="s">
        <v>123</v>
      </c>
    </row>
    <row r="92" spans="2:18" ht="15" customHeight="1" x14ac:dyDescent="0.2">
      <c r="B92" s="43">
        <v>132</v>
      </c>
      <c r="C92" s="43" t="s">
        <v>65</v>
      </c>
      <c r="E92" s="43">
        <v>132</v>
      </c>
      <c r="F92" s="43" t="s">
        <v>65</v>
      </c>
      <c r="H92" s="43">
        <v>132</v>
      </c>
      <c r="I92" s="43" t="s">
        <v>104</v>
      </c>
      <c r="K92" s="43">
        <v>132</v>
      </c>
      <c r="L92" s="43" t="s">
        <v>65</v>
      </c>
      <c r="N92" s="43">
        <v>132</v>
      </c>
      <c r="O92" s="43" t="s">
        <v>65</v>
      </c>
      <c r="P92" s="11"/>
      <c r="Q92" s="43">
        <v>132</v>
      </c>
      <c r="R92" s="43" t="s">
        <v>123</v>
      </c>
    </row>
    <row r="93" spans="2:18" ht="15" customHeight="1" x14ac:dyDescent="0.2">
      <c r="B93" s="43">
        <v>141</v>
      </c>
      <c r="C93" s="43" t="s">
        <v>65</v>
      </c>
      <c r="E93" s="43">
        <v>141</v>
      </c>
      <c r="F93" s="43" t="s">
        <v>65</v>
      </c>
      <c r="H93" s="43">
        <v>141</v>
      </c>
      <c r="I93" s="43" t="s">
        <v>104</v>
      </c>
      <c r="K93" s="43">
        <v>141</v>
      </c>
      <c r="L93" s="43" t="s">
        <v>65</v>
      </c>
      <c r="N93" s="43">
        <v>141</v>
      </c>
      <c r="O93" s="43" t="s">
        <v>65</v>
      </c>
      <c r="P93" s="11"/>
      <c r="Q93" s="43">
        <v>141</v>
      </c>
      <c r="R93" s="43" t="s">
        <v>123</v>
      </c>
    </row>
    <row r="94" spans="2:18" ht="15" customHeight="1" x14ac:dyDescent="0.2">
      <c r="B94" s="43">
        <v>125</v>
      </c>
      <c r="C94" s="43" t="s">
        <v>65</v>
      </c>
      <c r="E94" s="43">
        <v>125</v>
      </c>
      <c r="F94" s="43" t="s">
        <v>65</v>
      </c>
      <c r="H94" s="43">
        <v>125</v>
      </c>
      <c r="I94" s="43" t="s">
        <v>104</v>
      </c>
      <c r="K94" s="43">
        <v>125</v>
      </c>
      <c r="L94" s="43" t="s">
        <v>65</v>
      </c>
      <c r="N94" s="43">
        <v>125</v>
      </c>
      <c r="O94" s="43" t="s">
        <v>65</v>
      </c>
      <c r="P94" s="11"/>
      <c r="Q94" s="43">
        <v>125</v>
      </c>
      <c r="R94" s="43" t="s">
        <v>123</v>
      </c>
    </row>
    <row r="95" spans="2:18" ht="15" customHeight="1" x14ac:dyDescent="0.2">
      <c r="B95" s="43">
        <v>137</v>
      </c>
      <c r="C95" s="43" t="s">
        <v>65</v>
      </c>
      <c r="E95" s="43">
        <v>137</v>
      </c>
      <c r="F95" s="43" t="s">
        <v>65</v>
      </c>
      <c r="H95" s="43">
        <v>137</v>
      </c>
      <c r="I95" s="43" t="s">
        <v>104</v>
      </c>
      <c r="K95" s="43">
        <v>137</v>
      </c>
      <c r="L95" s="43" t="s">
        <v>65</v>
      </c>
      <c r="N95" s="43">
        <v>137</v>
      </c>
      <c r="O95" s="43" t="s">
        <v>65</v>
      </c>
      <c r="P95" s="11"/>
      <c r="Q95" s="43">
        <v>137</v>
      </c>
      <c r="R95" s="43" t="s">
        <v>123</v>
      </c>
    </row>
    <row r="96" spans="2:18" ht="15" customHeight="1" x14ac:dyDescent="0.2">
      <c r="B96" s="43">
        <v>133</v>
      </c>
      <c r="C96" s="43" t="s">
        <v>65</v>
      </c>
      <c r="E96" s="43">
        <v>133</v>
      </c>
      <c r="F96" s="43" t="s">
        <v>65</v>
      </c>
      <c r="H96" s="43">
        <v>133</v>
      </c>
      <c r="I96" s="43" t="s">
        <v>104</v>
      </c>
      <c r="K96" s="43">
        <v>133</v>
      </c>
      <c r="L96" s="43" t="s">
        <v>65</v>
      </c>
      <c r="N96" s="43">
        <v>133</v>
      </c>
      <c r="O96" s="43" t="s">
        <v>65</v>
      </c>
      <c r="P96" s="11"/>
      <c r="Q96" s="43">
        <v>133</v>
      </c>
      <c r="R96" s="43" t="s">
        <v>123</v>
      </c>
    </row>
    <row r="97" spans="2:18" ht="15" customHeight="1" x14ac:dyDescent="0.2">
      <c r="B97" s="43">
        <v>134</v>
      </c>
      <c r="C97" s="43" t="s">
        <v>65</v>
      </c>
      <c r="E97" s="43">
        <v>134</v>
      </c>
      <c r="F97" s="43" t="s">
        <v>65</v>
      </c>
      <c r="H97" s="43">
        <v>134</v>
      </c>
      <c r="I97" s="43" t="s">
        <v>104</v>
      </c>
      <c r="K97" s="43">
        <v>134</v>
      </c>
      <c r="L97" s="43" t="s">
        <v>65</v>
      </c>
      <c r="N97" s="43">
        <v>134</v>
      </c>
      <c r="O97" s="43" t="s">
        <v>65</v>
      </c>
      <c r="P97" s="11"/>
      <c r="Q97" s="43">
        <v>134</v>
      </c>
      <c r="R97" s="43" t="s">
        <v>123</v>
      </c>
    </row>
    <row r="98" spans="2:18" ht="15" customHeight="1" x14ac:dyDescent="0.2">
      <c r="B98" s="43">
        <v>138</v>
      </c>
      <c r="C98" s="43" t="s">
        <v>65</v>
      </c>
      <c r="E98" s="43">
        <v>138</v>
      </c>
      <c r="F98" s="43" t="s">
        <v>65</v>
      </c>
      <c r="H98" s="43">
        <v>138</v>
      </c>
      <c r="I98" s="43" t="s">
        <v>104</v>
      </c>
      <c r="K98" s="43">
        <v>138</v>
      </c>
      <c r="L98" s="43" t="s">
        <v>65</v>
      </c>
      <c r="N98" s="43">
        <v>138</v>
      </c>
      <c r="O98" s="43" t="s">
        <v>65</v>
      </c>
      <c r="P98" s="11"/>
      <c r="Q98" s="43">
        <v>138</v>
      </c>
      <c r="R98" s="43" t="s">
        <v>123</v>
      </c>
    </row>
    <row r="99" spans="2:18" ht="15" customHeight="1" x14ac:dyDescent="0.2">
      <c r="B99" s="43">
        <v>126</v>
      </c>
      <c r="C99" s="43" t="s">
        <v>65</v>
      </c>
      <c r="E99" s="43">
        <v>126</v>
      </c>
      <c r="F99" s="43" t="s">
        <v>65</v>
      </c>
      <c r="H99" s="43">
        <v>126</v>
      </c>
      <c r="I99" s="43" t="s">
        <v>104</v>
      </c>
      <c r="K99" s="43">
        <v>126</v>
      </c>
      <c r="L99" s="43" t="s">
        <v>65</v>
      </c>
      <c r="N99" s="43">
        <v>126</v>
      </c>
      <c r="O99" s="43" t="s">
        <v>65</v>
      </c>
      <c r="P99" s="11"/>
      <c r="Q99" s="43">
        <v>126</v>
      </c>
      <c r="R99" s="43" t="s">
        <v>123</v>
      </c>
    </row>
    <row r="100" spans="2:18" ht="15" customHeight="1" x14ac:dyDescent="0.2">
      <c r="B100" s="43">
        <v>3</v>
      </c>
      <c r="C100" s="43" t="s">
        <v>65</v>
      </c>
      <c r="E100" s="43">
        <v>3</v>
      </c>
      <c r="F100" s="43" t="s">
        <v>65</v>
      </c>
      <c r="H100" s="43">
        <v>3</v>
      </c>
      <c r="I100" s="43" t="s">
        <v>104</v>
      </c>
      <c r="K100" s="43">
        <v>3</v>
      </c>
      <c r="L100" s="43" t="s">
        <v>65</v>
      </c>
      <c r="N100" s="43">
        <v>3</v>
      </c>
      <c r="O100" s="43" t="s">
        <v>65</v>
      </c>
      <c r="P100" s="11"/>
      <c r="Q100" s="43">
        <v>3</v>
      </c>
      <c r="R100" s="43" t="s">
        <v>123</v>
      </c>
    </row>
    <row r="101" spans="2:18" ht="15" customHeight="1" x14ac:dyDescent="0.2">
      <c r="B101" s="43">
        <v>15</v>
      </c>
      <c r="C101" s="43" t="s">
        <v>65</v>
      </c>
      <c r="E101" s="43">
        <v>15</v>
      </c>
      <c r="F101" s="43" t="s">
        <v>65</v>
      </c>
      <c r="H101" s="43">
        <v>15</v>
      </c>
      <c r="I101" s="43" t="s">
        <v>104</v>
      </c>
      <c r="K101" s="43">
        <v>15</v>
      </c>
      <c r="L101" s="43" t="s">
        <v>65</v>
      </c>
      <c r="N101" s="43">
        <v>15</v>
      </c>
      <c r="O101" s="43" t="s">
        <v>65</v>
      </c>
      <c r="P101" s="11"/>
      <c r="Q101" s="43">
        <v>15</v>
      </c>
      <c r="R101" s="43" t="s">
        <v>123</v>
      </c>
    </row>
    <row r="102" spans="2:18" ht="15" customHeight="1" x14ac:dyDescent="0.2">
      <c r="B102" s="43">
        <v>11</v>
      </c>
      <c r="C102" s="43" t="s">
        <v>65</v>
      </c>
      <c r="E102" s="43">
        <v>11</v>
      </c>
      <c r="F102" s="43" t="s">
        <v>65</v>
      </c>
      <c r="H102" s="43">
        <v>11</v>
      </c>
      <c r="I102" s="43" t="s">
        <v>104</v>
      </c>
      <c r="K102" s="43">
        <v>11</v>
      </c>
      <c r="L102" s="43" t="s">
        <v>65</v>
      </c>
      <c r="N102" s="43">
        <v>11</v>
      </c>
      <c r="O102" s="43" t="s">
        <v>65</v>
      </c>
      <c r="P102" s="11"/>
      <c r="Q102" s="43">
        <v>11</v>
      </c>
      <c r="R102" s="43" t="s">
        <v>123</v>
      </c>
    </row>
    <row r="103" spans="2:18" ht="15" customHeight="1" x14ac:dyDescent="0.2">
      <c r="B103" s="43">
        <v>12</v>
      </c>
      <c r="C103" s="43" t="s">
        <v>65</v>
      </c>
      <c r="E103" s="43">
        <v>12</v>
      </c>
      <c r="F103" s="43" t="s">
        <v>65</v>
      </c>
      <c r="H103" s="43">
        <v>12</v>
      </c>
      <c r="I103" s="43" t="s">
        <v>104</v>
      </c>
      <c r="K103" s="43">
        <v>12</v>
      </c>
      <c r="L103" s="43" t="s">
        <v>65</v>
      </c>
      <c r="N103" s="43">
        <v>12</v>
      </c>
      <c r="O103" s="43" t="s">
        <v>65</v>
      </c>
      <c r="P103" s="11"/>
      <c r="Q103" s="43">
        <v>12</v>
      </c>
      <c r="R103" s="43" t="s">
        <v>123</v>
      </c>
    </row>
    <row r="104" spans="2:18" ht="15" customHeight="1" x14ac:dyDescent="0.2">
      <c r="B104" s="43">
        <v>16</v>
      </c>
      <c r="C104" s="43" t="s">
        <v>65</v>
      </c>
      <c r="E104" s="43">
        <v>16</v>
      </c>
      <c r="F104" s="43" t="s">
        <v>65</v>
      </c>
      <c r="H104" s="43">
        <v>16</v>
      </c>
      <c r="I104" s="43" t="s">
        <v>104</v>
      </c>
      <c r="K104" s="43">
        <v>16</v>
      </c>
      <c r="L104" s="43" t="s">
        <v>65</v>
      </c>
      <c r="N104" s="43">
        <v>16</v>
      </c>
      <c r="O104" s="43" t="s">
        <v>65</v>
      </c>
      <c r="P104" s="11"/>
      <c r="Q104" s="43">
        <v>16</v>
      </c>
      <c r="R104" s="43" t="s">
        <v>123</v>
      </c>
    </row>
    <row r="105" spans="2:18" ht="15" customHeight="1" x14ac:dyDescent="0.2">
      <c r="B105" s="43">
        <v>4</v>
      </c>
      <c r="C105" s="43" t="s">
        <v>65</v>
      </c>
      <c r="E105" s="43">
        <v>4</v>
      </c>
      <c r="F105" s="43" t="s">
        <v>65</v>
      </c>
      <c r="H105" s="43">
        <v>4</v>
      </c>
      <c r="I105" s="43" t="s">
        <v>104</v>
      </c>
      <c r="K105" s="43">
        <v>4</v>
      </c>
      <c r="L105" s="43" t="s">
        <v>65</v>
      </c>
      <c r="N105" s="43">
        <v>4</v>
      </c>
      <c r="O105" s="43" t="s">
        <v>65</v>
      </c>
      <c r="P105" s="11"/>
      <c r="Q105" s="43">
        <v>4</v>
      </c>
      <c r="R105" s="43" t="s">
        <v>123</v>
      </c>
    </row>
    <row r="106" spans="2:18" ht="15" customHeight="1" x14ac:dyDescent="0.2">
      <c r="B106" s="43">
        <v>20</v>
      </c>
      <c r="C106" s="43" t="s">
        <v>65</v>
      </c>
      <c r="E106" s="43">
        <v>20</v>
      </c>
      <c r="F106" s="43" t="s">
        <v>65</v>
      </c>
      <c r="H106" s="43">
        <v>20</v>
      </c>
      <c r="I106" s="43" t="s">
        <v>104</v>
      </c>
      <c r="K106" s="43">
        <v>20</v>
      </c>
      <c r="L106" s="43" t="s">
        <v>65</v>
      </c>
      <c r="N106" s="43">
        <v>20</v>
      </c>
      <c r="O106" s="43" t="s">
        <v>65</v>
      </c>
      <c r="P106" s="11"/>
      <c r="Q106" s="43">
        <v>20</v>
      </c>
      <c r="R106" s="43" t="s">
        <v>123</v>
      </c>
    </row>
    <row r="107" spans="2:18" ht="15" customHeight="1" x14ac:dyDescent="0.2">
      <c r="B107" s="43">
        <v>5</v>
      </c>
      <c r="C107" s="43" t="s">
        <v>65</v>
      </c>
      <c r="E107" s="43">
        <v>5</v>
      </c>
      <c r="F107" s="43" t="s">
        <v>65</v>
      </c>
      <c r="H107" s="43">
        <v>5</v>
      </c>
      <c r="I107" s="43" t="s">
        <v>104</v>
      </c>
      <c r="K107" s="43">
        <v>5</v>
      </c>
      <c r="L107" s="43" t="s">
        <v>65</v>
      </c>
      <c r="N107" s="43">
        <v>5</v>
      </c>
      <c r="O107" s="43" t="s">
        <v>65</v>
      </c>
      <c r="P107" s="11"/>
      <c r="Q107" s="43">
        <v>5</v>
      </c>
      <c r="R107" s="43" t="s">
        <v>123</v>
      </c>
    </row>
    <row r="108" spans="2:18" ht="15" customHeight="1" x14ac:dyDescent="0.2">
      <c r="B108" s="43">
        <v>23</v>
      </c>
      <c r="C108" s="43" t="s">
        <v>65</v>
      </c>
      <c r="E108" s="43">
        <v>23</v>
      </c>
      <c r="F108" s="43" t="s">
        <v>65</v>
      </c>
      <c r="H108" s="43">
        <v>23</v>
      </c>
      <c r="I108" s="43" t="s">
        <v>104</v>
      </c>
      <c r="K108" s="43">
        <v>23</v>
      </c>
      <c r="L108" s="43" t="s">
        <v>65</v>
      </c>
      <c r="N108" s="43">
        <v>23</v>
      </c>
      <c r="O108" s="43" t="s">
        <v>65</v>
      </c>
      <c r="P108" s="11"/>
      <c r="Q108" s="43">
        <v>23</v>
      </c>
      <c r="R108" s="43" t="s">
        <v>123</v>
      </c>
    </row>
    <row r="109" spans="2:18" ht="15" customHeight="1" x14ac:dyDescent="0.2">
      <c r="B109" s="43">
        <v>24</v>
      </c>
      <c r="C109" s="43" t="s">
        <v>65</v>
      </c>
      <c r="E109" s="43">
        <v>24</v>
      </c>
      <c r="F109" s="43" t="s">
        <v>65</v>
      </c>
      <c r="H109" s="43">
        <v>24</v>
      </c>
      <c r="I109" s="43" t="s">
        <v>104</v>
      </c>
      <c r="K109" s="43">
        <v>24</v>
      </c>
      <c r="L109" s="43" t="s">
        <v>65</v>
      </c>
      <c r="N109" s="43">
        <v>24</v>
      </c>
      <c r="O109" s="43" t="s">
        <v>65</v>
      </c>
      <c r="P109" s="11"/>
      <c r="Q109" s="43">
        <v>24</v>
      </c>
      <c r="R109" s="43" t="s">
        <v>123</v>
      </c>
    </row>
    <row r="110" spans="2:18" ht="15" customHeight="1" x14ac:dyDescent="0.2">
      <c r="B110" s="43">
        <v>7</v>
      </c>
      <c r="C110" s="43" t="s">
        <v>65</v>
      </c>
      <c r="E110" s="43">
        <v>7</v>
      </c>
      <c r="F110" s="43" t="s">
        <v>65</v>
      </c>
      <c r="H110" s="43">
        <v>7</v>
      </c>
      <c r="I110" s="43" t="s">
        <v>104</v>
      </c>
      <c r="K110" s="43">
        <v>7</v>
      </c>
      <c r="L110" s="43" t="s">
        <v>65</v>
      </c>
      <c r="N110" s="43">
        <v>7</v>
      </c>
      <c r="O110" s="43" t="s">
        <v>65</v>
      </c>
      <c r="P110" s="11"/>
      <c r="Q110" s="43">
        <v>7</v>
      </c>
      <c r="R110" s="43" t="s">
        <v>123</v>
      </c>
    </row>
    <row r="111" spans="2:18" ht="15" customHeight="1" x14ac:dyDescent="0.2">
      <c r="B111" s="43">
        <v>18</v>
      </c>
      <c r="C111" s="43" t="s">
        <v>65</v>
      </c>
      <c r="E111" s="43">
        <v>18</v>
      </c>
      <c r="F111" s="43" t="s">
        <v>65</v>
      </c>
      <c r="H111" s="43">
        <v>18</v>
      </c>
      <c r="I111" s="43" t="s">
        <v>104</v>
      </c>
      <c r="K111" s="43">
        <v>18</v>
      </c>
      <c r="L111" s="43" t="s">
        <v>65</v>
      </c>
      <c r="N111" s="43">
        <v>18</v>
      </c>
      <c r="O111" s="43" t="s">
        <v>65</v>
      </c>
      <c r="P111" s="11"/>
      <c r="Q111" s="43">
        <v>18</v>
      </c>
      <c r="R111" s="43" t="s">
        <v>123</v>
      </c>
    </row>
    <row r="112" spans="2:18" ht="15" customHeight="1" x14ac:dyDescent="0.2">
      <c r="B112" s="43">
        <v>19</v>
      </c>
      <c r="C112" s="43" t="s">
        <v>65</v>
      </c>
      <c r="E112" s="43">
        <v>19</v>
      </c>
      <c r="F112" s="43" t="s">
        <v>65</v>
      </c>
      <c r="H112" s="43">
        <v>19</v>
      </c>
      <c r="I112" s="43" t="s">
        <v>104</v>
      </c>
      <c r="K112" s="43">
        <v>19</v>
      </c>
      <c r="L112" s="43" t="s">
        <v>65</v>
      </c>
      <c r="N112" s="43">
        <v>19</v>
      </c>
      <c r="O112" s="43" t="s">
        <v>65</v>
      </c>
      <c r="P112" s="11"/>
      <c r="Q112" s="43">
        <v>19</v>
      </c>
      <c r="R112" s="43" t="s">
        <v>123</v>
      </c>
    </row>
    <row r="113" spans="2:18" ht="15" customHeight="1" x14ac:dyDescent="0.2">
      <c r="B113" s="43">
        <v>6</v>
      </c>
      <c r="C113" s="43" t="s">
        <v>65</v>
      </c>
      <c r="E113" s="43">
        <v>6</v>
      </c>
      <c r="F113" s="43" t="s">
        <v>65</v>
      </c>
      <c r="H113" s="43">
        <v>6</v>
      </c>
      <c r="I113" s="43" t="s">
        <v>104</v>
      </c>
      <c r="K113" s="43">
        <v>6</v>
      </c>
      <c r="L113" s="43" t="s">
        <v>65</v>
      </c>
      <c r="N113" s="43">
        <v>6</v>
      </c>
      <c r="O113" s="43" t="s">
        <v>65</v>
      </c>
      <c r="P113" s="11"/>
      <c r="Q113" s="43">
        <v>6</v>
      </c>
      <c r="R113" s="43" t="s">
        <v>123</v>
      </c>
    </row>
    <row r="114" spans="2:18" ht="15" customHeight="1" x14ac:dyDescent="0.2">
      <c r="B114" s="43">
        <v>21</v>
      </c>
      <c r="C114" s="43" t="s">
        <v>65</v>
      </c>
      <c r="E114" s="43">
        <v>21</v>
      </c>
      <c r="F114" s="43" t="s">
        <v>65</v>
      </c>
      <c r="H114" s="43">
        <v>21</v>
      </c>
      <c r="I114" s="43" t="s">
        <v>104</v>
      </c>
      <c r="K114" s="43">
        <v>21</v>
      </c>
      <c r="L114" s="43" t="s">
        <v>65</v>
      </c>
      <c r="N114" s="43">
        <v>21</v>
      </c>
      <c r="O114" s="43" t="s">
        <v>65</v>
      </c>
      <c r="P114" s="11"/>
      <c r="Q114" s="43">
        <v>21</v>
      </c>
      <c r="R114" s="43" t="s">
        <v>123</v>
      </c>
    </row>
    <row r="115" spans="2:18" ht="15" customHeight="1" x14ac:dyDescent="0.2">
      <c r="B115" s="43">
        <v>22</v>
      </c>
      <c r="C115" s="43" t="s">
        <v>65</v>
      </c>
      <c r="E115" s="43">
        <v>22</v>
      </c>
      <c r="F115" s="43" t="s">
        <v>65</v>
      </c>
      <c r="H115" s="43">
        <v>22</v>
      </c>
      <c r="I115" s="43" t="s">
        <v>104</v>
      </c>
      <c r="K115" s="43">
        <v>22</v>
      </c>
      <c r="L115" s="43" t="s">
        <v>65</v>
      </c>
      <c r="N115" s="43">
        <v>22</v>
      </c>
      <c r="O115" s="43" t="s">
        <v>65</v>
      </c>
      <c r="P115" s="11"/>
      <c r="Q115" s="43">
        <v>22</v>
      </c>
      <c r="R115" s="43" t="s">
        <v>123</v>
      </c>
    </row>
    <row r="116" spans="2:18" ht="15" customHeight="1" x14ac:dyDescent="0.2">
      <c r="B116" s="43">
        <v>8</v>
      </c>
      <c r="C116" s="43" t="s">
        <v>65</v>
      </c>
      <c r="E116" s="43">
        <v>8</v>
      </c>
      <c r="F116" s="43" t="s">
        <v>65</v>
      </c>
      <c r="H116" s="43">
        <v>8</v>
      </c>
      <c r="I116" s="43" t="s">
        <v>104</v>
      </c>
      <c r="K116" s="43">
        <v>8</v>
      </c>
      <c r="L116" s="43" t="s">
        <v>65</v>
      </c>
      <c r="N116" s="43">
        <v>8</v>
      </c>
      <c r="O116" s="43" t="s">
        <v>65</v>
      </c>
      <c r="P116" s="11"/>
      <c r="Q116" s="43">
        <v>8</v>
      </c>
      <c r="R116" s="43" t="s">
        <v>123</v>
      </c>
    </row>
    <row r="117" spans="2:18" ht="15" customHeight="1" x14ac:dyDescent="0.2">
      <c r="B117" s="43">
        <v>17</v>
      </c>
      <c r="C117" s="43" t="s">
        <v>65</v>
      </c>
      <c r="E117" s="43">
        <v>17</v>
      </c>
      <c r="F117" s="43" t="s">
        <v>65</v>
      </c>
      <c r="H117" s="43">
        <v>17</v>
      </c>
      <c r="I117" s="43" t="s">
        <v>104</v>
      </c>
      <c r="K117" s="43">
        <v>17</v>
      </c>
      <c r="L117" s="43" t="s">
        <v>65</v>
      </c>
      <c r="N117" s="43">
        <v>17</v>
      </c>
      <c r="O117" s="43" t="s">
        <v>65</v>
      </c>
      <c r="P117" s="11"/>
      <c r="Q117" s="43">
        <v>17</v>
      </c>
      <c r="R117" s="43" t="s">
        <v>123</v>
      </c>
    </row>
    <row r="118" spans="2:18" ht="15" customHeight="1" x14ac:dyDescent="0.2">
      <c r="B118" s="43">
        <v>1</v>
      </c>
      <c r="C118" s="43" t="s">
        <v>65</v>
      </c>
      <c r="E118" s="43">
        <v>1</v>
      </c>
      <c r="F118" s="43" t="s">
        <v>65</v>
      </c>
      <c r="H118" s="43">
        <v>1</v>
      </c>
      <c r="I118" s="43" t="s">
        <v>104</v>
      </c>
      <c r="K118" s="43">
        <v>1</v>
      </c>
      <c r="L118" s="43" t="s">
        <v>65</v>
      </c>
      <c r="N118" s="43">
        <v>1</v>
      </c>
      <c r="O118" s="43" t="s">
        <v>65</v>
      </c>
      <c r="P118" s="11"/>
      <c r="Q118" s="43">
        <v>1</v>
      </c>
      <c r="R118" s="43" t="s">
        <v>123</v>
      </c>
    </row>
    <row r="119" spans="2:18" ht="15" customHeight="1" x14ac:dyDescent="0.2">
      <c r="B119" s="43">
        <v>13</v>
      </c>
      <c r="C119" s="43" t="s">
        <v>65</v>
      </c>
      <c r="E119" s="43">
        <v>13</v>
      </c>
      <c r="F119" s="43" t="s">
        <v>65</v>
      </c>
      <c r="H119" s="43">
        <v>13</v>
      </c>
      <c r="I119" s="43" t="s">
        <v>104</v>
      </c>
      <c r="K119" s="43">
        <v>13</v>
      </c>
      <c r="L119" s="43" t="s">
        <v>65</v>
      </c>
      <c r="N119" s="43">
        <v>13</v>
      </c>
      <c r="O119" s="43" t="s">
        <v>65</v>
      </c>
      <c r="P119" s="11"/>
      <c r="Q119" s="43">
        <v>13</v>
      </c>
      <c r="R119" s="43" t="s">
        <v>123</v>
      </c>
    </row>
    <row r="120" spans="2:18" ht="15" customHeight="1" x14ac:dyDescent="0.2">
      <c r="B120" s="43">
        <v>9</v>
      </c>
      <c r="C120" s="43" t="s">
        <v>65</v>
      </c>
      <c r="E120" s="43">
        <v>9</v>
      </c>
      <c r="F120" s="43" t="s">
        <v>65</v>
      </c>
      <c r="H120" s="43">
        <v>9</v>
      </c>
      <c r="I120" s="43" t="s">
        <v>104</v>
      </c>
      <c r="K120" s="43">
        <v>9</v>
      </c>
      <c r="L120" s="43" t="s">
        <v>65</v>
      </c>
      <c r="N120" s="43">
        <v>9</v>
      </c>
      <c r="O120" s="43" t="s">
        <v>65</v>
      </c>
      <c r="P120" s="11"/>
      <c r="Q120" s="43">
        <v>9</v>
      </c>
      <c r="R120" s="43" t="s">
        <v>123</v>
      </c>
    </row>
    <row r="121" spans="2:18" ht="15" customHeight="1" x14ac:dyDescent="0.2">
      <c r="B121" s="43">
        <v>10</v>
      </c>
      <c r="C121" s="43" t="s">
        <v>65</v>
      </c>
      <c r="E121" s="43">
        <v>10</v>
      </c>
      <c r="F121" s="43" t="s">
        <v>65</v>
      </c>
      <c r="H121" s="43">
        <v>10</v>
      </c>
      <c r="I121" s="43" t="s">
        <v>104</v>
      </c>
      <c r="K121" s="43">
        <v>10</v>
      </c>
      <c r="L121" s="43" t="s">
        <v>65</v>
      </c>
      <c r="N121" s="43">
        <v>10</v>
      </c>
      <c r="O121" s="43" t="s">
        <v>65</v>
      </c>
      <c r="P121" s="11"/>
      <c r="Q121" s="43">
        <v>10</v>
      </c>
      <c r="R121" s="43" t="s">
        <v>123</v>
      </c>
    </row>
    <row r="122" spans="2:18" ht="15" customHeight="1" x14ac:dyDescent="0.2">
      <c r="B122" s="43">
        <v>14</v>
      </c>
      <c r="C122" s="43" t="s">
        <v>65</v>
      </c>
      <c r="E122" s="43">
        <v>14</v>
      </c>
      <c r="F122" s="43" t="s">
        <v>65</v>
      </c>
      <c r="H122" s="43">
        <v>14</v>
      </c>
      <c r="I122" s="43" t="s">
        <v>104</v>
      </c>
      <c r="K122" s="43">
        <v>14</v>
      </c>
      <c r="L122" s="43" t="s">
        <v>65</v>
      </c>
      <c r="N122" s="43">
        <v>14</v>
      </c>
      <c r="O122" s="43" t="s">
        <v>65</v>
      </c>
      <c r="P122" s="11"/>
      <c r="Q122" s="43">
        <v>14</v>
      </c>
      <c r="R122" s="43" t="s">
        <v>123</v>
      </c>
    </row>
    <row r="123" spans="2:18" ht="15" customHeight="1" x14ac:dyDescent="0.2">
      <c r="B123" s="43">
        <v>2</v>
      </c>
      <c r="C123" s="43" t="s">
        <v>65</v>
      </c>
      <c r="E123" s="43">
        <v>2</v>
      </c>
      <c r="F123" s="43" t="s">
        <v>65</v>
      </c>
      <c r="H123" s="43">
        <v>2</v>
      </c>
      <c r="I123" s="43" t="s">
        <v>104</v>
      </c>
      <c r="K123" s="43">
        <v>2</v>
      </c>
      <c r="L123" s="43" t="s">
        <v>65</v>
      </c>
      <c r="N123" s="43">
        <v>2</v>
      </c>
      <c r="O123" s="43" t="s">
        <v>65</v>
      </c>
      <c r="P123" s="11"/>
      <c r="Q123" s="43">
        <v>2</v>
      </c>
      <c r="R123" s="43" t="s">
        <v>123</v>
      </c>
    </row>
    <row r="124" spans="2:18" ht="15" customHeight="1" x14ac:dyDescent="0.2">
      <c r="B124" s="43">
        <v>229</v>
      </c>
      <c r="C124" s="43" t="s">
        <v>65</v>
      </c>
      <c r="E124" s="43">
        <v>229</v>
      </c>
      <c r="F124" s="43" t="s">
        <v>65</v>
      </c>
      <c r="H124" s="43">
        <v>229</v>
      </c>
      <c r="I124" s="43" t="s">
        <v>104</v>
      </c>
      <c r="K124" s="43">
        <v>229</v>
      </c>
      <c r="L124" s="43" t="s">
        <v>65</v>
      </c>
      <c r="N124" s="43">
        <v>229</v>
      </c>
      <c r="O124" s="43" t="s">
        <v>65</v>
      </c>
      <c r="P124" s="11"/>
      <c r="Q124" s="43">
        <v>229</v>
      </c>
      <c r="R124" s="43" t="s">
        <v>123</v>
      </c>
    </row>
    <row r="125" spans="2:18" ht="15" customHeight="1" x14ac:dyDescent="0.2">
      <c r="B125" s="43">
        <v>230</v>
      </c>
      <c r="C125" s="43" t="s">
        <v>65</v>
      </c>
      <c r="E125" s="43">
        <v>230</v>
      </c>
      <c r="F125" s="43" t="s">
        <v>65</v>
      </c>
      <c r="H125" s="43">
        <v>230</v>
      </c>
      <c r="I125" s="43" t="s">
        <v>104</v>
      </c>
      <c r="K125" s="43">
        <v>230</v>
      </c>
      <c r="L125" s="43" t="s">
        <v>65</v>
      </c>
      <c r="N125" s="43">
        <v>230</v>
      </c>
      <c r="O125" s="43" t="s">
        <v>65</v>
      </c>
      <c r="P125" s="11"/>
      <c r="Q125" s="43">
        <v>230</v>
      </c>
      <c r="R125" s="43" t="s">
        <v>123</v>
      </c>
    </row>
    <row r="126" spans="2:18" ht="15" customHeight="1" x14ac:dyDescent="0.2">
      <c r="B126" s="43">
        <v>231</v>
      </c>
      <c r="C126" s="43" t="s">
        <v>65</v>
      </c>
      <c r="E126" s="43">
        <v>231</v>
      </c>
      <c r="F126" s="43" t="s">
        <v>65</v>
      </c>
      <c r="H126" s="43">
        <v>231</v>
      </c>
      <c r="I126" s="43" t="s">
        <v>104</v>
      </c>
      <c r="K126" s="43">
        <v>231</v>
      </c>
      <c r="L126" s="43" t="s">
        <v>65</v>
      </c>
      <c r="N126" s="43">
        <v>231</v>
      </c>
      <c r="O126" s="43" t="s">
        <v>65</v>
      </c>
      <c r="P126" s="11"/>
      <c r="Q126" s="43">
        <v>231</v>
      </c>
      <c r="R126" s="43" t="s">
        <v>123</v>
      </c>
    </row>
    <row r="127" spans="2:18" ht="15" customHeight="1" x14ac:dyDescent="0.2">
      <c r="B127" s="43">
        <v>232</v>
      </c>
      <c r="C127" s="43" t="s">
        <v>65</v>
      </c>
      <c r="E127" s="43">
        <v>232</v>
      </c>
      <c r="F127" s="43" t="s">
        <v>65</v>
      </c>
      <c r="H127" s="43">
        <v>232</v>
      </c>
      <c r="I127" s="43" t="s">
        <v>104</v>
      </c>
      <c r="K127" s="43">
        <v>232</v>
      </c>
      <c r="L127" s="43" t="s">
        <v>65</v>
      </c>
      <c r="N127" s="43">
        <v>232</v>
      </c>
      <c r="O127" s="43" t="s">
        <v>65</v>
      </c>
      <c r="P127" s="11"/>
      <c r="Q127" s="43">
        <v>232</v>
      </c>
      <c r="R127" s="43" t="s">
        <v>123</v>
      </c>
    </row>
    <row r="128" spans="2:18" ht="15" customHeight="1" x14ac:dyDescent="0.2">
      <c r="B128" s="43">
        <v>233</v>
      </c>
      <c r="C128" s="43" t="s">
        <v>65</v>
      </c>
      <c r="E128" s="43">
        <v>233</v>
      </c>
      <c r="F128" s="43" t="s">
        <v>65</v>
      </c>
      <c r="H128" s="43">
        <v>233</v>
      </c>
      <c r="I128" s="43" t="s">
        <v>104</v>
      </c>
      <c r="K128" s="43">
        <v>233</v>
      </c>
      <c r="L128" s="43" t="s">
        <v>65</v>
      </c>
      <c r="N128" s="43">
        <v>233</v>
      </c>
      <c r="O128" s="43" t="s">
        <v>65</v>
      </c>
      <c r="P128" s="11"/>
      <c r="Q128" s="43">
        <v>233</v>
      </c>
      <c r="R128" s="43" t="s">
        <v>123</v>
      </c>
    </row>
    <row r="129" spans="2:18" ht="15" customHeight="1" x14ac:dyDescent="0.2">
      <c r="B129" s="43">
        <v>211</v>
      </c>
      <c r="C129" s="43" t="s">
        <v>65</v>
      </c>
      <c r="E129" s="43">
        <v>211</v>
      </c>
      <c r="F129" s="43" t="s">
        <v>65</v>
      </c>
      <c r="H129" s="43">
        <v>211</v>
      </c>
      <c r="I129" s="43" t="s">
        <v>104</v>
      </c>
      <c r="K129" s="43">
        <v>211</v>
      </c>
      <c r="L129" s="43" t="s">
        <v>65</v>
      </c>
      <c r="N129" s="43">
        <v>211</v>
      </c>
      <c r="O129" s="43" t="s">
        <v>65</v>
      </c>
      <c r="P129" s="11"/>
      <c r="Q129" s="43">
        <v>211</v>
      </c>
      <c r="R129" s="43" t="s">
        <v>123</v>
      </c>
    </row>
    <row r="130" spans="2:18" ht="15" customHeight="1" x14ac:dyDescent="0.2">
      <c r="B130" s="43">
        <v>214</v>
      </c>
      <c r="C130" s="43" t="s">
        <v>65</v>
      </c>
      <c r="E130" s="43">
        <v>214</v>
      </c>
      <c r="F130" s="43" t="s">
        <v>65</v>
      </c>
      <c r="H130" s="43">
        <v>214</v>
      </c>
      <c r="I130" s="43" t="s">
        <v>104</v>
      </c>
      <c r="K130" s="43">
        <v>214</v>
      </c>
      <c r="L130" s="43" t="s">
        <v>65</v>
      </c>
      <c r="N130" s="43">
        <v>214</v>
      </c>
      <c r="O130" s="43" t="s">
        <v>65</v>
      </c>
      <c r="P130" s="11"/>
      <c r="Q130" s="43">
        <v>214</v>
      </c>
      <c r="R130" s="43" t="s">
        <v>123</v>
      </c>
    </row>
    <row r="131" spans="2:18" ht="15" customHeight="1" x14ac:dyDescent="0.2">
      <c r="B131" s="43">
        <v>217</v>
      </c>
      <c r="C131" s="43" t="s">
        <v>65</v>
      </c>
      <c r="E131" s="43">
        <v>217</v>
      </c>
      <c r="F131" s="43" t="s">
        <v>65</v>
      </c>
      <c r="H131" s="43">
        <v>217</v>
      </c>
      <c r="I131" s="43" t="s">
        <v>104</v>
      </c>
      <c r="K131" s="43">
        <v>217</v>
      </c>
      <c r="L131" s="43" t="s">
        <v>65</v>
      </c>
      <c r="N131" s="43">
        <v>217</v>
      </c>
      <c r="O131" s="43" t="s">
        <v>65</v>
      </c>
      <c r="P131" s="11"/>
      <c r="Q131" s="43">
        <v>217</v>
      </c>
      <c r="R131" s="43" t="s">
        <v>123</v>
      </c>
    </row>
    <row r="132" spans="2:18" ht="15" customHeight="1" x14ac:dyDescent="0.2">
      <c r="B132" s="43">
        <v>220</v>
      </c>
      <c r="C132" s="43" t="s">
        <v>65</v>
      </c>
      <c r="E132" s="43">
        <v>220</v>
      </c>
      <c r="F132" s="43" t="s">
        <v>65</v>
      </c>
      <c r="H132" s="43">
        <v>220</v>
      </c>
      <c r="I132" s="43" t="s">
        <v>104</v>
      </c>
      <c r="K132" s="43">
        <v>220</v>
      </c>
      <c r="L132" s="43" t="s">
        <v>65</v>
      </c>
      <c r="N132" s="43">
        <v>220</v>
      </c>
      <c r="O132" s="43" t="s">
        <v>65</v>
      </c>
      <c r="P132" s="11"/>
      <c r="Q132" s="43">
        <v>220</v>
      </c>
      <c r="R132" s="43" t="s">
        <v>123</v>
      </c>
    </row>
    <row r="133" spans="2:18" ht="15" customHeight="1" x14ac:dyDescent="0.2">
      <c r="B133" s="43">
        <v>223</v>
      </c>
      <c r="C133" s="43" t="s">
        <v>65</v>
      </c>
      <c r="E133" s="43">
        <v>223</v>
      </c>
      <c r="F133" s="43" t="s">
        <v>65</v>
      </c>
      <c r="H133" s="43">
        <v>223</v>
      </c>
      <c r="I133" s="43" t="s">
        <v>104</v>
      </c>
      <c r="K133" s="43">
        <v>223</v>
      </c>
      <c r="L133" s="43" t="s">
        <v>65</v>
      </c>
      <c r="N133" s="43">
        <v>223</v>
      </c>
      <c r="O133" s="43" t="s">
        <v>65</v>
      </c>
      <c r="P133" s="11"/>
      <c r="Q133" s="43">
        <v>223</v>
      </c>
      <c r="R133" s="43" t="s">
        <v>123</v>
      </c>
    </row>
    <row r="134" spans="2:18" ht="15" customHeight="1" x14ac:dyDescent="0.2">
      <c r="B134" s="43">
        <v>226</v>
      </c>
      <c r="C134" s="43" t="s">
        <v>65</v>
      </c>
      <c r="E134" s="43">
        <v>226</v>
      </c>
      <c r="F134" s="43" t="s">
        <v>65</v>
      </c>
      <c r="H134" s="43">
        <v>226</v>
      </c>
      <c r="I134" s="43" t="s">
        <v>104</v>
      </c>
      <c r="K134" s="43">
        <v>226</v>
      </c>
      <c r="L134" s="43" t="s">
        <v>65</v>
      </c>
      <c r="N134" s="43">
        <v>226</v>
      </c>
      <c r="O134" s="43" t="s">
        <v>65</v>
      </c>
      <c r="P134" s="11"/>
      <c r="Q134" s="43">
        <v>226</v>
      </c>
      <c r="R134" s="43" t="s">
        <v>123</v>
      </c>
    </row>
    <row r="135" spans="2:18" ht="15" customHeight="1" x14ac:dyDescent="0.2">
      <c r="B135" s="43">
        <v>234</v>
      </c>
      <c r="C135" s="43" t="s">
        <v>65</v>
      </c>
      <c r="E135" s="43">
        <v>234</v>
      </c>
      <c r="F135" s="43" t="s">
        <v>65</v>
      </c>
      <c r="H135" s="43">
        <v>234</v>
      </c>
      <c r="I135" s="43" t="s">
        <v>104</v>
      </c>
      <c r="K135" s="43">
        <v>234</v>
      </c>
      <c r="L135" s="43" t="s">
        <v>65</v>
      </c>
      <c r="N135" s="43">
        <v>234</v>
      </c>
      <c r="O135" s="43" t="s">
        <v>65</v>
      </c>
      <c r="P135" s="11"/>
      <c r="Q135" s="43">
        <v>234</v>
      </c>
      <c r="R135" s="43" t="s">
        <v>123</v>
      </c>
    </row>
    <row r="136" spans="2:18" ht="15" customHeight="1" x14ac:dyDescent="0.2">
      <c r="B136" s="43">
        <v>235</v>
      </c>
      <c r="C136" s="43" t="s">
        <v>65</v>
      </c>
      <c r="E136" s="43">
        <v>235</v>
      </c>
      <c r="F136" s="43" t="s">
        <v>65</v>
      </c>
      <c r="H136" s="43">
        <v>235</v>
      </c>
      <c r="I136" s="43" t="s">
        <v>104</v>
      </c>
      <c r="K136" s="43">
        <v>235</v>
      </c>
      <c r="L136" s="43" t="s">
        <v>65</v>
      </c>
      <c r="N136" s="43">
        <v>235</v>
      </c>
      <c r="O136" s="43" t="s">
        <v>65</v>
      </c>
      <c r="P136" s="11"/>
      <c r="Q136" s="43">
        <v>235</v>
      </c>
      <c r="R136" s="43" t="s">
        <v>123</v>
      </c>
    </row>
    <row r="137" spans="2:18" ht="15" customHeight="1" x14ac:dyDescent="0.2">
      <c r="B137" s="43">
        <v>236</v>
      </c>
      <c r="C137" s="43" t="s">
        <v>65</v>
      </c>
      <c r="E137" s="43">
        <v>236</v>
      </c>
      <c r="F137" s="43" t="s">
        <v>65</v>
      </c>
      <c r="H137" s="43">
        <v>236</v>
      </c>
      <c r="I137" s="43" t="s">
        <v>104</v>
      </c>
      <c r="K137" s="43">
        <v>236</v>
      </c>
      <c r="L137" s="43" t="s">
        <v>65</v>
      </c>
      <c r="N137" s="43">
        <v>236</v>
      </c>
      <c r="O137" s="43" t="s">
        <v>65</v>
      </c>
      <c r="P137" s="11"/>
      <c r="Q137" s="43">
        <v>236</v>
      </c>
      <c r="R137" s="43" t="s">
        <v>123</v>
      </c>
    </row>
    <row r="138" spans="2:18" ht="15" customHeight="1" x14ac:dyDescent="0.2">
      <c r="B138" s="43">
        <v>237</v>
      </c>
      <c r="C138" s="43" t="s">
        <v>65</v>
      </c>
      <c r="E138" s="43">
        <v>237</v>
      </c>
      <c r="F138" s="43" t="s">
        <v>65</v>
      </c>
      <c r="H138" s="43">
        <v>237</v>
      </c>
      <c r="I138" s="43" t="s">
        <v>104</v>
      </c>
      <c r="K138" s="43">
        <v>237</v>
      </c>
      <c r="L138" s="43" t="s">
        <v>65</v>
      </c>
      <c r="N138" s="43">
        <v>237</v>
      </c>
      <c r="O138" s="43" t="s">
        <v>65</v>
      </c>
      <c r="P138" s="11"/>
      <c r="Q138" s="43">
        <v>237</v>
      </c>
      <c r="R138" s="43" t="s">
        <v>123</v>
      </c>
    </row>
    <row r="139" spans="2:18" ht="15" customHeight="1" x14ac:dyDescent="0.2">
      <c r="B139" s="43">
        <v>238</v>
      </c>
      <c r="C139" s="43" t="s">
        <v>65</v>
      </c>
      <c r="E139" s="43">
        <v>238</v>
      </c>
      <c r="F139" s="43" t="s">
        <v>65</v>
      </c>
      <c r="H139" s="43">
        <v>238</v>
      </c>
      <c r="I139" s="43" t="s">
        <v>104</v>
      </c>
      <c r="K139" s="43">
        <v>238</v>
      </c>
      <c r="L139" s="43" t="s">
        <v>65</v>
      </c>
      <c r="N139" s="43">
        <v>238</v>
      </c>
      <c r="O139" s="43" t="s">
        <v>65</v>
      </c>
      <c r="P139" s="11"/>
      <c r="Q139" s="43">
        <v>238</v>
      </c>
      <c r="R139" s="43" t="s">
        <v>123</v>
      </c>
    </row>
    <row r="140" spans="2:18" ht="15" customHeight="1" x14ac:dyDescent="0.2">
      <c r="B140" s="43">
        <v>212</v>
      </c>
      <c r="C140" s="43" t="s">
        <v>65</v>
      </c>
      <c r="E140" s="43">
        <v>212</v>
      </c>
      <c r="F140" s="43" t="s">
        <v>65</v>
      </c>
      <c r="H140" s="43">
        <v>212</v>
      </c>
      <c r="I140" s="43" t="s">
        <v>104</v>
      </c>
      <c r="K140" s="43">
        <v>212</v>
      </c>
      <c r="L140" s="43" t="s">
        <v>65</v>
      </c>
      <c r="N140" s="43">
        <v>212</v>
      </c>
      <c r="O140" s="43" t="s">
        <v>65</v>
      </c>
      <c r="P140" s="11"/>
      <c r="Q140" s="43">
        <v>212</v>
      </c>
      <c r="R140" s="43" t="s">
        <v>123</v>
      </c>
    </row>
    <row r="141" spans="2:18" ht="15" customHeight="1" x14ac:dyDescent="0.2">
      <c r="B141" s="43">
        <v>215</v>
      </c>
      <c r="C141" s="43" t="s">
        <v>65</v>
      </c>
      <c r="E141" s="43">
        <v>215</v>
      </c>
      <c r="F141" s="43" t="s">
        <v>65</v>
      </c>
      <c r="H141" s="43">
        <v>215</v>
      </c>
      <c r="I141" s="43" t="s">
        <v>104</v>
      </c>
      <c r="K141" s="43">
        <v>215</v>
      </c>
      <c r="L141" s="43" t="s">
        <v>65</v>
      </c>
      <c r="N141" s="43">
        <v>215</v>
      </c>
      <c r="O141" s="43" t="s">
        <v>65</v>
      </c>
      <c r="P141" s="11"/>
      <c r="Q141" s="43">
        <v>215</v>
      </c>
      <c r="R141" s="43" t="s">
        <v>123</v>
      </c>
    </row>
    <row r="142" spans="2:18" ht="15" customHeight="1" x14ac:dyDescent="0.2">
      <c r="B142" s="43">
        <v>218</v>
      </c>
      <c r="C142" s="43" t="s">
        <v>65</v>
      </c>
      <c r="E142" s="43">
        <v>218</v>
      </c>
      <c r="F142" s="43" t="s">
        <v>65</v>
      </c>
      <c r="H142" s="43">
        <v>218</v>
      </c>
      <c r="I142" s="43" t="s">
        <v>104</v>
      </c>
      <c r="K142" s="43">
        <v>218</v>
      </c>
      <c r="L142" s="43" t="s">
        <v>65</v>
      </c>
      <c r="N142" s="43">
        <v>218</v>
      </c>
      <c r="O142" s="43" t="s">
        <v>65</v>
      </c>
      <c r="P142" s="11"/>
      <c r="Q142" s="43">
        <v>218</v>
      </c>
      <c r="R142" s="43" t="s">
        <v>123</v>
      </c>
    </row>
    <row r="143" spans="2:18" ht="15" customHeight="1" x14ac:dyDescent="0.2">
      <c r="B143" s="43">
        <v>221</v>
      </c>
      <c r="C143" s="43" t="s">
        <v>65</v>
      </c>
      <c r="E143" s="43">
        <v>221</v>
      </c>
      <c r="F143" s="43" t="s">
        <v>65</v>
      </c>
      <c r="H143" s="43">
        <v>221</v>
      </c>
      <c r="I143" s="43" t="s">
        <v>104</v>
      </c>
      <c r="K143" s="43">
        <v>221</v>
      </c>
      <c r="L143" s="43" t="s">
        <v>65</v>
      </c>
      <c r="N143" s="43">
        <v>221</v>
      </c>
      <c r="O143" s="43" t="s">
        <v>65</v>
      </c>
      <c r="P143" s="11"/>
      <c r="Q143" s="43">
        <v>221</v>
      </c>
      <c r="R143" s="43" t="s">
        <v>123</v>
      </c>
    </row>
    <row r="144" spans="2:18" ht="15" customHeight="1" x14ac:dyDescent="0.2">
      <c r="B144" s="43">
        <v>224</v>
      </c>
      <c r="C144" s="43" t="s">
        <v>65</v>
      </c>
      <c r="E144" s="43">
        <v>224</v>
      </c>
      <c r="F144" s="43" t="s">
        <v>65</v>
      </c>
      <c r="H144" s="43">
        <v>224</v>
      </c>
      <c r="I144" s="43" t="s">
        <v>104</v>
      </c>
      <c r="K144" s="43">
        <v>224</v>
      </c>
      <c r="L144" s="43" t="s">
        <v>65</v>
      </c>
      <c r="N144" s="43">
        <v>224</v>
      </c>
      <c r="O144" s="43" t="s">
        <v>65</v>
      </c>
      <c r="P144" s="11"/>
      <c r="Q144" s="43">
        <v>224</v>
      </c>
      <c r="R144" s="43" t="s">
        <v>123</v>
      </c>
    </row>
    <row r="145" spans="2:18" ht="15" customHeight="1" x14ac:dyDescent="0.2">
      <c r="B145" s="43">
        <v>227</v>
      </c>
      <c r="C145" s="43" t="s">
        <v>65</v>
      </c>
      <c r="E145" s="43">
        <v>227</v>
      </c>
      <c r="F145" s="43" t="s">
        <v>65</v>
      </c>
      <c r="H145" s="43">
        <v>227</v>
      </c>
      <c r="I145" s="43" t="s">
        <v>104</v>
      </c>
      <c r="K145" s="43">
        <v>227</v>
      </c>
      <c r="L145" s="43" t="s">
        <v>65</v>
      </c>
      <c r="N145" s="43">
        <v>227</v>
      </c>
      <c r="O145" s="43" t="s">
        <v>65</v>
      </c>
      <c r="P145" s="11"/>
      <c r="Q145" s="43">
        <v>227</v>
      </c>
      <c r="R145" s="43" t="s">
        <v>123</v>
      </c>
    </row>
    <row r="146" spans="2:18" ht="15" customHeight="1" x14ac:dyDescent="0.2">
      <c r="B146" s="43">
        <v>239</v>
      </c>
      <c r="C146" s="43" t="s">
        <v>65</v>
      </c>
      <c r="E146" s="43">
        <v>239</v>
      </c>
      <c r="F146" s="43" t="s">
        <v>65</v>
      </c>
      <c r="H146" s="43">
        <v>239</v>
      </c>
      <c r="I146" s="43" t="s">
        <v>104</v>
      </c>
      <c r="K146" s="43">
        <v>239</v>
      </c>
      <c r="L146" s="43" t="s">
        <v>65</v>
      </c>
      <c r="N146" s="43">
        <v>239</v>
      </c>
      <c r="O146" s="43" t="s">
        <v>65</v>
      </c>
      <c r="P146" s="11"/>
      <c r="Q146" s="43">
        <v>239</v>
      </c>
      <c r="R146" s="43" t="s">
        <v>123</v>
      </c>
    </row>
    <row r="147" spans="2:18" ht="15" customHeight="1" x14ac:dyDescent="0.2">
      <c r="B147" s="43">
        <v>240</v>
      </c>
      <c r="C147" s="43" t="s">
        <v>65</v>
      </c>
      <c r="E147" s="43">
        <v>240</v>
      </c>
      <c r="F147" s="43" t="s">
        <v>65</v>
      </c>
      <c r="H147" s="43">
        <v>240</v>
      </c>
      <c r="I147" s="43" t="s">
        <v>104</v>
      </c>
      <c r="K147" s="43">
        <v>240</v>
      </c>
      <c r="L147" s="43" t="s">
        <v>65</v>
      </c>
      <c r="N147" s="43">
        <v>240</v>
      </c>
      <c r="O147" s="43" t="s">
        <v>65</v>
      </c>
      <c r="P147" s="11"/>
      <c r="Q147" s="43">
        <v>240</v>
      </c>
      <c r="R147" s="43" t="s">
        <v>123</v>
      </c>
    </row>
    <row r="148" spans="2:18" ht="15" customHeight="1" x14ac:dyDescent="0.2">
      <c r="B148" s="43">
        <v>241</v>
      </c>
      <c r="C148" s="43" t="s">
        <v>65</v>
      </c>
      <c r="E148" s="43">
        <v>241</v>
      </c>
      <c r="F148" s="43" t="s">
        <v>65</v>
      </c>
      <c r="H148" s="43">
        <v>241</v>
      </c>
      <c r="I148" s="43" t="s">
        <v>104</v>
      </c>
      <c r="K148" s="43">
        <v>241</v>
      </c>
      <c r="L148" s="43" t="s">
        <v>65</v>
      </c>
      <c r="N148" s="43">
        <v>241</v>
      </c>
      <c r="O148" s="43" t="s">
        <v>65</v>
      </c>
      <c r="P148" s="11"/>
      <c r="Q148" s="43">
        <v>241</v>
      </c>
      <c r="R148" s="43" t="s">
        <v>123</v>
      </c>
    </row>
    <row r="149" spans="2:18" ht="15" customHeight="1" x14ac:dyDescent="0.2">
      <c r="B149" s="43">
        <v>242</v>
      </c>
      <c r="C149" s="43" t="s">
        <v>65</v>
      </c>
      <c r="E149" s="43">
        <v>242</v>
      </c>
      <c r="F149" s="43" t="s">
        <v>65</v>
      </c>
      <c r="H149" s="43">
        <v>242</v>
      </c>
      <c r="I149" s="43" t="s">
        <v>104</v>
      </c>
      <c r="K149" s="43">
        <v>242</v>
      </c>
      <c r="L149" s="43" t="s">
        <v>65</v>
      </c>
      <c r="N149" s="43">
        <v>242</v>
      </c>
      <c r="O149" s="43" t="s">
        <v>65</v>
      </c>
      <c r="P149" s="11"/>
      <c r="Q149" s="43">
        <v>242</v>
      </c>
      <c r="R149" s="43" t="s">
        <v>123</v>
      </c>
    </row>
    <row r="150" spans="2:18" ht="15" customHeight="1" x14ac:dyDescent="0.2">
      <c r="B150" s="43">
        <v>243</v>
      </c>
      <c r="C150" s="43" t="s">
        <v>65</v>
      </c>
      <c r="E150" s="43">
        <v>243</v>
      </c>
      <c r="F150" s="43" t="s">
        <v>65</v>
      </c>
      <c r="H150" s="43">
        <v>243</v>
      </c>
      <c r="I150" s="43" t="s">
        <v>104</v>
      </c>
      <c r="K150" s="43">
        <v>243</v>
      </c>
      <c r="L150" s="43" t="s">
        <v>65</v>
      </c>
      <c r="N150" s="43">
        <v>243</v>
      </c>
      <c r="O150" s="43" t="s">
        <v>65</v>
      </c>
      <c r="P150" s="11"/>
      <c r="Q150" s="43">
        <v>243</v>
      </c>
      <c r="R150" s="43" t="s">
        <v>123</v>
      </c>
    </row>
    <row r="151" spans="2:18" ht="15" customHeight="1" x14ac:dyDescent="0.2">
      <c r="B151" s="43">
        <v>213</v>
      </c>
      <c r="C151" s="43" t="s">
        <v>65</v>
      </c>
      <c r="E151" s="43">
        <v>213</v>
      </c>
      <c r="F151" s="43" t="s">
        <v>65</v>
      </c>
      <c r="H151" s="43">
        <v>213</v>
      </c>
      <c r="I151" s="43" t="s">
        <v>104</v>
      </c>
      <c r="K151" s="43">
        <v>213</v>
      </c>
      <c r="L151" s="43" t="s">
        <v>65</v>
      </c>
      <c r="N151" s="43">
        <v>213</v>
      </c>
      <c r="O151" s="43" t="s">
        <v>65</v>
      </c>
      <c r="P151" s="11"/>
      <c r="Q151" s="43">
        <v>213</v>
      </c>
      <c r="R151" s="43" t="s">
        <v>123</v>
      </c>
    </row>
    <row r="152" spans="2:18" ht="15" customHeight="1" x14ac:dyDescent="0.2">
      <c r="B152" s="43">
        <v>216</v>
      </c>
      <c r="C152" s="43" t="s">
        <v>65</v>
      </c>
      <c r="E152" s="43">
        <v>216</v>
      </c>
      <c r="F152" s="43" t="s">
        <v>65</v>
      </c>
      <c r="H152" s="43">
        <v>216</v>
      </c>
      <c r="I152" s="43" t="s">
        <v>104</v>
      </c>
      <c r="K152" s="43">
        <v>216</v>
      </c>
      <c r="L152" s="43" t="s">
        <v>65</v>
      </c>
      <c r="N152" s="43">
        <v>216</v>
      </c>
      <c r="O152" s="43" t="s">
        <v>65</v>
      </c>
      <c r="P152" s="11"/>
      <c r="Q152" s="43">
        <v>216</v>
      </c>
      <c r="R152" s="43" t="s">
        <v>123</v>
      </c>
    </row>
    <row r="153" spans="2:18" ht="15" customHeight="1" x14ac:dyDescent="0.2">
      <c r="B153" s="43">
        <v>219</v>
      </c>
      <c r="C153" s="43" t="s">
        <v>65</v>
      </c>
      <c r="E153" s="43">
        <v>219</v>
      </c>
      <c r="F153" s="43" t="s">
        <v>65</v>
      </c>
      <c r="H153" s="43">
        <v>219</v>
      </c>
      <c r="I153" s="43" t="s">
        <v>104</v>
      </c>
      <c r="K153" s="43">
        <v>219</v>
      </c>
      <c r="L153" s="43" t="s">
        <v>65</v>
      </c>
      <c r="N153" s="43">
        <v>219</v>
      </c>
      <c r="O153" s="43" t="s">
        <v>65</v>
      </c>
      <c r="P153" s="11"/>
      <c r="Q153" s="43">
        <v>219</v>
      </c>
      <c r="R153" s="43" t="s">
        <v>123</v>
      </c>
    </row>
    <row r="154" spans="2:18" ht="15" customHeight="1" x14ac:dyDescent="0.2">
      <c r="B154" s="43">
        <v>222</v>
      </c>
      <c r="C154" s="43" t="s">
        <v>65</v>
      </c>
      <c r="E154" s="43">
        <v>222</v>
      </c>
      <c r="F154" s="43" t="s">
        <v>65</v>
      </c>
      <c r="H154" s="43">
        <v>222</v>
      </c>
      <c r="I154" s="43" t="s">
        <v>104</v>
      </c>
      <c r="K154" s="43">
        <v>222</v>
      </c>
      <c r="L154" s="43" t="s">
        <v>65</v>
      </c>
      <c r="N154" s="43">
        <v>222</v>
      </c>
      <c r="O154" s="43" t="s">
        <v>65</v>
      </c>
      <c r="P154" s="11"/>
      <c r="Q154" s="43">
        <v>222</v>
      </c>
      <c r="R154" s="43" t="s">
        <v>123</v>
      </c>
    </row>
    <row r="155" spans="2:18" ht="15" customHeight="1" x14ac:dyDescent="0.2">
      <c r="B155" s="43">
        <v>225</v>
      </c>
      <c r="C155" s="43" t="s">
        <v>65</v>
      </c>
      <c r="E155" s="43">
        <v>225</v>
      </c>
      <c r="F155" s="43" t="s">
        <v>65</v>
      </c>
      <c r="H155" s="43">
        <v>225</v>
      </c>
      <c r="I155" s="43" t="s">
        <v>104</v>
      </c>
      <c r="K155" s="43">
        <v>225</v>
      </c>
      <c r="L155" s="43" t="s">
        <v>65</v>
      </c>
      <c r="N155" s="43">
        <v>225</v>
      </c>
      <c r="O155" s="43" t="s">
        <v>65</v>
      </c>
      <c r="P155" s="11"/>
      <c r="Q155" s="43">
        <v>225</v>
      </c>
      <c r="R155" s="43" t="s">
        <v>123</v>
      </c>
    </row>
    <row r="156" spans="2:18" ht="15" customHeight="1" x14ac:dyDescent="0.2">
      <c r="B156" s="43">
        <v>228</v>
      </c>
      <c r="C156" s="43" t="s">
        <v>65</v>
      </c>
      <c r="E156" s="43">
        <v>228</v>
      </c>
      <c r="F156" s="43" t="s">
        <v>65</v>
      </c>
      <c r="H156" s="43">
        <v>228</v>
      </c>
      <c r="I156" s="43" t="s">
        <v>104</v>
      </c>
      <c r="K156" s="43">
        <v>228</v>
      </c>
      <c r="L156" s="43" t="s">
        <v>65</v>
      </c>
      <c r="N156" s="43">
        <v>228</v>
      </c>
      <c r="O156" s="43" t="s">
        <v>65</v>
      </c>
      <c r="P156" s="11"/>
      <c r="Q156" s="43">
        <v>228</v>
      </c>
      <c r="R156" s="43" t="s">
        <v>123</v>
      </c>
    </row>
    <row r="157" spans="2:18" ht="15" customHeight="1" x14ac:dyDescent="0.2">
      <c r="B157" s="43">
        <v>244</v>
      </c>
      <c r="C157" s="43" t="s">
        <v>65</v>
      </c>
      <c r="E157" s="43">
        <v>244</v>
      </c>
      <c r="F157" s="43" t="s">
        <v>65</v>
      </c>
      <c r="H157" s="43">
        <v>244</v>
      </c>
      <c r="I157" s="43" t="s">
        <v>104</v>
      </c>
      <c r="K157" s="43">
        <v>244</v>
      </c>
      <c r="L157" s="43" t="s">
        <v>65</v>
      </c>
      <c r="N157" s="43">
        <v>244</v>
      </c>
      <c r="O157" s="43" t="s">
        <v>65</v>
      </c>
      <c r="P157" s="11"/>
      <c r="Q157" s="43">
        <v>244</v>
      </c>
      <c r="R157" s="43" t="s">
        <v>123</v>
      </c>
    </row>
    <row r="158" spans="2:18" ht="15" customHeight="1" x14ac:dyDescent="0.2">
      <c r="B158" s="43">
        <v>245</v>
      </c>
      <c r="C158" s="43" t="s">
        <v>65</v>
      </c>
      <c r="E158" s="43">
        <v>245</v>
      </c>
      <c r="F158" s="43" t="s">
        <v>65</v>
      </c>
      <c r="H158" s="43">
        <v>245</v>
      </c>
      <c r="I158" s="43" t="s">
        <v>104</v>
      </c>
      <c r="K158" s="43">
        <v>245</v>
      </c>
      <c r="L158" s="43" t="s">
        <v>65</v>
      </c>
      <c r="N158" s="43">
        <v>245</v>
      </c>
      <c r="O158" s="43" t="s">
        <v>65</v>
      </c>
      <c r="P158" s="11"/>
      <c r="Q158" s="43">
        <v>245</v>
      </c>
      <c r="R158" s="43" t="s">
        <v>123</v>
      </c>
    </row>
    <row r="159" spans="2:18" ht="15" customHeight="1" x14ac:dyDescent="0.2">
      <c r="B159" s="43">
        <v>246</v>
      </c>
      <c r="C159" s="43" t="s">
        <v>65</v>
      </c>
      <c r="E159" s="43">
        <v>246</v>
      </c>
      <c r="F159" s="43" t="s">
        <v>65</v>
      </c>
      <c r="H159" s="43">
        <v>246</v>
      </c>
      <c r="I159" s="43" t="s">
        <v>104</v>
      </c>
      <c r="K159" s="43">
        <v>246</v>
      </c>
      <c r="L159" s="43" t="s">
        <v>65</v>
      </c>
      <c r="N159" s="43">
        <v>246</v>
      </c>
      <c r="O159" s="43" t="s">
        <v>65</v>
      </c>
      <c r="P159" s="11"/>
      <c r="Q159" s="43">
        <v>246</v>
      </c>
      <c r="R159" s="43" t="s">
        <v>123</v>
      </c>
    </row>
    <row r="160" spans="2:18" ht="15" customHeight="1" x14ac:dyDescent="0.2">
      <c r="B160" s="43">
        <v>247</v>
      </c>
      <c r="C160" s="43" t="s">
        <v>65</v>
      </c>
      <c r="E160" s="43">
        <v>247</v>
      </c>
      <c r="F160" s="43" t="s">
        <v>65</v>
      </c>
      <c r="H160" s="43">
        <v>247</v>
      </c>
      <c r="I160" s="43" t="s">
        <v>104</v>
      </c>
      <c r="K160" s="43">
        <v>247</v>
      </c>
      <c r="L160" s="43" t="s">
        <v>65</v>
      </c>
      <c r="N160" s="43">
        <v>247</v>
      </c>
      <c r="O160" s="43" t="s">
        <v>65</v>
      </c>
      <c r="P160" s="11"/>
      <c r="Q160" s="43">
        <v>247</v>
      </c>
      <c r="R160" s="43" t="s">
        <v>123</v>
      </c>
    </row>
    <row r="161" spans="2:18" ht="15" customHeight="1" x14ac:dyDescent="0.2">
      <c r="B161" s="43">
        <v>248</v>
      </c>
      <c r="C161" s="43" t="s">
        <v>65</v>
      </c>
      <c r="E161" s="43">
        <v>248</v>
      </c>
      <c r="F161" s="43" t="s">
        <v>65</v>
      </c>
      <c r="H161" s="43">
        <v>248</v>
      </c>
      <c r="I161" s="43" t="s">
        <v>104</v>
      </c>
      <c r="K161" s="43">
        <v>248</v>
      </c>
      <c r="L161" s="43" t="s">
        <v>65</v>
      </c>
      <c r="N161" s="43">
        <v>248</v>
      </c>
      <c r="O161" s="43" t="s">
        <v>65</v>
      </c>
      <c r="P161" s="11"/>
      <c r="Q161" s="43">
        <v>248</v>
      </c>
      <c r="R161" s="43" t="s">
        <v>123</v>
      </c>
    </row>
    <row r="162" spans="2:18" ht="15" customHeight="1" x14ac:dyDescent="0.2">
      <c r="B162" s="43">
        <v>291</v>
      </c>
      <c r="C162" s="43" t="s">
        <v>65</v>
      </c>
      <c r="E162" s="43">
        <v>291</v>
      </c>
      <c r="F162" s="43" t="s">
        <v>65</v>
      </c>
      <c r="H162" s="43">
        <v>291</v>
      </c>
      <c r="I162" s="43" t="s">
        <v>104</v>
      </c>
      <c r="K162" s="43">
        <v>291</v>
      </c>
      <c r="L162" s="43" t="s">
        <v>65</v>
      </c>
      <c r="N162" s="43">
        <v>291</v>
      </c>
      <c r="O162" s="43" t="s">
        <v>65</v>
      </c>
      <c r="P162" s="11"/>
      <c r="Q162" s="43">
        <v>291</v>
      </c>
      <c r="R162" s="43" t="s">
        <v>123</v>
      </c>
    </row>
    <row r="163" spans="2:18" ht="15" customHeight="1" x14ac:dyDescent="0.2">
      <c r="B163" s="43">
        <v>292</v>
      </c>
      <c r="C163" s="43" t="s">
        <v>65</v>
      </c>
      <c r="E163" s="43">
        <v>292</v>
      </c>
      <c r="F163" s="43" t="s">
        <v>65</v>
      </c>
      <c r="H163" s="43">
        <v>292</v>
      </c>
      <c r="I163" s="43" t="s">
        <v>104</v>
      </c>
      <c r="K163" s="43">
        <v>292</v>
      </c>
      <c r="L163" s="43" t="s">
        <v>65</v>
      </c>
      <c r="N163" s="43">
        <v>292</v>
      </c>
      <c r="O163" s="43" t="s">
        <v>65</v>
      </c>
      <c r="P163" s="11"/>
      <c r="Q163" s="43">
        <v>292</v>
      </c>
      <c r="R163" s="43" t="s">
        <v>123</v>
      </c>
    </row>
    <row r="164" spans="2:18" ht="15" customHeight="1" x14ac:dyDescent="0.2">
      <c r="B164" s="43">
        <v>293</v>
      </c>
      <c r="C164" s="43" t="s">
        <v>65</v>
      </c>
      <c r="E164" s="43">
        <v>293</v>
      </c>
      <c r="F164" s="43" t="s">
        <v>65</v>
      </c>
      <c r="H164" s="43">
        <v>293</v>
      </c>
      <c r="I164" s="43" t="s">
        <v>104</v>
      </c>
      <c r="K164" s="43">
        <v>293</v>
      </c>
      <c r="L164" s="43" t="s">
        <v>65</v>
      </c>
      <c r="N164" s="43">
        <v>293</v>
      </c>
      <c r="O164" s="43" t="s">
        <v>65</v>
      </c>
      <c r="P164" s="11"/>
      <c r="Q164" s="43">
        <v>293</v>
      </c>
      <c r="R164" s="43" t="s">
        <v>123</v>
      </c>
    </row>
    <row r="165" spans="2:18" ht="15" customHeight="1" x14ac:dyDescent="0.2">
      <c r="B165" s="43">
        <v>294</v>
      </c>
      <c r="C165" s="43" t="s">
        <v>65</v>
      </c>
      <c r="E165" s="43">
        <v>294</v>
      </c>
      <c r="F165" s="43" t="s">
        <v>65</v>
      </c>
      <c r="H165" s="43">
        <v>294</v>
      </c>
      <c r="I165" s="43" t="s">
        <v>104</v>
      </c>
      <c r="K165" s="43">
        <v>294</v>
      </c>
      <c r="L165" s="43" t="s">
        <v>65</v>
      </c>
      <c r="N165" s="43">
        <v>294</v>
      </c>
      <c r="O165" s="43" t="s">
        <v>65</v>
      </c>
      <c r="P165" s="11"/>
      <c r="Q165" s="43">
        <v>294</v>
      </c>
      <c r="R165" s="43" t="s">
        <v>123</v>
      </c>
    </row>
    <row r="166" spans="2:18" ht="15" customHeight="1" x14ac:dyDescent="0.2">
      <c r="B166" s="43">
        <v>295</v>
      </c>
      <c r="C166" s="43" t="s">
        <v>65</v>
      </c>
      <c r="E166" s="43">
        <v>295</v>
      </c>
      <c r="F166" s="43" t="s">
        <v>65</v>
      </c>
      <c r="H166" s="43">
        <v>295</v>
      </c>
      <c r="I166" s="43" t="s">
        <v>104</v>
      </c>
      <c r="K166" s="43">
        <v>295</v>
      </c>
      <c r="L166" s="43" t="s">
        <v>65</v>
      </c>
      <c r="N166" s="43">
        <v>295</v>
      </c>
      <c r="O166" s="43" t="s">
        <v>65</v>
      </c>
      <c r="P166" s="11"/>
      <c r="Q166" s="43">
        <v>295</v>
      </c>
      <c r="R166" s="43" t="s">
        <v>123</v>
      </c>
    </row>
    <row r="167" spans="2:18" ht="15" customHeight="1" x14ac:dyDescent="0.2">
      <c r="B167" s="43">
        <v>273</v>
      </c>
      <c r="C167" s="43" t="s">
        <v>65</v>
      </c>
      <c r="E167" s="43">
        <v>273</v>
      </c>
      <c r="F167" s="43" t="s">
        <v>65</v>
      </c>
      <c r="H167" s="43">
        <v>273</v>
      </c>
      <c r="I167" s="43" t="s">
        <v>104</v>
      </c>
      <c r="K167" s="43">
        <v>273</v>
      </c>
      <c r="L167" s="43" t="s">
        <v>65</v>
      </c>
      <c r="N167" s="43">
        <v>273</v>
      </c>
      <c r="O167" s="43" t="s">
        <v>65</v>
      </c>
      <c r="P167" s="11"/>
      <c r="Q167" s="43">
        <v>273</v>
      </c>
      <c r="R167" s="43" t="s">
        <v>123</v>
      </c>
    </row>
    <row r="168" spans="2:18" ht="15" customHeight="1" x14ac:dyDescent="0.2">
      <c r="B168" s="43">
        <v>276</v>
      </c>
      <c r="C168" s="43" t="s">
        <v>65</v>
      </c>
      <c r="E168" s="43">
        <v>276</v>
      </c>
      <c r="F168" s="43" t="s">
        <v>65</v>
      </c>
      <c r="H168" s="43">
        <v>276</v>
      </c>
      <c r="I168" s="43" t="s">
        <v>104</v>
      </c>
      <c r="K168" s="43">
        <v>276</v>
      </c>
      <c r="L168" s="43" t="s">
        <v>65</v>
      </c>
      <c r="N168" s="43">
        <v>276</v>
      </c>
      <c r="O168" s="43" t="s">
        <v>65</v>
      </c>
      <c r="P168" s="11"/>
      <c r="Q168" s="43">
        <v>276</v>
      </c>
      <c r="R168" s="43" t="s">
        <v>123</v>
      </c>
    </row>
    <row r="169" spans="2:18" ht="15" customHeight="1" x14ac:dyDescent="0.2">
      <c r="B169" s="43">
        <v>279</v>
      </c>
      <c r="C169" s="43" t="s">
        <v>65</v>
      </c>
      <c r="E169" s="43">
        <v>279</v>
      </c>
      <c r="F169" s="43" t="s">
        <v>65</v>
      </c>
      <c r="H169" s="43">
        <v>279</v>
      </c>
      <c r="I169" s="43" t="s">
        <v>104</v>
      </c>
      <c r="K169" s="43">
        <v>279</v>
      </c>
      <c r="L169" s="43" t="s">
        <v>65</v>
      </c>
      <c r="N169" s="43">
        <v>279</v>
      </c>
      <c r="O169" s="43" t="s">
        <v>65</v>
      </c>
      <c r="P169" s="11"/>
      <c r="Q169" s="43">
        <v>279</v>
      </c>
      <c r="R169" s="43" t="s">
        <v>123</v>
      </c>
    </row>
    <row r="170" spans="2:18" ht="15" customHeight="1" x14ac:dyDescent="0.2">
      <c r="B170" s="43">
        <v>282</v>
      </c>
      <c r="C170" s="43" t="s">
        <v>65</v>
      </c>
      <c r="E170" s="43">
        <v>282</v>
      </c>
      <c r="F170" s="43" t="s">
        <v>65</v>
      </c>
      <c r="H170" s="43">
        <v>282</v>
      </c>
      <c r="I170" s="43" t="s">
        <v>104</v>
      </c>
      <c r="K170" s="43">
        <v>282</v>
      </c>
      <c r="L170" s="43" t="s">
        <v>65</v>
      </c>
      <c r="N170" s="43">
        <v>282</v>
      </c>
      <c r="O170" s="43" t="s">
        <v>65</v>
      </c>
      <c r="P170" s="11"/>
      <c r="Q170" s="43">
        <v>282</v>
      </c>
      <c r="R170" s="43" t="s">
        <v>123</v>
      </c>
    </row>
    <row r="171" spans="2:18" ht="15" customHeight="1" x14ac:dyDescent="0.2">
      <c r="B171" s="43">
        <v>285</v>
      </c>
      <c r="C171" s="43" t="s">
        <v>65</v>
      </c>
      <c r="E171" s="43">
        <v>285</v>
      </c>
      <c r="F171" s="43" t="s">
        <v>65</v>
      </c>
      <c r="H171" s="43">
        <v>285</v>
      </c>
      <c r="I171" s="43" t="s">
        <v>104</v>
      </c>
      <c r="K171" s="43">
        <v>285</v>
      </c>
      <c r="L171" s="43" t="s">
        <v>65</v>
      </c>
      <c r="N171" s="43">
        <v>285</v>
      </c>
      <c r="O171" s="43" t="s">
        <v>65</v>
      </c>
      <c r="P171" s="11"/>
      <c r="Q171" s="43">
        <v>285</v>
      </c>
      <c r="R171" s="43" t="s">
        <v>123</v>
      </c>
    </row>
    <row r="172" spans="2:18" ht="15" customHeight="1" x14ac:dyDescent="0.2">
      <c r="B172" s="43">
        <v>288</v>
      </c>
      <c r="C172" s="43" t="s">
        <v>65</v>
      </c>
      <c r="E172" s="43">
        <v>288</v>
      </c>
      <c r="F172" s="43" t="s">
        <v>65</v>
      </c>
      <c r="H172" s="43">
        <v>288</v>
      </c>
      <c r="I172" s="43" t="s">
        <v>104</v>
      </c>
      <c r="K172" s="43">
        <v>288</v>
      </c>
      <c r="L172" s="43" t="s">
        <v>65</v>
      </c>
      <c r="N172" s="43">
        <v>288</v>
      </c>
      <c r="O172" s="43" t="s">
        <v>65</v>
      </c>
      <c r="P172" s="11"/>
      <c r="Q172" s="43">
        <v>288</v>
      </c>
      <c r="R172" s="43" t="s">
        <v>123</v>
      </c>
    </row>
    <row r="173" spans="2:18" ht="15" customHeight="1" x14ac:dyDescent="0.2">
      <c r="B173" s="43">
        <v>296</v>
      </c>
      <c r="C173" s="43" t="s">
        <v>65</v>
      </c>
      <c r="E173" s="43">
        <v>296</v>
      </c>
      <c r="F173" s="43" t="s">
        <v>65</v>
      </c>
      <c r="H173" s="43">
        <v>296</v>
      </c>
      <c r="I173" s="43" t="s">
        <v>104</v>
      </c>
      <c r="K173" s="43">
        <v>296</v>
      </c>
      <c r="L173" s="43" t="s">
        <v>65</v>
      </c>
      <c r="N173" s="43">
        <v>296</v>
      </c>
      <c r="O173" s="43" t="s">
        <v>65</v>
      </c>
      <c r="P173" s="11"/>
      <c r="Q173" s="43">
        <v>296</v>
      </c>
      <c r="R173" s="43" t="s">
        <v>123</v>
      </c>
    </row>
    <row r="174" spans="2:18" ht="15" customHeight="1" x14ac:dyDescent="0.2">
      <c r="B174" s="43">
        <v>297</v>
      </c>
      <c r="C174" s="43" t="s">
        <v>65</v>
      </c>
      <c r="E174" s="43">
        <v>297</v>
      </c>
      <c r="F174" s="43" t="s">
        <v>65</v>
      </c>
      <c r="H174" s="43">
        <v>297</v>
      </c>
      <c r="I174" s="43" t="s">
        <v>104</v>
      </c>
      <c r="K174" s="43">
        <v>297</v>
      </c>
      <c r="L174" s="43" t="s">
        <v>65</v>
      </c>
      <c r="N174" s="43">
        <v>297</v>
      </c>
      <c r="O174" s="43" t="s">
        <v>65</v>
      </c>
      <c r="P174" s="11"/>
      <c r="Q174" s="43">
        <v>297</v>
      </c>
      <c r="R174" s="43" t="s">
        <v>123</v>
      </c>
    </row>
    <row r="175" spans="2:18" ht="15" customHeight="1" x14ac:dyDescent="0.2">
      <c r="B175" s="43">
        <v>298</v>
      </c>
      <c r="C175" s="43" t="s">
        <v>65</v>
      </c>
      <c r="E175" s="43">
        <v>298</v>
      </c>
      <c r="F175" s="43" t="s">
        <v>65</v>
      </c>
      <c r="H175" s="43">
        <v>298</v>
      </c>
      <c r="I175" s="43" t="s">
        <v>104</v>
      </c>
      <c r="K175" s="43">
        <v>298</v>
      </c>
      <c r="L175" s="43" t="s">
        <v>65</v>
      </c>
      <c r="N175" s="43">
        <v>298</v>
      </c>
      <c r="O175" s="43" t="s">
        <v>65</v>
      </c>
      <c r="P175" s="11"/>
      <c r="Q175" s="43">
        <v>298</v>
      </c>
      <c r="R175" s="43" t="s">
        <v>123</v>
      </c>
    </row>
    <row r="176" spans="2:18" ht="15" customHeight="1" x14ac:dyDescent="0.2">
      <c r="B176" s="43">
        <v>299</v>
      </c>
      <c r="C176" s="43" t="s">
        <v>65</v>
      </c>
      <c r="E176" s="43">
        <v>299</v>
      </c>
      <c r="F176" s="43" t="s">
        <v>65</v>
      </c>
      <c r="H176" s="43">
        <v>299</v>
      </c>
      <c r="I176" s="43" t="s">
        <v>104</v>
      </c>
      <c r="K176" s="43">
        <v>299</v>
      </c>
      <c r="L176" s="43" t="s">
        <v>65</v>
      </c>
      <c r="N176" s="43">
        <v>299</v>
      </c>
      <c r="O176" s="43" t="s">
        <v>65</v>
      </c>
      <c r="P176" s="11"/>
      <c r="Q176" s="43">
        <v>299</v>
      </c>
      <c r="R176" s="43" t="s">
        <v>123</v>
      </c>
    </row>
    <row r="177" spans="2:18" ht="15" customHeight="1" x14ac:dyDescent="0.2">
      <c r="B177" s="43">
        <v>300</v>
      </c>
      <c r="C177" s="43" t="s">
        <v>65</v>
      </c>
      <c r="E177" s="43">
        <v>300</v>
      </c>
      <c r="F177" s="43" t="s">
        <v>65</v>
      </c>
      <c r="H177" s="43">
        <v>300</v>
      </c>
      <c r="I177" s="43" t="s">
        <v>104</v>
      </c>
      <c r="K177" s="43">
        <v>300</v>
      </c>
      <c r="L177" s="43" t="s">
        <v>65</v>
      </c>
      <c r="N177" s="43">
        <v>300</v>
      </c>
      <c r="O177" s="43" t="s">
        <v>65</v>
      </c>
      <c r="P177" s="11"/>
      <c r="Q177" s="43">
        <v>300</v>
      </c>
      <c r="R177" s="43" t="s">
        <v>123</v>
      </c>
    </row>
    <row r="178" spans="2:18" ht="15" customHeight="1" x14ac:dyDescent="0.2">
      <c r="B178" s="43">
        <v>274</v>
      </c>
      <c r="C178" s="43" t="s">
        <v>65</v>
      </c>
      <c r="E178" s="43">
        <v>274</v>
      </c>
      <c r="F178" s="43" t="s">
        <v>65</v>
      </c>
      <c r="H178" s="43">
        <v>274</v>
      </c>
      <c r="I178" s="43" t="s">
        <v>104</v>
      </c>
      <c r="K178" s="43">
        <v>274</v>
      </c>
      <c r="L178" s="43" t="s">
        <v>65</v>
      </c>
      <c r="N178" s="43">
        <v>274</v>
      </c>
      <c r="O178" s="43" t="s">
        <v>65</v>
      </c>
      <c r="P178" s="11"/>
      <c r="Q178" s="43">
        <v>274</v>
      </c>
      <c r="R178" s="43" t="s">
        <v>123</v>
      </c>
    </row>
    <row r="179" spans="2:18" ht="15" customHeight="1" x14ac:dyDescent="0.2">
      <c r="B179" s="43">
        <v>277</v>
      </c>
      <c r="C179" s="43" t="s">
        <v>65</v>
      </c>
      <c r="E179" s="43">
        <v>277</v>
      </c>
      <c r="F179" s="43" t="s">
        <v>65</v>
      </c>
      <c r="H179" s="43">
        <v>277</v>
      </c>
      <c r="I179" s="43" t="s">
        <v>104</v>
      </c>
      <c r="K179" s="43">
        <v>277</v>
      </c>
      <c r="L179" s="43" t="s">
        <v>65</v>
      </c>
      <c r="N179" s="43">
        <v>277</v>
      </c>
      <c r="O179" s="43" t="s">
        <v>65</v>
      </c>
      <c r="P179" s="11"/>
      <c r="Q179" s="43">
        <v>277</v>
      </c>
      <c r="R179" s="43" t="s">
        <v>123</v>
      </c>
    </row>
    <row r="180" spans="2:18" ht="15" customHeight="1" x14ac:dyDescent="0.2">
      <c r="B180" s="43">
        <v>280</v>
      </c>
      <c r="C180" s="43" t="s">
        <v>65</v>
      </c>
      <c r="E180" s="43">
        <v>280</v>
      </c>
      <c r="F180" s="43" t="s">
        <v>65</v>
      </c>
      <c r="H180" s="43">
        <v>280</v>
      </c>
      <c r="I180" s="43" t="s">
        <v>104</v>
      </c>
      <c r="K180" s="43">
        <v>280</v>
      </c>
      <c r="L180" s="43" t="s">
        <v>65</v>
      </c>
      <c r="N180" s="43">
        <v>280</v>
      </c>
      <c r="O180" s="43" t="s">
        <v>65</v>
      </c>
      <c r="P180" s="11"/>
      <c r="Q180" s="43">
        <v>280</v>
      </c>
      <c r="R180" s="43" t="s">
        <v>123</v>
      </c>
    </row>
    <row r="181" spans="2:18" ht="15" customHeight="1" x14ac:dyDescent="0.2">
      <c r="B181" s="43">
        <v>283</v>
      </c>
      <c r="C181" s="43" t="s">
        <v>65</v>
      </c>
      <c r="E181" s="43">
        <v>283</v>
      </c>
      <c r="F181" s="43" t="s">
        <v>65</v>
      </c>
      <c r="H181" s="43">
        <v>283</v>
      </c>
      <c r="I181" s="43" t="s">
        <v>104</v>
      </c>
      <c r="K181" s="43">
        <v>283</v>
      </c>
      <c r="L181" s="43" t="s">
        <v>65</v>
      </c>
      <c r="N181" s="43">
        <v>283</v>
      </c>
      <c r="O181" s="43" t="s">
        <v>65</v>
      </c>
      <c r="P181" s="11"/>
      <c r="Q181" s="43">
        <v>283</v>
      </c>
      <c r="R181" s="43" t="s">
        <v>123</v>
      </c>
    </row>
    <row r="182" spans="2:18" ht="15" customHeight="1" x14ac:dyDescent="0.2">
      <c r="B182" s="43">
        <v>286</v>
      </c>
      <c r="C182" s="43" t="s">
        <v>65</v>
      </c>
      <c r="E182" s="43">
        <v>286</v>
      </c>
      <c r="F182" s="43" t="s">
        <v>65</v>
      </c>
      <c r="H182" s="43">
        <v>286</v>
      </c>
      <c r="I182" s="43" t="s">
        <v>104</v>
      </c>
      <c r="K182" s="43">
        <v>286</v>
      </c>
      <c r="L182" s="43" t="s">
        <v>65</v>
      </c>
      <c r="N182" s="43">
        <v>286</v>
      </c>
      <c r="O182" s="43" t="s">
        <v>65</v>
      </c>
      <c r="P182" s="11"/>
      <c r="Q182" s="43">
        <v>286</v>
      </c>
      <c r="R182" s="43" t="s">
        <v>123</v>
      </c>
    </row>
    <row r="183" spans="2:18" ht="15" customHeight="1" x14ac:dyDescent="0.2">
      <c r="B183" s="43">
        <v>289</v>
      </c>
      <c r="C183" s="43" t="s">
        <v>65</v>
      </c>
      <c r="E183" s="43">
        <v>289</v>
      </c>
      <c r="F183" s="43" t="s">
        <v>65</v>
      </c>
      <c r="H183" s="43">
        <v>289</v>
      </c>
      <c r="I183" s="43" t="s">
        <v>104</v>
      </c>
      <c r="K183" s="43">
        <v>289</v>
      </c>
      <c r="L183" s="43" t="s">
        <v>65</v>
      </c>
      <c r="N183" s="43">
        <v>289</v>
      </c>
      <c r="O183" s="43" t="s">
        <v>65</v>
      </c>
      <c r="P183" s="11"/>
      <c r="Q183" s="43">
        <v>289</v>
      </c>
      <c r="R183" s="43" t="s">
        <v>123</v>
      </c>
    </row>
    <row r="184" spans="2:18" ht="15" customHeight="1" x14ac:dyDescent="0.2">
      <c r="B184" s="43">
        <v>301</v>
      </c>
      <c r="C184" s="43" t="s">
        <v>65</v>
      </c>
      <c r="E184" s="43">
        <v>301</v>
      </c>
      <c r="F184" s="43" t="s">
        <v>65</v>
      </c>
      <c r="H184" s="43">
        <v>301</v>
      </c>
      <c r="I184" s="43" t="s">
        <v>104</v>
      </c>
      <c r="K184" s="43">
        <v>301</v>
      </c>
      <c r="L184" s="43" t="s">
        <v>65</v>
      </c>
      <c r="N184" s="43">
        <v>301</v>
      </c>
      <c r="O184" s="43" t="s">
        <v>65</v>
      </c>
      <c r="P184" s="11"/>
      <c r="Q184" s="43">
        <v>301</v>
      </c>
      <c r="R184" s="43" t="s">
        <v>123</v>
      </c>
    </row>
    <row r="185" spans="2:18" ht="15" customHeight="1" x14ac:dyDescent="0.2">
      <c r="B185" s="43">
        <v>302</v>
      </c>
      <c r="C185" s="43" t="s">
        <v>65</v>
      </c>
      <c r="E185" s="43">
        <v>302</v>
      </c>
      <c r="F185" s="43" t="s">
        <v>65</v>
      </c>
      <c r="H185" s="43">
        <v>302</v>
      </c>
      <c r="I185" s="43" t="s">
        <v>104</v>
      </c>
      <c r="K185" s="43">
        <v>302</v>
      </c>
      <c r="L185" s="43" t="s">
        <v>65</v>
      </c>
      <c r="N185" s="43">
        <v>302</v>
      </c>
      <c r="O185" s="43" t="s">
        <v>65</v>
      </c>
      <c r="P185" s="11"/>
      <c r="Q185" s="43">
        <v>302</v>
      </c>
      <c r="R185" s="43" t="s">
        <v>123</v>
      </c>
    </row>
    <row r="186" spans="2:18" ht="15" customHeight="1" x14ac:dyDescent="0.2">
      <c r="B186" s="43">
        <v>303</v>
      </c>
      <c r="C186" s="43" t="s">
        <v>65</v>
      </c>
      <c r="E186" s="43">
        <v>303</v>
      </c>
      <c r="F186" s="43" t="s">
        <v>65</v>
      </c>
      <c r="H186" s="43">
        <v>303</v>
      </c>
      <c r="I186" s="43" t="s">
        <v>104</v>
      </c>
      <c r="K186" s="43">
        <v>303</v>
      </c>
      <c r="L186" s="43" t="s">
        <v>65</v>
      </c>
      <c r="N186" s="43">
        <v>303</v>
      </c>
      <c r="O186" s="43" t="s">
        <v>65</v>
      </c>
      <c r="P186" s="11"/>
      <c r="Q186" s="43">
        <v>303</v>
      </c>
      <c r="R186" s="43" t="s">
        <v>123</v>
      </c>
    </row>
    <row r="187" spans="2:18" ht="15" customHeight="1" x14ac:dyDescent="0.2">
      <c r="B187" s="43">
        <v>304</v>
      </c>
      <c r="C187" s="43" t="s">
        <v>65</v>
      </c>
      <c r="E187" s="43">
        <v>304</v>
      </c>
      <c r="F187" s="43" t="s">
        <v>65</v>
      </c>
      <c r="H187" s="43">
        <v>304</v>
      </c>
      <c r="I187" s="43" t="s">
        <v>104</v>
      </c>
      <c r="K187" s="43">
        <v>304</v>
      </c>
      <c r="L187" s="43" t="s">
        <v>65</v>
      </c>
      <c r="N187" s="43">
        <v>304</v>
      </c>
      <c r="O187" s="43" t="s">
        <v>65</v>
      </c>
      <c r="P187" s="11"/>
      <c r="Q187" s="43">
        <v>304</v>
      </c>
      <c r="R187" s="43" t="s">
        <v>123</v>
      </c>
    </row>
    <row r="188" spans="2:18" ht="15" customHeight="1" x14ac:dyDescent="0.2">
      <c r="B188" s="43">
        <v>305</v>
      </c>
      <c r="C188" s="43" t="s">
        <v>65</v>
      </c>
      <c r="E188" s="43">
        <v>305</v>
      </c>
      <c r="F188" s="43" t="s">
        <v>65</v>
      </c>
      <c r="H188" s="43">
        <v>305</v>
      </c>
      <c r="I188" s="43" t="s">
        <v>104</v>
      </c>
      <c r="K188" s="43">
        <v>305</v>
      </c>
      <c r="L188" s="43" t="s">
        <v>65</v>
      </c>
      <c r="N188" s="43">
        <v>305</v>
      </c>
      <c r="O188" s="43" t="s">
        <v>65</v>
      </c>
      <c r="P188" s="11"/>
      <c r="Q188" s="43">
        <v>305</v>
      </c>
      <c r="R188" s="43" t="s">
        <v>123</v>
      </c>
    </row>
    <row r="189" spans="2:18" ht="15" customHeight="1" x14ac:dyDescent="0.2">
      <c r="B189" s="43">
        <v>275</v>
      </c>
      <c r="C189" s="43" t="s">
        <v>65</v>
      </c>
      <c r="E189" s="43">
        <v>275</v>
      </c>
      <c r="F189" s="43" t="s">
        <v>65</v>
      </c>
      <c r="H189" s="43">
        <v>275</v>
      </c>
      <c r="I189" s="43" t="s">
        <v>104</v>
      </c>
      <c r="K189" s="43">
        <v>275</v>
      </c>
      <c r="L189" s="43" t="s">
        <v>65</v>
      </c>
      <c r="N189" s="43">
        <v>275</v>
      </c>
      <c r="O189" s="43" t="s">
        <v>65</v>
      </c>
      <c r="P189" s="11"/>
      <c r="Q189" s="43">
        <v>275</v>
      </c>
      <c r="R189" s="43" t="s">
        <v>123</v>
      </c>
    </row>
    <row r="190" spans="2:18" ht="15" customHeight="1" x14ac:dyDescent="0.2">
      <c r="B190" s="43">
        <v>278</v>
      </c>
      <c r="C190" s="43" t="s">
        <v>65</v>
      </c>
      <c r="E190" s="43">
        <v>278</v>
      </c>
      <c r="F190" s="43" t="s">
        <v>65</v>
      </c>
      <c r="H190" s="43">
        <v>278</v>
      </c>
      <c r="I190" s="43" t="s">
        <v>104</v>
      </c>
      <c r="K190" s="43">
        <v>278</v>
      </c>
      <c r="L190" s="43" t="s">
        <v>65</v>
      </c>
      <c r="N190" s="43">
        <v>278</v>
      </c>
      <c r="O190" s="43" t="s">
        <v>65</v>
      </c>
      <c r="Q190" s="43">
        <v>278</v>
      </c>
      <c r="R190" s="43" t="s">
        <v>123</v>
      </c>
    </row>
    <row r="191" spans="2:18" ht="15" customHeight="1" x14ac:dyDescent="0.2">
      <c r="B191" s="43">
        <v>281</v>
      </c>
      <c r="C191" s="43" t="s">
        <v>65</v>
      </c>
      <c r="E191" s="43">
        <v>281</v>
      </c>
      <c r="F191" s="43" t="s">
        <v>65</v>
      </c>
      <c r="H191" s="43">
        <v>281</v>
      </c>
      <c r="I191" s="43" t="s">
        <v>104</v>
      </c>
      <c r="K191" s="43">
        <v>281</v>
      </c>
      <c r="L191" s="43" t="s">
        <v>65</v>
      </c>
      <c r="N191" s="43">
        <v>281</v>
      </c>
      <c r="O191" s="43" t="s">
        <v>65</v>
      </c>
      <c r="Q191" s="43">
        <v>281</v>
      </c>
      <c r="R191" s="43" t="s">
        <v>123</v>
      </c>
    </row>
    <row r="192" spans="2:18" ht="15" customHeight="1" x14ac:dyDescent="0.2">
      <c r="B192" s="43">
        <v>284</v>
      </c>
      <c r="C192" s="43" t="s">
        <v>65</v>
      </c>
      <c r="E192" s="43">
        <v>284</v>
      </c>
      <c r="F192" s="43" t="s">
        <v>65</v>
      </c>
      <c r="H192" s="43">
        <v>284</v>
      </c>
      <c r="I192" s="43" t="s">
        <v>104</v>
      </c>
      <c r="K192" s="43">
        <v>284</v>
      </c>
      <c r="L192" s="43" t="s">
        <v>65</v>
      </c>
      <c r="N192" s="43">
        <v>284</v>
      </c>
      <c r="O192" s="43" t="s">
        <v>65</v>
      </c>
      <c r="Q192" s="43">
        <v>284</v>
      </c>
      <c r="R192" s="43" t="s">
        <v>123</v>
      </c>
    </row>
    <row r="193" spans="2:18" ht="15" customHeight="1" x14ac:dyDescent="0.2">
      <c r="B193" s="43">
        <v>287</v>
      </c>
      <c r="C193" s="43" t="s">
        <v>65</v>
      </c>
      <c r="E193" s="43">
        <v>287</v>
      </c>
      <c r="F193" s="43" t="s">
        <v>65</v>
      </c>
      <c r="H193" s="43">
        <v>287</v>
      </c>
      <c r="I193" s="43" t="s">
        <v>104</v>
      </c>
      <c r="K193" s="43">
        <v>287</v>
      </c>
      <c r="L193" s="43" t="s">
        <v>65</v>
      </c>
      <c r="N193" s="43">
        <v>287</v>
      </c>
      <c r="O193" s="43" t="s">
        <v>65</v>
      </c>
      <c r="Q193" s="43">
        <v>287</v>
      </c>
      <c r="R193" s="43" t="s">
        <v>123</v>
      </c>
    </row>
    <row r="194" spans="2:18" ht="15" customHeight="1" x14ac:dyDescent="0.2">
      <c r="B194" s="43">
        <v>290</v>
      </c>
      <c r="C194" s="43" t="s">
        <v>65</v>
      </c>
      <c r="E194" s="43">
        <v>290</v>
      </c>
      <c r="F194" s="43" t="s">
        <v>65</v>
      </c>
      <c r="H194" s="43">
        <v>290</v>
      </c>
      <c r="I194" s="43" t="s">
        <v>104</v>
      </c>
      <c r="K194" s="43">
        <v>290</v>
      </c>
      <c r="L194" s="43" t="s">
        <v>65</v>
      </c>
      <c r="N194" s="43">
        <v>290</v>
      </c>
      <c r="O194" s="43" t="s">
        <v>65</v>
      </c>
      <c r="Q194" s="43">
        <v>290</v>
      </c>
      <c r="R194" s="43" t="s">
        <v>123</v>
      </c>
    </row>
    <row r="195" spans="2:18" ht="15" customHeight="1" x14ac:dyDescent="0.2">
      <c r="B195" s="43">
        <v>306</v>
      </c>
      <c r="C195" s="43" t="s">
        <v>65</v>
      </c>
      <c r="E195" s="43">
        <v>306</v>
      </c>
      <c r="F195" s="43" t="s">
        <v>65</v>
      </c>
      <c r="H195" s="43">
        <v>306</v>
      </c>
      <c r="I195" s="43" t="s">
        <v>104</v>
      </c>
      <c r="K195" s="43">
        <v>306</v>
      </c>
      <c r="L195" s="43" t="s">
        <v>65</v>
      </c>
      <c r="N195" s="43">
        <v>306</v>
      </c>
      <c r="O195" s="43" t="s">
        <v>65</v>
      </c>
      <c r="Q195" s="43">
        <v>306</v>
      </c>
      <c r="R195" s="43" t="s">
        <v>123</v>
      </c>
    </row>
    <row r="196" spans="2:18" ht="15" customHeight="1" x14ac:dyDescent="0.2">
      <c r="B196" s="43">
        <v>307</v>
      </c>
      <c r="C196" s="43" t="s">
        <v>65</v>
      </c>
      <c r="E196" s="43">
        <v>307</v>
      </c>
      <c r="F196" s="43" t="s">
        <v>65</v>
      </c>
      <c r="H196" s="43">
        <v>307</v>
      </c>
      <c r="I196" s="43" t="s">
        <v>104</v>
      </c>
      <c r="K196" s="43">
        <v>307</v>
      </c>
      <c r="L196" s="43" t="s">
        <v>65</v>
      </c>
      <c r="N196" s="43">
        <v>307</v>
      </c>
      <c r="O196" s="43" t="s">
        <v>65</v>
      </c>
      <c r="Q196" s="43">
        <v>307</v>
      </c>
      <c r="R196" s="43" t="s">
        <v>123</v>
      </c>
    </row>
    <row r="197" spans="2:18" ht="15" customHeight="1" x14ac:dyDescent="0.2">
      <c r="B197" s="43">
        <v>308</v>
      </c>
      <c r="C197" s="43" t="s">
        <v>65</v>
      </c>
      <c r="E197" s="43">
        <v>308</v>
      </c>
      <c r="F197" s="43" t="s">
        <v>65</v>
      </c>
      <c r="H197" s="43">
        <v>308</v>
      </c>
      <c r="I197" s="43" t="s">
        <v>104</v>
      </c>
      <c r="K197" s="43">
        <v>308</v>
      </c>
      <c r="L197" s="43" t="s">
        <v>65</v>
      </c>
      <c r="N197" s="43">
        <v>308</v>
      </c>
      <c r="O197" s="43" t="s">
        <v>65</v>
      </c>
      <c r="Q197" s="43">
        <v>308</v>
      </c>
      <c r="R197" s="43" t="s">
        <v>123</v>
      </c>
    </row>
    <row r="198" spans="2:18" ht="15" customHeight="1" x14ac:dyDescent="0.2">
      <c r="B198" s="43">
        <v>309</v>
      </c>
      <c r="C198" s="43" t="s">
        <v>65</v>
      </c>
      <c r="E198" s="43">
        <v>309</v>
      </c>
      <c r="F198" s="43" t="s">
        <v>65</v>
      </c>
      <c r="H198" s="43">
        <v>309</v>
      </c>
      <c r="I198" s="43" t="s">
        <v>104</v>
      </c>
      <c r="K198" s="43">
        <v>309</v>
      </c>
      <c r="L198" s="43" t="s">
        <v>65</v>
      </c>
      <c r="N198" s="43">
        <v>309</v>
      </c>
      <c r="O198" s="43" t="s">
        <v>65</v>
      </c>
      <c r="Q198" s="43">
        <v>309</v>
      </c>
      <c r="R198" s="43" t="s">
        <v>123</v>
      </c>
    </row>
    <row r="199" spans="2:18" ht="15" customHeight="1" x14ac:dyDescent="0.2">
      <c r="B199" s="43">
        <v>310</v>
      </c>
      <c r="C199" s="43" t="s">
        <v>65</v>
      </c>
      <c r="E199" s="43">
        <v>310</v>
      </c>
      <c r="F199" s="43" t="s">
        <v>65</v>
      </c>
      <c r="H199" s="43">
        <v>310</v>
      </c>
      <c r="I199" s="43" t="s">
        <v>104</v>
      </c>
      <c r="K199" s="43">
        <v>310</v>
      </c>
      <c r="L199" s="43" t="s">
        <v>65</v>
      </c>
      <c r="N199" s="43">
        <v>310</v>
      </c>
      <c r="O199" s="43" t="s">
        <v>65</v>
      </c>
      <c r="Q199" s="43">
        <v>310</v>
      </c>
      <c r="R199" s="43" t="s">
        <v>123</v>
      </c>
    </row>
    <row r="200" spans="2:18" ht="15" customHeight="1" x14ac:dyDescent="0.2">
      <c r="B200" s="43">
        <v>105</v>
      </c>
      <c r="C200" s="43" t="s">
        <v>65</v>
      </c>
      <c r="E200" s="43">
        <v>105</v>
      </c>
      <c r="F200" s="43" t="s">
        <v>65</v>
      </c>
      <c r="H200" s="43">
        <v>105</v>
      </c>
      <c r="I200" s="43" t="s">
        <v>104</v>
      </c>
      <c r="K200" s="43">
        <v>105</v>
      </c>
      <c r="L200" s="43" t="s">
        <v>65</v>
      </c>
      <c r="N200" s="43">
        <v>105</v>
      </c>
      <c r="O200" s="43" t="s">
        <v>65</v>
      </c>
      <c r="Q200" s="43">
        <v>105</v>
      </c>
      <c r="R200" s="43" t="s">
        <v>123</v>
      </c>
    </row>
    <row r="201" spans="2:18" ht="15" customHeight="1" x14ac:dyDescent="0.2">
      <c r="B201" s="43">
        <v>106</v>
      </c>
      <c r="C201" s="43" t="s">
        <v>65</v>
      </c>
      <c r="E201" s="43">
        <v>106</v>
      </c>
      <c r="F201" s="43" t="s">
        <v>65</v>
      </c>
      <c r="H201" s="43">
        <v>106</v>
      </c>
      <c r="I201" s="43" t="s">
        <v>104</v>
      </c>
      <c r="K201" s="43">
        <v>106</v>
      </c>
      <c r="L201" s="43" t="s">
        <v>65</v>
      </c>
      <c r="N201" s="43">
        <v>106</v>
      </c>
      <c r="O201" s="43" t="s">
        <v>65</v>
      </c>
      <c r="Q201" s="43">
        <v>106</v>
      </c>
      <c r="R201" s="43" t="s">
        <v>123</v>
      </c>
    </row>
    <row r="202" spans="2:18" ht="15" customHeight="1" x14ac:dyDescent="0.2">
      <c r="B202" s="43">
        <v>107</v>
      </c>
      <c r="C202" s="43" t="s">
        <v>65</v>
      </c>
      <c r="E202" s="43">
        <v>107</v>
      </c>
      <c r="F202" s="43" t="s">
        <v>65</v>
      </c>
      <c r="H202" s="43">
        <v>107</v>
      </c>
      <c r="I202" s="43" t="s">
        <v>104</v>
      </c>
      <c r="K202" s="43">
        <v>107</v>
      </c>
      <c r="L202" s="43" t="s">
        <v>65</v>
      </c>
      <c r="N202" s="43">
        <v>107</v>
      </c>
      <c r="O202" s="43" t="s">
        <v>65</v>
      </c>
      <c r="Q202" s="43">
        <v>107</v>
      </c>
      <c r="R202" s="43" t="s">
        <v>123</v>
      </c>
    </row>
    <row r="203" spans="2:18" ht="15" customHeight="1" x14ac:dyDescent="0.2">
      <c r="B203" s="43">
        <v>108</v>
      </c>
      <c r="C203" s="43" t="s">
        <v>65</v>
      </c>
      <c r="E203" s="43">
        <v>108</v>
      </c>
      <c r="F203" s="43" t="s">
        <v>65</v>
      </c>
      <c r="H203" s="43">
        <v>108</v>
      </c>
      <c r="I203" s="43" t="s">
        <v>104</v>
      </c>
      <c r="K203" s="43">
        <v>108</v>
      </c>
      <c r="L203" s="43" t="s">
        <v>65</v>
      </c>
      <c r="N203" s="43">
        <v>108</v>
      </c>
      <c r="O203" s="43" t="s">
        <v>65</v>
      </c>
      <c r="Q203" s="43">
        <v>108</v>
      </c>
      <c r="R203" s="43" t="s">
        <v>123</v>
      </c>
    </row>
    <row r="204" spans="2:18" ht="15" customHeight="1" x14ac:dyDescent="0.2">
      <c r="B204" s="43">
        <v>109</v>
      </c>
      <c r="C204" s="43" t="s">
        <v>65</v>
      </c>
      <c r="E204" s="43">
        <v>109</v>
      </c>
      <c r="F204" s="43" t="s">
        <v>65</v>
      </c>
      <c r="H204" s="43">
        <v>109</v>
      </c>
      <c r="I204" s="43" t="s">
        <v>104</v>
      </c>
      <c r="K204" s="43">
        <v>109</v>
      </c>
      <c r="L204" s="43" t="s">
        <v>65</v>
      </c>
      <c r="N204" s="43">
        <v>109</v>
      </c>
      <c r="O204" s="43" t="s">
        <v>65</v>
      </c>
      <c r="Q204" s="43">
        <v>109</v>
      </c>
      <c r="R204" s="43" t="s">
        <v>123</v>
      </c>
    </row>
    <row r="205" spans="2:18" ht="15" customHeight="1" x14ac:dyDescent="0.2">
      <c r="B205" s="43">
        <v>87</v>
      </c>
      <c r="C205" s="43" t="s">
        <v>65</v>
      </c>
      <c r="E205" s="43">
        <v>87</v>
      </c>
      <c r="F205" s="43" t="s">
        <v>65</v>
      </c>
      <c r="H205" s="43">
        <v>87</v>
      </c>
      <c r="I205" s="43" t="s">
        <v>104</v>
      </c>
      <c r="K205" s="43">
        <v>87</v>
      </c>
      <c r="L205" s="43" t="s">
        <v>65</v>
      </c>
      <c r="N205" s="43">
        <v>87</v>
      </c>
      <c r="O205" s="43" t="s">
        <v>65</v>
      </c>
      <c r="Q205" s="43">
        <v>87</v>
      </c>
      <c r="R205" s="43" t="s">
        <v>123</v>
      </c>
    </row>
    <row r="206" spans="2:18" ht="15" customHeight="1" x14ac:dyDescent="0.2">
      <c r="B206" s="43">
        <v>90</v>
      </c>
      <c r="C206" s="43" t="s">
        <v>65</v>
      </c>
      <c r="E206" s="43">
        <v>90</v>
      </c>
      <c r="F206" s="43" t="s">
        <v>65</v>
      </c>
      <c r="H206" s="43">
        <v>90</v>
      </c>
      <c r="I206" s="43" t="s">
        <v>104</v>
      </c>
      <c r="K206" s="43">
        <v>90</v>
      </c>
      <c r="L206" s="43" t="s">
        <v>65</v>
      </c>
      <c r="N206" s="43">
        <v>90</v>
      </c>
      <c r="O206" s="43" t="s">
        <v>65</v>
      </c>
      <c r="Q206" s="43">
        <v>90</v>
      </c>
      <c r="R206" s="43" t="s">
        <v>123</v>
      </c>
    </row>
    <row r="207" spans="2:18" ht="15" customHeight="1" x14ac:dyDescent="0.2">
      <c r="B207" s="43">
        <v>93</v>
      </c>
      <c r="C207" s="43" t="s">
        <v>65</v>
      </c>
      <c r="E207" s="43">
        <v>93</v>
      </c>
      <c r="F207" s="43" t="s">
        <v>65</v>
      </c>
      <c r="H207" s="43">
        <v>93</v>
      </c>
      <c r="I207" s="43" t="s">
        <v>104</v>
      </c>
      <c r="K207" s="43">
        <v>93</v>
      </c>
      <c r="L207" s="43" t="s">
        <v>65</v>
      </c>
      <c r="N207" s="43">
        <v>93</v>
      </c>
      <c r="O207" s="43" t="s">
        <v>65</v>
      </c>
      <c r="Q207" s="43">
        <v>93</v>
      </c>
      <c r="R207" s="43" t="s">
        <v>123</v>
      </c>
    </row>
    <row r="208" spans="2:18" ht="15" customHeight="1" x14ac:dyDescent="0.2">
      <c r="B208" s="43">
        <v>96</v>
      </c>
      <c r="C208" s="43" t="s">
        <v>65</v>
      </c>
      <c r="E208" s="43">
        <v>96</v>
      </c>
      <c r="F208" s="43" t="s">
        <v>65</v>
      </c>
      <c r="H208" s="43">
        <v>96</v>
      </c>
      <c r="I208" s="43" t="s">
        <v>104</v>
      </c>
      <c r="K208" s="43">
        <v>96</v>
      </c>
      <c r="L208" s="43" t="s">
        <v>65</v>
      </c>
      <c r="N208" s="43">
        <v>96</v>
      </c>
      <c r="O208" s="43" t="s">
        <v>65</v>
      </c>
      <c r="Q208" s="43">
        <v>96</v>
      </c>
      <c r="R208" s="43" t="s">
        <v>123</v>
      </c>
    </row>
    <row r="209" spans="2:18" ht="15" customHeight="1" x14ac:dyDescent="0.2">
      <c r="B209" s="43">
        <v>99</v>
      </c>
      <c r="C209" s="43" t="s">
        <v>65</v>
      </c>
      <c r="E209" s="43">
        <v>99</v>
      </c>
      <c r="F209" s="43" t="s">
        <v>65</v>
      </c>
      <c r="H209" s="43">
        <v>99</v>
      </c>
      <c r="I209" s="43" t="s">
        <v>104</v>
      </c>
      <c r="K209" s="43">
        <v>99</v>
      </c>
      <c r="L209" s="43" t="s">
        <v>65</v>
      </c>
      <c r="N209" s="43">
        <v>99</v>
      </c>
      <c r="O209" s="43" t="s">
        <v>65</v>
      </c>
      <c r="Q209" s="43">
        <v>99</v>
      </c>
      <c r="R209" s="43" t="s">
        <v>123</v>
      </c>
    </row>
    <row r="210" spans="2:18" ht="15" customHeight="1" x14ac:dyDescent="0.2">
      <c r="B210" s="43">
        <v>102</v>
      </c>
      <c r="C210" s="43" t="s">
        <v>65</v>
      </c>
      <c r="E210" s="43">
        <v>102</v>
      </c>
      <c r="F210" s="43" t="s">
        <v>65</v>
      </c>
      <c r="H210" s="43">
        <v>102</v>
      </c>
      <c r="I210" s="43" t="s">
        <v>104</v>
      </c>
      <c r="K210" s="43">
        <v>102</v>
      </c>
      <c r="L210" s="43" t="s">
        <v>65</v>
      </c>
      <c r="N210" s="43">
        <v>102</v>
      </c>
      <c r="O210" s="43" t="s">
        <v>65</v>
      </c>
      <c r="Q210" s="43">
        <v>102</v>
      </c>
      <c r="R210" s="43" t="s">
        <v>123</v>
      </c>
    </row>
    <row r="211" spans="2:18" ht="15" customHeight="1" x14ac:dyDescent="0.2">
      <c r="B211" s="43">
        <v>110</v>
      </c>
      <c r="C211" s="43" t="s">
        <v>65</v>
      </c>
      <c r="E211" s="43">
        <v>110</v>
      </c>
      <c r="F211" s="43" t="s">
        <v>65</v>
      </c>
      <c r="H211" s="43">
        <v>110</v>
      </c>
      <c r="I211" s="43" t="s">
        <v>104</v>
      </c>
      <c r="K211" s="43">
        <v>110</v>
      </c>
      <c r="L211" s="43" t="s">
        <v>65</v>
      </c>
      <c r="N211" s="43">
        <v>110</v>
      </c>
      <c r="O211" s="43" t="s">
        <v>65</v>
      </c>
      <c r="Q211" s="43">
        <v>110</v>
      </c>
      <c r="R211" s="43" t="s">
        <v>123</v>
      </c>
    </row>
    <row r="212" spans="2:18" ht="15" customHeight="1" x14ac:dyDescent="0.2">
      <c r="B212" s="43">
        <v>111</v>
      </c>
      <c r="C212" s="43" t="s">
        <v>65</v>
      </c>
      <c r="E212" s="43">
        <v>111</v>
      </c>
      <c r="F212" s="43" t="s">
        <v>65</v>
      </c>
      <c r="H212" s="43">
        <v>111</v>
      </c>
      <c r="I212" s="43" t="s">
        <v>104</v>
      </c>
      <c r="K212" s="43">
        <v>111</v>
      </c>
      <c r="L212" s="43" t="s">
        <v>65</v>
      </c>
      <c r="N212" s="43">
        <v>111</v>
      </c>
      <c r="O212" s="43" t="s">
        <v>65</v>
      </c>
      <c r="Q212" s="43">
        <v>111</v>
      </c>
      <c r="R212" s="43" t="s">
        <v>123</v>
      </c>
    </row>
    <row r="213" spans="2:18" ht="15" customHeight="1" x14ac:dyDescent="0.2">
      <c r="B213" s="43">
        <v>112</v>
      </c>
      <c r="C213" s="43" t="s">
        <v>65</v>
      </c>
      <c r="E213" s="43">
        <v>112</v>
      </c>
      <c r="F213" s="43" t="s">
        <v>65</v>
      </c>
      <c r="H213" s="43">
        <v>112</v>
      </c>
      <c r="I213" s="43" t="s">
        <v>104</v>
      </c>
      <c r="K213" s="43">
        <v>112</v>
      </c>
      <c r="L213" s="43" t="s">
        <v>65</v>
      </c>
      <c r="N213" s="43">
        <v>112</v>
      </c>
      <c r="O213" s="43" t="s">
        <v>65</v>
      </c>
      <c r="Q213" s="43">
        <v>112</v>
      </c>
      <c r="R213" s="43" t="s">
        <v>123</v>
      </c>
    </row>
    <row r="214" spans="2:18" ht="15" customHeight="1" x14ac:dyDescent="0.2">
      <c r="B214" s="43">
        <v>113</v>
      </c>
      <c r="C214" s="43" t="s">
        <v>65</v>
      </c>
      <c r="E214" s="43">
        <v>113</v>
      </c>
      <c r="F214" s="43" t="s">
        <v>65</v>
      </c>
      <c r="H214" s="43">
        <v>113</v>
      </c>
      <c r="I214" s="43" t="s">
        <v>104</v>
      </c>
      <c r="K214" s="43">
        <v>113</v>
      </c>
      <c r="L214" s="43" t="s">
        <v>65</v>
      </c>
      <c r="N214" s="43">
        <v>113</v>
      </c>
      <c r="O214" s="43" t="s">
        <v>65</v>
      </c>
      <c r="Q214" s="43">
        <v>113</v>
      </c>
      <c r="R214" s="43" t="s">
        <v>123</v>
      </c>
    </row>
    <row r="215" spans="2:18" ht="15" customHeight="1" x14ac:dyDescent="0.2">
      <c r="B215" s="43">
        <v>114</v>
      </c>
      <c r="C215" s="43" t="s">
        <v>65</v>
      </c>
      <c r="E215" s="43">
        <v>114</v>
      </c>
      <c r="F215" s="43" t="s">
        <v>65</v>
      </c>
      <c r="H215" s="43">
        <v>114</v>
      </c>
      <c r="I215" s="43" t="s">
        <v>104</v>
      </c>
      <c r="K215" s="43">
        <v>114</v>
      </c>
      <c r="L215" s="43" t="s">
        <v>65</v>
      </c>
      <c r="N215" s="43">
        <v>114</v>
      </c>
      <c r="O215" s="43" t="s">
        <v>65</v>
      </c>
      <c r="Q215" s="43">
        <v>114</v>
      </c>
      <c r="R215" s="43" t="s">
        <v>123</v>
      </c>
    </row>
    <row r="216" spans="2:18" ht="15" customHeight="1" x14ac:dyDescent="0.2">
      <c r="B216" s="43">
        <v>88</v>
      </c>
      <c r="C216" s="43" t="s">
        <v>65</v>
      </c>
      <c r="E216" s="43">
        <v>88</v>
      </c>
      <c r="F216" s="43" t="s">
        <v>65</v>
      </c>
      <c r="H216" s="43">
        <v>88</v>
      </c>
      <c r="I216" s="43" t="s">
        <v>104</v>
      </c>
      <c r="K216" s="43">
        <v>88</v>
      </c>
      <c r="L216" s="43" t="s">
        <v>65</v>
      </c>
      <c r="N216" s="43">
        <v>88</v>
      </c>
      <c r="O216" s="43" t="s">
        <v>65</v>
      </c>
      <c r="Q216" s="43">
        <v>88</v>
      </c>
      <c r="R216" s="43" t="s">
        <v>123</v>
      </c>
    </row>
    <row r="217" spans="2:18" ht="15" customHeight="1" x14ac:dyDescent="0.2">
      <c r="B217" s="43">
        <v>91</v>
      </c>
      <c r="C217" s="43" t="s">
        <v>65</v>
      </c>
      <c r="E217" s="43">
        <v>91</v>
      </c>
      <c r="F217" s="43" t="s">
        <v>65</v>
      </c>
      <c r="H217" s="43">
        <v>91</v>
      </c>
      <c r="I217" s="43" t="s">
        <v>104</v>
      </c>
      <c r="K217" s="43">
        <v>91</v>
      </c>
      <c r="L217" s="43" t="s">
        <v>65</v>
      </c>
      <c r="N217" s="43">
        <v>91</v>
      </c>
      <c r="O217" s="43" t="s">
        <v>65</v>
      </c>
      <c r="Q217" s="43">
        <v>91</v>
      </c>
      <c r="R217" s="43" t="s">
        <v>123</v>
      </c>
    </row>
    <row r="218" spans="2:18" ht="15" customHeight="1" x14ac:dyDescent="0.2">
      <c r="B218" s="43">
        <v>94</v>
      </c>
      <c r="C218" s="43" t="s">
        <v>65</v>
      </c>
      <c r="E218" s="43">
        <v>94</v>
      </c>
      <c r="F218" s="43" t="s">
        <v>65</v>
      </c>
      <c r="H218" s="43">
        <v>94</v>
      </c>
      <c r="I218" s="43" t="s">
        <v>104</v>
      </c>
      <c r="K218" s="43">
        <v>94</v>
      </c>
      <c r="L218" s="43" t="s">
        <v>65</v>
      </c>
      <c r="N218" s="43">
        <v>94</v>
      </c>
      <c r="O218" s="43" t="s">
        <v>65</v>
      </c>
      <c r="Q218" s="43">
        <v>94</v>
      </c>
      <c r="R218" s="43" t="s">
        <v>123</v>
      </c>
    </row>
    <row r="219" spans="2:18" ht="15" customHeight="1" x14ac:dyDescent="0.2">
      <c r="B219" s="43">
        <v>97</v>
      </c>
      <c r="C219" s="43" t="s">
        <v>65</v>
      </c>
      <c r="E219" s="43">
        <v>97</v>
      </c>
      <c r="F219" s="43" t="s">
        <v>65</v>
      </c>
      <c r="H219" s="43">
        <v>97</v>
      </c>
      <c r="I219" s="43" t="s">
        <v>104</v>
      </c>
      <c r="K219" s="43">
        <v>97</v>
      </c>
      <c r="L219" s="43" t="s">
        <v>65</v>
      </c>
      <c r="N219" s="43">
        <v>97</v>
      </c>
      <c r="O219" s="43" t="s">
        <v>65</v>
      </c>
      <c r="Q219" s="43">
        <v>97</v>
      </c>
      <c r="R219" s="43" t="s">
        <v>123</v>
      </c>
    </row>
    <row r="220" spans="2:18" ht="15" customHeight="1" x14ac:dyDescent="0.2">
      <c r="B220" s="43">
        <v>100</v>
      </c>
      <c r="C220" s="43" t="s">
        <v>65</v>
      </c>
      <c r="E220" s="43">
        <v>100</v>
      </c>
      <c r="F220" s="43" t="s">
        <v>65</v>
      </c>
      <c r="H220" s="43">
        <v>100</v>
      </c>
      <c r="I220" s="43" t="s">
        <v>104</v>
      </c>
      <c r="K220" s="43">
        <v>100</v>
      </c>
      <c r="L220" s="43" t="s">
        <v>65</v>
      </c>
      <c r="N220" s="43">
        <v>100</v>
      </c>
      <c r="O220" s="43" t="s">
        <v>65</v>
      </c>
      <c r="Q220" s="43">
        <v>100</v>
      </c>
      <c r="R220" s="43" t="s">
        <v>123</v>
      </c>
    </row>
    <row r="221" spans="2:18" ht="15" customHeight="1" x14ac:dyDescent="0.2">
      <c r="B221" s="43">
        <v>103</v>
      </c>
      <c r="C221" s="43" t="s">
        <v>65</v>
      </c>
      <c r="E221" s="43">
        <v>103</v>
      </c>
      <c r="F221" s="43" t="s">
        <v>65</v>
      </c>
      <c r="H221" s="43">
        <v>103</v>
      </c>
      <c r="I221" s="43" t="s">
        <v>104</v>
      </c>
      <c r="K221" s="43">
        <v>103</v>
      </c>
      <c r="L221" s="43" t="s">
        <v>65</v>
      </c>
      <c r="N221" s="43">
        <v>103</v>
      </c>
      <c r="O221" s="43" t="s">
        <v>65</v>
      </c>
      <c r="Q221" s="43">
        <v>103</v>
      </c>
      <c r="R221" s="43" t="s">
        <v>123</v>
      </c>
    </row>
    <row r="222" spans="2:18" ht="15" customHeight="1" x14ac:dyDescent="0.2">
      <c r="B222" s="43">
        <v>115</v>
      </c>
      <c r="C222" s="43" t="s">
        <v>65</v>
      </c>
      <c r="E222" s="43">
        <v>115</v>
      </c>
      <c r="F222" s="43" t="s">
        <v>65</v>
      </c>
      <c r="H222" s="43">
        <v>115</v>
      </c>
      <c r="I222" s="43" t="s">
        <v>104</v>
      </c>
      <c r="K222" s="43">
        <v>115</v>
      </c>
      <c r="L222" s="43" t="s">
        <v>65</v>
      </c>
      <c r="N222" s="43">
        <v>115</v>
      </c>
      <c r="O222" s="43" t="s">
        <v>65</v>
      </c>
      <c r="Q222" s="43">
        <v>115</v>
      </c>
      <c r="R222" s="43" t="s">
        <v>123</v>
      </c>
    </row>
    <row r="223" spans="2:18" ht="15" customHeight="1" x14ac:dyDescent="0.2">
      <c r="B223" s="43">
        <v>116</v>
      </c>
      <c r="C223" s="43" t="s">
        <v>65</v>
      </c>
      <c r="E223" s="43">
        <v>116</v>
      </c>
      <c r="F223" s="43" t="s">
        <v>65</v>
      </c>
      <c r="H223" s="43">
        <v>116</v>
      </c>
      <c r="I223" s="43" t="s">
        <v>104</v>
      </c>
      <c r="K223" s="43">
        <v>116</v>
      </c>
      <c r="L223" s="43" t="s">
        <v>65</v>
      </c>
      <c r="N223" s="43">
        <v>116</v>
      </c>
      <c r="O223" s="43" t="s">
        <v>65</v>
      </c>
      <c r="Q223" s="43">
        <v>116</v>
      </c>
      <c r="R223" s="43" t="s">
        <v>123</v>
      </c>
    </row>
    <row r="224" spans="2:18" ht="15" customHeight="1" x14ac:dyDescent="0.2">
      <c r="B224" s="43">
        <v>117</v>
      </c>
      <c r="C224" s="43" t="s">
        <v>65</v>
      </c>
      <c r="E224" s="43">
        <v>117</v>
      </c>
      <c r="F224" s="43" t="s">
        <v>65</v>
      </c>
      <c r="H224" s="43">
        <v>117</v>
      </c>
      <c r="I224" s="43" t="s">
        <v>104</v>
      </c>
      <c r="K224" s="43">
        <v>117</v>
      </c>
      <c r="L224" s="43" t="s">
        <v>65</v>
      </c>
      <c r="N224" s="43">
        <v>117</v>
      </c>
      <c r="O224" s="43" t="s">
        <v>65</v>
      </c>
      <c r="Q224" s="43">
        <v>117</v>
      </c>
      <c r="R224" s="43" t="s">
        <v>123</v>
      </c>
    </row>
    <row r="225" spans="2:18" ht="15" customHeight="1" x14ac:dyDescent="0.2">
      <c r="B225" s="43">
        <v>118</v>
      </c>
      <c r="C225" s="43" t="s">
        <v>65</v>
      </c>
      <c r="E225" s="43">
        <v>118</v>
      </c>
      <c r="F225" s="43" t="s">
        <v>65</v>
      </c>
      <c r="H225" s="43">
        <v>118</v>
      </c>
      <c r="I225" s="43" t="s">
        <v>104</v>
      </c>
      <c r="K225" s="43">
        <v>118</v>
      </c>
      <c r="L225" s="43" t="s">
        <v>65</v>
      </c>
      <c r="N225" s="43">
        <v>118</v>
      </c>
      <c r="O225" s="43" t="s">
        <v>65</v>
      </c>
      <c r="Q225" s="43">
        <v>118</v>
      </c>
      <c r="R225" s="43" t="s">
        <v>123</v>
      </c>
    </row>
    <row r="226" spans="2:18" ht="15" customHeight="1" x14ac:dyDescent="0.2">
      <c r="B226" s="43">
        <v>119</v>
      </c>
      <c r="C226" s="43" t="s">
        <v>65</v>
      </c>
      <c r="E226" s="43">
        <v>119</v>
      </c>
      <c r="F226" s="43" t="s">
        <v>65</v>
      </c>
      <c r="H226" s="43">
        <v>119</v>
      </c>
      <c r="I226" s="43" t="s">
        <v>104</v>
      </c>
      <c r="K226" s="43">
        <v>119</v>
      </c>
      <c r="L226" s="43" t="s">
        <v>65</v>
      </c>
      <c r="N226" s="43">
        <v>119</v>
      </c>
      <c r="O226" s="43" t="s">
        <v>65</v>
      </c>
      <c r="Q226" s="43">
        <v>119</v>
      </c>
      <c r="R226" s="43" t="s">
        <v>123</v>
      </c>
    </row>
    <row r="227" spans="2:18" ht="15" customHeight="1" x14ac:dyDescent="0.2">
      <c r="B227" s="43">
        <v>89</v>
      </c>
      <c r="C227" s="43" t="s">
        <v>65</v>
      </c>
      <c r="E227" s="43">
        <v>89</v>
      </c>
      <c r="F227" s="43" t="s">
        <v>65</v>
      </c>
      <c r="H227" s="43">
        <v>89</v>
      </c>
      <c r="I227" s="43" t="s">
        <v>104</v>
      </c>
      <c r="K227" s="43">
        <v>89</v>
      </c>
      <c r="L227" s="43" t="s">
        <v>65</v>
      </c>
      <c r="N227" s="43">
        <v>89</v>
      </c>
      <c r="O227" s="43" t="s">
        <v>65</v>
      </c>
      <c r="Q227" s="43">
        <v>89</v>
      </c>
      <c r="R227" s="43" t="s">
        <v>123</v>
      </c>
    </row>
    <row r="228" spans="2:18" ht="15" customHeight="1" x14ac:dyDescent="0.2">
      <c r="B228" s="43">
        <v>92</v>
      </c>
      <c r="C228" s="43" t="s">
        <v>65</v>
      </c>
      <c r="E228" s="43">
        <v>92</v>
      </c>
      <c r="F228" s="43" t="s">
        <v>65</v>
      </c>
      <c r="H228" s="43">
        <v>92</v>
      </c>
      <c r="I228" s="43" t="s">
        <v>104</v>
      </c>
      <c r="K228" s="43">
        <v>92</v>
      </c>
      <c r="L228" s="43" t="s">
        <v>65</v>
      </c>
      <c r="N228" s="43">
        <v>92</v>
      </c>
      <c r="O228" s="43" t="s">
        <v>65</v>
      </c>
      <c r="Q228" s="43">
        <v>92</v>
      </c>
      <c r="R228" s="43" t="s">
        <v>123</v>
      </c>
    </row>
    <row r="229" spans="2:18" ht="15" customHeight="1" x14ac:dyDescent="0.2">
      <c r="B229" s="43">
        <v>95</v>
      </c>
      <c r="C229" s="43" t="s">
        <v>65</v>
      </c>
      <c r="E229" s="43">
        <v>95</v>
      </c>
      <c r="F229" s="43" t="s">
        <v>65</v>
      </c>
      <c r="H229" s="43">
        <v>95</v>
      </c>
      <c r="I229" s="43" t="s">
        <v>104</v>
      </c>
      <c r="K229" s="43">
        <v>95</v>
      </c>
      <c r="L229" s="43" t="s">
        <v>65</v>
      </c>
      <c r="N229" s="43">
        <v>95</v>
      </c>
      <c r="O229" s="43" t="s">
        <v>65</v>
      </c>
      <c r="Q229" s="43">
        <v>95</v>
      </c>
      <c r="R229" s="43" t="s">
        <v>123</v>
      </c>
    </row>
    <row r="230" spans="2:18" ht="15" customHeight="1" x14ac:dyDescent="0.2">
      <c r="B230" s="43">
        <v>98</v>
      </c>
      <c r="C230" s="43" t="s">
        <v>65</v>
      </c>
      <c r="E230" s="43">
        <v>98</v>
      </c>
      <c r="F230" s="43" t="s">
        <v>65</v>
      </c>
      <c r="H230" s="43">
        <v>98</v>
      </c>
      <c r="I230" s="43" t="s">
        <v>104</v>
      </c>
      <c r="K230" s="43">
        <v>98</v>
      </c>
      <c r="L230" s="43" t="s">
        <v>65</v>
      </c>
      <c r="N230" s="43">
        <v>98</v>
      </c>
      <c r="O230" s="43" t="s">
        <v>65</v>
      </c>
      <c r="Q230" s="43">
        <v>98</v>
      </c>
      <c r="R230" s="43" t="s">
        <v>123</v>
      </c>
    </row>
    <row r="231" spans="2:18" ht="15" customHeight="1" x14ac:dyDescent="0.2">
      <c r="B231" s="43">
        <v>101</v>
      </c>
      <c r="C231" s="43" t="s">
        <v>65</v>
      </c>
      <c r="E231" s="43">
        <v>101</v>
      </c>
      <c r="F231" s="43" t="s">
        <v>65</v>
      </c>
      <c r="H231" s="43">
        <v>101</v>
      </c>
      <c r="I231" s="43" t="s">
        <v>104</v>
      </c>
      <c r="K231" s="43">
        <v>101</v>
      </c>
      <c r="L231" s="43" t="s">
        <v>65</v>
      </c>
      <c r="N231" s="43">
        <v>101</v>
      </c>
      <c r="O231" s="43" t="s">
        <v>65</v>
      </c>
      <c r="Q231" s="43">
        <v>101</v>
      </c>
      <c r="R231" s="43" t="s">
        <v>123</v>
      </c>
    </row>
    <row r="232" spans="2:18" ht="15" customHeight="1" x14ac:dyDescent="0.2">
      <c r="B232" s="43">
        <v>104</v>
      </c>
      <c r="C232" s="43" t="s">
        <v>65</v>
      </c>
      <c r="E232" s="43">
        <v>104</v>
      </c>
      <c r="F232" s="43" t="s">
        <v>65</v>
      </c>
      <c r="H232" s="43">
        <v>104</v>
      </c>
      <c r="I232" s="43" t="s">
        <v>104</v>
      </c>
      <c r="K232" s="43">
        <v>104</v>
      </c>
      <c r="L232" s="43" t="s">
        <v>65</v>
      </c>
      <c r="N232" s="43">
        <v>104</v>
      </c>
      <c r="O232" s="43" t="s">
        <v>65</v>
      </c>
      <c r="Q232" s="43">
        <v>104</v>
      </c>
      <c r="R232" s="43" t="s">
        <v>123</v>
      </c>
    </row>
    <row r="233" spans="2:18" ht="15" customHeight="1" x14ac:dyDescent="0.2">
      <c r="B233" s="43">
        <v>120</v>
      </c>
      <c r="C233" s="43" t="s">
        <v>65</v>
      </c>
      <c r="E233" s="43">
        <v>120</v>
      </c>
      <c r="F233" s="43" t="s">
        <v>65</v>
      </c>
      <c r="H233" s="43">
        <v>120</v>
      </c>
      <c r="I233" s="43" t="s">
        <v>104</v>
      </c>
      <c r="K233" s="43">
        <v>120</v>
      </c>
      <c r="L233" s="43" t="s">
        <v>65</v>
      </c>
      <c r="N233" s="43">
        <v>120</v>
      </c>
      <c r="O233" s="43" t="s">
        <v>65</v>
      </c>
      <c r="Q233" s="43">
        <v>120</v>
      </c>
      <c r="R233" s="43" t="s">
        <v>123</v>
      </c>
    </row>
    <row r="234" spans="2:18" ht="15" customHeight="1" x14ac:dyDescent="0.2">
      <c r="B234" s="43">
        <v>121</v>
      </c>
      <c r="C234" s="43" t="s">
        <v>65</v>
      </c>
      <c r="E234" s="43">
        <v>121</v>
      </c>
      <c r="F234" s="43" t="s">
        <v>65</v>
      </c>
      <c r="H234" s="43">
        <v>121</v>
      </c>
      <c r="I234" s="43" t="s">
        <v>104</v>
      </c>
      <c r="K234" s="43">
        <v>121</v>
      </c>
      <c r="L234" s="43" t="s">
        <v>65</v>
      </c>
      <c r="N234" s="43">
        <v>121</v>
      </c>
      <c r="O234" s="43" t="s">
        <v>65</v>
      </c>
      <c r="Q234" s="43">
        <v>121</v>
      </c>
      <c r="R234" s="43" t="s">
        <v>123</v>
      </c>
    </row>
    <row r="235" spans="2:18" ht="15" customHeight="1" x14ac:dyDescent="0.2">
      <c r="B235" s="43">
        <v>122</v>
      </c>
      <c r="C235" s="43" t="s">
        <v>65</v>
      </c>
      <c r="E235" s="43">
        <v>122</v>
      </c>
      <c r="F235" s="43" t="s">
        <v>65</v>
      </c>
      <c r="H235" s="43">
        <v>122</v>
      </c>
      <c r="I235" s="43" t="s">
        <v>104</v>
      </c>
      <c r="K235" s="43">
        <v>122</v>
      </c>
      <c r="L235" s="43" t="s">
        <v>65</v>
      </c>
      <c r="N235" s="43">
        <v>122</v>
      </c>
      <c r="O235" s="43" t="s">
        <v>65</v>
      </c>
      <c r="Q235" s="43">
        <v>122</v>
      </c>
      <c r="R235" s="43" t="s">
        <v>123</v>
      </c>
    </row>
    <row r="236" spans="2:18" ht="15" customHeight="1" x14ac:dyDescent="0.2">
      <c r="B236" s="43">
        <v>123</v>
      </c>
      <c r="C236" s="43" t="s">
        <v>65</v>
      </c>
      <c r="E236" s="43">
        <v>123</v>
      </c>
      <c r="F236" s="43" t="s">
        <v>65</v>
      </c>
      <c r="H236" s="43">
        <v>123</v>
      </c>
      <c r="I236" s="43" t="s">
        <v>104</v>
      </c>
      <c r="K236" s="43">
        <v>123</v>
      </c>
      <c r="L236" s="43" t="s">
        <v>65</v>
      </c>
      <c r="N236" s="43">
        <v>123</v>
      </c>
      <c r="O236" s="43" t="s">
        <v>65</v>
      </c>
      <c r="Q236" s="43">
        <v>123</v>
      </c>
      <c r="R236" s="43" t="s">
        <v>123</v>
      </c>
    </row>
    <row r="237" spans="2:18" ht="15" customHeight="1" x14ac:dyDescent="0.2">
      <c r="B237" s="43">
        <v>124</v>
      </c>
      <c r="C237" s="43" t="s">
        <v>65</v>
      </c>
      <c r="E237" s="43">
        <v>124</v>
      </c>
      <c r="F237" s="43" t="s">
        <v>65</v>
      </c>
      <c r="H237" s="43">
        <v>124</v>
      </c>
      <c r="I237" s="43" t="s">
        <v>104</v>
      </c>
      <c r="K237" s="43">
        <v>124</v>
      </c>
      <c r="L237" s="43" t="s">
        <v>65</v>
      </c>
      <c r="N237" s="43">
        <v>124</v>
      </c>
      <c r="O237" s="43" t="s">
        <v>65</v>
      </c>
      <c r="Q237" s="43">
        <v>124</v>
      </c>
      <c r="R237" s="43" t="s">
        <v>123</v>
      </c>
    </row>
    <row r="238" spans="2:18" ht="15" customHeight="1" x14ac:dyDescent="0.2">
      <c r="B238" s="43">
        <v>167</v>
      </c>
      <c r="C238" s="43" t="s">
        <v>65</v>
      </c>
      <c r="E238" s="43">
        <v>167</v>
      </c>
      <c r="F238" s="43" t="s">
        <v>65</v>
      </c>
      <c r="H238" s="43">
        <v>167</v>
      </c>
      <c r="I238" s="43" t="s">
        <v>104</v>
      </c>
      <c r="K238" s="43">
        <v>167</v>
      </c>
      <c r="L238" s="43" t="s">
        <v>65</v>
      </c>
      <c r="N238" s="43">
        <v>167</v>
      </c>
      <c r="O238" s="43" t="s">
        <v>65</v>
      </c>
      <c r="Q238" s="43">
        <v>167</v>
      </c>
      <c r="R238" s="43" t="s">
        <v>123</v>
      </c>
    </row>
    <row r="239" spans="2:18" ht="15" customHeight="1" x14ac:dyDescent="0.2">
      <c r="B239" s="43">
        <v>168</v>
      </c>
      <c r="C239" s="43" t="s">
        <v>65</v>
      </c>
      <c r="E239" s="43">
        <v>168</v>
      </c>
      <c r="F239" s="43" t="s">
        <v>65</v>
      </c>
      <c r="H239" s="43">
        <v>168</v>
      </c>
      <c r="I239" s="43" t="s">
        <v>104</v>
      </c>
      <c r="K239" s="43">
        <v>168</v>
      </c>
      <c r="L239" s="43" t="s">
        <v>65</v>
      </c>
      <c r="N239" s="43">
        <v>168</v>
      </c>
      <c r="O239" s="43" t="s">
        <v>65</v>
      </c>
      <c r="Q239" s="43">
        <v>168</v>
      </c>
      <c r="R239" s="43" t="s">
        <v>123</v>
      </c>
    </row>
    <row r="240" spans="2:18" ht="15" customHeight="1" x14ac:dyDescent="0.2">
      <c r="B240" s="43">
        <v>169</v>
      </c>
      <c r="C240" s="43" t="s">
        <v>65</v>
      </c>
      <c r="E240" s="43">
        <v>169</v>
      </c>
      <c r="F240" s="43" t="s">
        <v>65</v>
      </c>
      <c r="H240" s="43">
        <v>169</v>
      </c>
      <c r="I240" s="43" t="s">
        <v>104</v>
      </c>
      <c r="K240" s="43">
        <v>169</v>
      </c>
      <c r="L240" s="43" t="s">
        <v>65</v>
      </c>
      <c r="N240" s="43">
        <v>169</v>
      </c>
      <c r="O240" s="43" t="s">
        <v>65</v>
      </c>
      <c r="Q240" s="43">
        <v>169</v>
      </c>
      <c r="R240" s="43" t="s">
        <v>123</v>
      </c>
    </row>
    <row r="241" spans="2:18" ht="15" customHeight="1" x14ac:dyDescent="0.2">
      <c r="B241" s="43">
        <v>170</v>
      </c>
      <c r="C241" s="43" t="s">
        <v>65</v>
      </c>
      <c r="E241" s="43">
        <v>170</v>
      </c>
      <c r="F241" s="43" t="s">
        <v>65</v>
      </c>
      <c r="H241" s="43">
        <v>170</v>
      </c>
      <c r="I241" s="43" t="s">
        <v>104</v>
      </c>
      <c r="K241" s="43">
        <v>170</v>
      </c>
      <c r="L241" s="43" t="s">
        <v>65</v>
      </c>
      <c r="N241" s="43">
        <v>170</v>
      </c>
      <c r="O241" s="43" t="s">
        <v>65</v>
      </c>
      <c r="Q241" s="43">
        <v>170</v>
      </c>
      <c r="R241" s="43" t="s">
        <v>123</v>
      </c>
    </row>
    <row r="242" spans="2:18" ht="15" customHeight="1" x14ac:dyDescent="0.2">
      <c r="B242" s="43">
        <v>171</v>
      </c>
      <c r="C242" s="43" t="s">
        <v>65</v>
      </c>
      <c r="E242" s="43">
        <v>171</v>
      </c>
      <c r="F242" s="43" t="s">
        <v>65</v>
      </c>
      <c r="H242" s="43">
        <v>171</v>
      </c>
      <c r="I242" s="43" t="s">
        <v>104</v>
      </c>
      <c r="K242" s="43">
        <v>171</v>
      </c>
      <c r="L242" s="43" t="s">
        <v>65</v>
      </c>
      <c r="N242" s="43">
        <v>171</v>
      </c>
      <c r="O242" s="43" t="s">
        <v>65</v>
      </c>
      <c r="Q242" s="43">
        <v>171</v>
      </c>
      <c r="R242" s="43" t="s">
        <v>123</v>
      </c>
    </row>
    <row r="243" spans="2:18" ht="15" customHeight="1" x14ac:dyDescent="0.2">
      <c r="B243" s="43">
        <v>149</v>
      </c>
      <c r="C243" s="43" t="s">
        <v>65</v>
      </c>
      <c r="E243" s="43">
        <v>149</v>
      </c>
      <c r="F243" s="43" t="s">
        <v>65</v>
      </c>
      <c r="H243" s="43">
        <v>149</v>
      </c>
      <c r="I243" s="43" t="s">
        <v>104</v>
      </c>
      <c r="K243" s="43">
        <v>149</v>
      </c>
      <c r="L243" s="43" t="s">
        <v>65</v>
      </c>
      <c r="N243" s="43">
        <v>149</v>
      </c>
      <c r="O243" s="43" t="s">
        <v>65</v>
      </c>
      <c r="Q243" s="43">
        <v>149</v>
      </c>
      <c r="R243" s="43" t="s">
        <v>123</v>
      </c>
    </row>
    <row r="244" spans="2:18" ht="15" customHeight="1" x14ac:dyDescent="0.2">
      <c r="B244" s="43">
        <v>152</v>
      </c>
      <c r="C244" s="43" t="s">
        <v>65</v>
      </c>
      <c r="E244" s="43">
        <v>152</v>
      </c>
      <c r="F244" s="43" t="s">
        <v>65</v>
      </c>
      <c r="H244" s="43">
        <v>152</v>
      </c>
      <c r="I244" s="43" t="s">
        <v>104</v>
      </c>
      <c r="K244" s="43">
        <v>152</v>
      </c>
      <c r="L244" s="43" t="s">
        <v>65</v>
      </c>
      <c r="N244" s="43">
        <v>152</v>
      </c>
      <c r="O244" s="43" t="s">
        <v>65</v>
      </c>
      <c r="Q244" s="43">
        <v>152</v>
      </c>
      <c r="R244" s="43" t="s">
        <v>123</v>
      </c>
    </row>
    <row r="245" spans="2:18" ht="15" customHeight="1" x14ac:dyDescent="0.2">
      <c r="B245" s="43">
        <v>155</v>
      </c>
      <c r="C245" s="43" t="s">
        <v>65</v>
      </c>
      <c r="E245" s="43">
        <v>155</v>
      </c>
      <c r="F245" s="43" t="s">
        <v>65</v>
      </c>
      <c r="H245" s="43">
        <v>155</v>
      </c>
      <c r="I245" s="43" t="s">
        <v>104</v>
      </c>
      <c r="K245" s="43">
        <v>155</v>
      </c>
      <c r="L245" s="43" t="s">
        <v>65</v>
      </c>
      <c r="N245" s="43">
        <v>155</v>
      </c>
      <c r="O245" s="43" t="s">
        <v>65</v>
      </c>
      <c r="Q245" s="43">
        <v>155</v>
      </c>
      <c r="R245" s="43" t="s">
        <v>123</v>
      </c>
    </row>
    <row r="246" spans="2:18" ht="15" customHeight="1" x14ac:dyDescent="0.2">
      <c r="B246" s="43">
        <v>158</v>
      </c>
      <c r="C246" s="43" t="s">
        <v>65</v>
      </c>
      <c r="E246" s="43">
        <v>158</v>
      </c>
      <c r="F246" s="43" t="s">
        <v>65</v>
      </c>
      <c r="H246" s="43">
        <v>158</v>
      </c>
      <c r="I246" s="43" t="s">
        <v>104</v>
      </c>
      <c r="K246" s="43">
        <v>158</v>
      </c>
      <c r="L246" s="43" t="s">
        <v>65</v>
      </c>
      <c r="N246" s="43">
        <v>158</v>
      </c>
      <c r="O246" s="43" t="s">
        <v>65</v>
      </c>
      <c r="Q246" s="43">
        <v>158</v>
      </c>
      <c r="R246" s="43" t="s">
        <v>123</v>
      </c>
    </row>
    <row r="247" spans="2:18" ht="15" customHeight="1" x14ac:dyDescent="0.2">
      <c r="B247" s="43">
        <v>161</v>
      </c>
      <c r="C247" s="43" t="s">
        <v>65</v>
      </c>
      <c r="E247" s="43">
        <v>161</v>
      </c>
      <c r="F247" s="43" t="s">
        <v>65</v>
      </c>
      <c r="H247" s="43">
        <v>161</v>
      </c>
      <c r="I247" s="43" t="s">
        <v>104</v>
      </c>
      <c r="K247" s="43">
        <v>161</v>
      </c>
      <c r="L247" s="43" t="s">
        <v>65</v>
      </c>
      <c r="N247" s="43">
        <v>161</v>
      </c>
      <c r="O247" s="43" t="s">
        <v>65</v>
      </c>
      <c r="Q247" s="43">
        <v>161</v>
      </c>
      <c r="R247" s="43" t="s">
        <v>123</v>
      </c>
    </row>
    <row r="248" spans="2:18" ht="15" customHeight="1" x14ac:dyDescent="0.2">
      <c r="B248" s="43">
        <v>164</v>
      </c>
      <c r="C248" s="43" t="s">
        <v>65</v>
      </c>
      <c r="E248" s="43">
        <v>164</v>
      </c>
      <c r="F248" s="43" t="s">
        <v>65</v>
      </c>
      <c r="H248" s="43">
        <v>164</v>
      </c>
      <c r="I248" s="43" t="s">
        <v>104</v>
      </c>
      <c r="K248" s="43">
        <v>164</v>
      </c>
      <c r="L248" s="43" t="s">
        <v>65</v>
      </c>
      <c r="N248" s="43">
        <v>164</v>
      </c>
      <c r="O248" s="43" t="s">
        <v>65</v>
      </c>
      <c r="Q248" s="43">
        <v>164</v>
      </c>
      <c r="R248" s="43" t="s">
        <v>123</v>
      </c>
    </row>
    <row r="249" spans="2:18" ht="15" customHeight="1" x14ac:dyDescent="0.2">
      <c r="B249" s="43">
        <v>172</v>
      </c>
      <c r="C249" s="43" t="s">
        <v>65</v>
      </c>
      <c r="E249" s="43">
        <v>172</v>
      </c>
      <c r="F249" s="43" t="s">
        <v>65</v>
      </c>
      <c r="H249" s="43">
        <v>172</v>
      </c>
      <c r="I249" s="43" t="s">
        <v>104</v>
      </c>
      <c r="K249" s="43">
        <v>172</v>
      </c>
      <c r="L249" s="43" t="s">
        <v>65</v>
      </c>
      <c r="N249" s="43">
        <v>172</v>
      </c>
      <c r="O249" s="43" t="s">
        <v>65</v>
      </c>
      <c r="Q249" s="43">
        <v>172</v>
      </c>
      <c r="R249" s="43" t="s">
        <v>123</v>
      </c>
    </row>
    <row r="250" spans="2:18" ht="15" customHeight="1" x14ac:dyDescent="0.2">
      <c r="B250" s="43">
        <v>173</v>
      </c>
      <c r="C250" s="43" t="s">
        <v>65</v>
      </c>
      <c r="E250" s="43">
        <v>173</v>
      </c>
      <c r="F250" s="43" t="s">
        <v>65</v>
      </c>
      <c r="H250" s="43">
        <v>173</v>
      </c>
      <c r="I250" s="43" t="s">
        <v>104</v>
      </c>
      <c r="K250" s="43">
        <v>173</v>
      </c>
      <c r="L250" s="43" t="s">
        <v>65</v>
      </c>
      <c r="N250" s="43">
        <v>173</v>
      </c>
      <c r="O250" s="43" t="s">
        <v>65</v>
      </c>
      <c r="Q250" s="43">
        <v>173</v>
      </c>
      <c r="R250" s="43" t="s">
        <v>123</v>
      </c>
    </row>
    <row r="251" spans="2:18" ht="15" customHeight="1" x14ac:dyDescent="0.2">
      <c r="B251" s="43">
        <v>174</v>
      </c>
      <c r="C251" s="43" t="s">
        <v>65</v>
      </c>
      <c r="E251" s="43">
        <v>174</v>
      </c>
      <c r="F251" s="43" t="s">
        <v>65</v>
      </c>
      <c r="H251" s="43">
        <v>174</v>
      </c>
      <c r="I251" s="43" t="s">
        <v>104</v>
      </c>
      <c r="K251" s="43">
        <v>174</v>
      </c>
      <c r="L251" s="43" t="s">
        <v>65</v>
      </c>
      <c r="N251" s="43">
        <v>174</v>
      </c>
      <c r="O251" s="43" t="s">
        <v>65</v>
      </c>
      <c r="Q251" s="43">
        <v>174</v>
      </c>
      <c r="R251" s="43" t="s">
        <v>123</v>
      </c>
    </row>
    <row r="252" spans="2:18" ht="15" customHeight="1" x14ac:dyDescent="0.2">
      <c r="B252" s="43">
        <v>175</v>
      </c>
      <c r="C252" s="43" t="s">
        <v>65</v>
      </c>
      <c r="E252" s="43">
        <v>175</v>
      </c>
      <c r="F252" s="43" t="s">
        <v>65</v>
      </c>
      <c r="H252" s="43">
        <v>175</v>
      </c>
      <c r="I252" s="43" t="s">
        <v>104</v>
      </c>
      <c r="K252" s="43">
        <v>175</v>
      </c>
      <c r="L252" s="43" t="s">
        <v>65</v>
      </c>
      <c r="N252" s="43">
        <v>175</v>
      </c>
      <c r="O252" s="43" t="s">
        <v>65</v>
      </c>
      <c r="Q252" s="43">
        <v>175</v>
      </c>
      <c r="R252" s="43" t="s">
        <v>123</v>
      </c>
    </row>
    <row r="253" spans="2:18" ht="15" customHeight="1" x14ac:dyDescent="0.2">
      <c r="B253" s="43">
        <v>176</v>
      </c>
      <c r="C253" s="43" t="s">
        <v>65</v>
      </c>
      <c r="E253" s="43">
        <v>176</v>
      </c>
      <c r="F253" s="43" t="s">
        <v>65</v>
      </c>
      <c r="H253" s="43">
        <v>176</v>
      </c>
      <c r="I253" s="43" t="s">
        <v>104</v>
      </c>
      <c r="K253" s="43">
        <v>176</v>
      </c>
      <c r="L253" s="43" t="s">
        <v>65</v>
      </c>
      <c r="N253" s="43">
        <v>176</v>
      </c>
      <c r="O253" s="43" t="s">
        <v>65</v>
      </c>
      <c r="Q253" s="43">
        <v>176</v>
      </c>
      <c r="R253" s="43" t="s">
        <v>123</v>
      </c>
    </row>
    <row r="254" spans="2:18" ht="15" customHeight="1" x14ac:dyDescent="0.2">
      <c r="B254" s="43">
        <v>150</v>
      </c>
      <c r="C254" s="43" t="s">
        <v>65</v>
      </c>
      <c r="E254" s="43">
        <v>150</v>
      </c>
      <c r="F254" s="43" t="s">
        <v>65</v>
      </c>
      <c r="H254" s="43">
        <v>150</v>
      </c>
      <c r="I254" s="43" t="s">
        <v>104</v>
      </c>
      <c r="K254" s="43">
        <v>150</v>
      </c>
      <c r="L254" s="43" t="s">
        <v>65</v>
      </c>
      <c r="N254" s="43">
        <v>150</v>
      </c>
      <c r="O254" s="43" t="s">
        <v>65</v>
      </c>
      <c r="Q254" s="43">
        <v>150</v>
      </c>
      <c r="R254" s="43" t="s">
        <v>123</v>
      </c>
    </row>
    <row r="255" spans="2:18" ht="15" customHeight="1" x14ac:dyDescent="0.2">
      <c r="B255" s="43">
        <v>153</v>
      </c>
      <c r="C255" s="43" t="s">
        <v>65</v>
      </c>
      <c r="E255" s="43">
        <v>153</v>
      </c>
      <c r="F255" s="43" t="s">
        <v>65</v>
      </c>
      <c r="H255" s="43">
        <v>153</v>
      </c>
      <c r="I255" s="43" t="s">
        <v>104</v>
      </c>
      <c r="K255" s="43">
        <v>153</v>
      </c>
      <c r="L255" s="43" t="s">
        <v>65</v>
      </c>
      <c r="N255" s="43">
        <v>153</v>
      </c>
      <c r="O255" s="43" t="s">
        <v>65</v>
      </c>
      <c r="Q255" s="43">
        <v>153</v>
      </c>
      <c r="R255" s="43" t="s">
        <v>123</v>
      </c>
    </row>
    <row r="256" spans="2:18" ht="15" customHeight="1" x14ac:dyDescent="0.2">
      <c r="B256" s="43">
        <v>156</v>
      </c>
      <c r="C256" s="43" t="s">
        <v>65</v>
      </c>
      <c r="E256" s="43">
        <v>156</v>
      </c>
      <c r="F256" s="43" t="s">
        <v>65</v>
      </c>
      <c r="H256" s="43">
        <v>156</v>
      </c>
      <c r="I256" s="43" t="s">
        <v>104</v>
      </c>
      <c r="K256" s="43">
        <v>156</v>
      </c>
      <c r="L256" s="43" t="s">
        <v>65</v>
      </c>
      <c r="N256" s="43">
        <v>156</v>
      </c>
      <c r="O256" s="43" t="s">
        <v>65</v>
      </c>
      <c r="Q256" s="43">
        <v>156</v>
      </c>
      <c r="R256" s="43" t="s">
        <v>123</v>
      </c>
    </row>
    <row r="257" spans="2:18" ht="15" customHeight="1" x14ac:dyDescent="0.2">
      <c r="B257" s="43">
        <v>159</v>
      </c>
      <c r="C257" s="43" t="s">
        <v>65</v>
      </c>
      <c r="E257" s="43">
        <v>159</v>
      </c>
      <c r="F257" s="43" t="s">
        <v>65</v>
      </c>
      <c r="H257" s="43">
        <v>159</v>
      </c>
      <c r="I257" s="43" t="s">
        <v>104</v>
      </c>
      <c r="K257" s="43">
        <v>159</v>
      </c>
      <c r="L257" s="43" t="s">
        <v>65</v>
      </c>
      <c r="N257" s="43">
        <v>159</v>
      </c>
      <c r="O257" s="43" t="s">
        <v>65</v>
      </c>
      <c r="Q257" s="43">
        <v>159</v>
      </c>
      <c r="R257" s="43" t="s">
        <v>123</v>
      </c>
    </row>
    <row r="258" spans="2:18" ht="15" customHeight="1" x14ac:dyDescent="0.2">
      <c r="B258" s="43">
        <v>162</v>
      </c>
      <c r="C258" s="43" t="s">
        <v>65</v>
      </c>
      <c r="E258" s="43">
        <v>162</v>
      </c>
      <c r="F258" s="43" t="s">
        <v>65</v>
      </c>
      <c r="H258" s="43">
        <v>162</v>
      </c>
      <c r="I258" s="43" t="s">
        <v>104</v>
      </c>
      <c r="K258" s="43">
        <v>162</v>
      </c>
      <c r="L258" s="43" t="s">
        <v>65</v>
      </c>
      <c r="N258" s="43">
        <v>162</v>
      </c>
      <c r="O258" s="43" t="s">
        <v>65</v>
      </c>
      <c r="Q258" s="43">
        <v>162</v>
      </c>
      <c r="R258" s="43" t="s">
        <v>123</v>
      </c>
    </row>
    <row r="259" spans="2:18" ht="15" customHeight="1" x14ac:dyDescent="0.2">
      <c r="B259" s="43">
        <v>165</v>
      </c>
      <c r="C259" s="43" t="s">
        <v>65</v>
      </c>
      <c r="E259" s="43">
        <v>165</v>
      </c>
      <c r="F259" s="43" t="s">
        <v>65</v>
      </c>
      <c r="H259" s="43">
        <v>165</v>
      </c>
      <c r="I259" s="43" t="s">
        <v>104</v>
      </c>
      <c r="K259" s="43">
        <v>165</v>
      </c>
      <c r="L259" s="43" t="s">
        <v>65</v>
      </c>
      <c r="N259" s="43">
        <v>165</v>
      </c>
      <c r="O259" s="43" t="s">
        <v>65</v>
      </c>
      <c r="Q259" s="43">
        <v>165</v>
      </c>
      <c r="R259" s="43" t="s">
        <v>123</v>
      </c>
    </row>
    <row r="260" spans="2:18" ht="15" customHeight="1" x14ac:dyDescent="0.2">
      <c r="B260" s="43">
        <v>177</v>
      </c>
      <c r="C260" s="43" t="s">
        <v>65</v>
      </c>
      <c r="E260" s="43">
        <v>177</v>
      </c>
      <c r="F260" s="43" t="s">
        <v>65</v>
      </c>
      <c r="H260" s="43">
        <v>177</v>
      </c>
      <c r="I260" s="43" t="s">
        <v>104</v>
      </c>
      <c r="K260" s="43">
        <v>177</v>
      </c>
      <c r="L260" s="43" t="s">
        <v>65</v>
      </c>
      <c r="N260" s="43">
        <v>177</v>
      </c>
      <c r="O260" s="43" t="s">
        <v>65</v>
      </c>
      <c r="Q260" s="43">
        <v>177</v>
      </c>
      <c r="R260" s="43" t="s">
        <v>123</v>
      </c>
    </row>
    <row r="261" spans="2:18" ht="15" customHeight="1" x14ac:dyDescent="0.2">
      <c r="B261" s="43">
        <v>178</v>
      </c>
      <c r="C261" s="43" t="s">
        <v>65</v>
      </c>
      <c r="E261" s="43">
        <v>178</v>
      </c>
      <c r="F261" s="43" t="s">
        <v>65</v>
      </c>
      <c r="H261" s="43">
        <v>178</v>
      </c>
      <c r="I261" s="43" t="s">
        <v>104</v>
      </c>
      <c r="K261" s="43">
        <v>178</v>
      </c>
      <c r="L261" s="43" t="s">
        <v>65</v>
      </c>
      <c r="N261" s="43">
        <v>178</v>
      </c>
      <c r="O261" s="43" t="s">
        <v>65</v>
      </c>
      <c r="Q261" s="43">
        <v>178</v>
      </c>
      <c r="R261" s="43" t="s">
        <v>123</v>
      </c>
    </row>
    <row r="262" spans="2:18" ht="15" customHeight="1" x14ac:dyDescent="0.2">
      <c r="B262" s="43">
        <v>179</v>
      </c>
      <c r="C262" s="43" t="s">
        <v>65</v>
      </c>
      <c r="E262" s="43">
        <v>179</v>
      </c>
      <c r="F262" s="43" t="s">
        <v>65</v>
      </c>
      <c r="H262" s="43">
        <v>179</v>
      </c>
      <c r="I262" s="43" t="s">
        <v>104</v>
      </c>
      <c r="K262" s="43">
        <v>179</v>
      </c>
      <c r="L262" s="43" t="s">
        <v>65</v>
      </c>
      <c r="N262" s="43">
        <v>179</v>
      </c>
      <c r="O262" s="43" t="s">
        <v>65</v>
      </c>
      <c r="Q262" s="43">
        <v>179</v>
      </c>
      <c r="R262" s="43" t="s">
        <v>123</v>
      </c>
    </row>
    <row r="263" spans="2:18" ht="15" customHeight="1" x14ac:dyDescent="0.2">
      <c r="B263" s="43">
        <v>180</v>
      </c>
      <c r="C263" s="43" t="s">
        <v>65</v>
      </c>
      <c r="E263" s="43">
        <v>180</v>
      </c>
      <c r="F263" s="43" t="s">
        <v>65</v>
      </c>
      <c r="H263" s="43">
        <v>180</v>
      </c>
      <c r="I263" s="43" t="s">
        <v>104</v>
      </c>
      <c r="K263" s="43">
        <v>180</v>
      </c>
      <c r="L263" s="43" t="s">
        <v>65</v>
      </c>
      <c r="N263" s="43">
        <v>180</v>
      </c>
      <c r="O263" s="43" t="s">
        <v>65</v>
      </c>
      <c r="Q263" s="43">
        <v>180</v>
      </c>
      <c r="R263" s="43" t="s">
        <v>123</v>
      </c>
    </row>
    <row r="264" spans="2:18" ht="15" customHeight="1" x14ac:dyDescent="0.2">
      <c r="B264" s="43">
        <v>181</v>
      </c>
      <c r="C264" s="43" t="s">
        <v>65</v>
      </c>
      <c r="E264" s="43">
        <v>181</v>
      </c>
      <c r="F264" s="43" t="s">
        <v>65</v>
      </c>
      <c r="H264" s="43">
        <v>181</v>
      </c>
      <c r="I264" s="43" t="s">
        <v>104</v>
      </c>
      <c r="K264" s="43">
        <v>181</v>
      </c>
      <c r="L264" s="43" t="s">
        <v>65</v>
      </c>
      <c r="N264" s="43">
        <v>181</v>
      </c>
      <c r="O264" s="43" t="s">
        <v>65</v>
      </c>
      <c r="Q264" s="43">
        <v>181</v>
      </c>
      <c r="R264" s="43" t="s">
        <v>123</v>
      </c>
    </row>
    <row r="265" spans="2:18" ht="15" customHeight="1" x14ac:dyDescent="0.2">
      <c r="B265" s="43">
        <v>151</v>
      </c>
      <c r="C265" s="43" t="s">
        <v>65</v>
      </c>
      <c r="E265" s="43">
        <v>151</v>
      </c>
      <c r="F265" s="43" t="s">
        <v>65</v>
      </c>
      <c r="H265" s="43">
        <v>151</v>
      </c>
      <c r="I265" s="43" t="s">
        <v>104</v>
      </c>
      <c r="K265" s="43">
        <v>151</v>
      </c>
      <c r="L265" s="43" t="s">
        <v>65</v>
      </c>
      <c r="N265" s="43">
        <v>151</v>
      </c>
      <c r="O265" s="43" t="s">
        <v>65</v>
      </c>
      <c r="Q265" s="43">
        <v>151</v>
      </c>
      <c r="R265" s="43" t="s">
        <v>123</v>
      </c>
    </row>
    <row r="266" spans="2:18" ht="15" customHeight="1" x14ac:dyDescent="0.2">
      <c r="B266" s="43">
        <v>154</v>
      </c>
      <c r="C266" s="43" t="s">
        <v>65</v>
      </c>
      <c r="E266" s="43">
        <v>154</v>
      </c>
      <c r="F266" s="43" t="s">
        <v>65</v>
      </c>
      <c r="H266" s="43">
        <v>154</v>
      </c>
      <c r="I266" s="43" t="s">
        <v>104</v>
      </c>
      <c r="K266" s="43">
        <v>154</v>
      </c>
      <c r="L266" s="43" t="s">
        <v>65</v>
      </c>
      <c r="N266" s="43">
        <v>154</v>
      </c>
      <c r="O266" s="43" t="s">
        <v>65</v>
      </c>
      <c r="Q266" s="43">
        <v>154</v>
      </c>
      <c r="R266" s="43" t="s">
        <v>123</v>
      </c>
    </row>
    <row r="267" spans="2:18" ht="15" customHeight="1" x14ac:dyDescent="0.2">
      <c r="B267" s="43">
        <v>157</v>
      </c>
      <c r="C267" s="43" t="s">
        <v>65</v>
      </c>
      <c r="E267" s="43">
        <v>157</v>
      </c>
      <c r="F267" s="43" t="s">
        <v>65</v>
      </c>
      <c r="H267" s="43">
        <v>157</v>
      </c>
      <c r="I267" s="43" t="s">
        <v>104</v>
      </c>
      <c r="K267" s="43">
        <v>157</v>
      </c>
      <c r="L267" s="43" t="s">
        <v>65</v>
      </c>
      <c r="N267" s="43">
        <v>157</v>
      </c>
      <c r="O267" s="43" t="s">
        <v>65</v>
      </c>
      <c r="Q267" s="43">
        <v>157</v>
      </c>
      <c r="R267" s="43" t="s">
        <v>123</v>
      </c>
    </row>
    <row r="268" spans="2:18" ht="15" customHeight="1" x14ac:dyDescent="0.2">
      <c r="B268" s="43">
        <v>160</v>
      </c>
      <c r="C268" s="43" t="s">
        <v>65</v>
      </c>
      <c r="E268" s="43">
        <v>160</v>
      </c>
      <c r="F268" s="43" t="s">
        <v>65</v>
      </c>
      <c r="H268" s="43">
        <v>160</v>
      </c>
      <c r="I268" s="43" t="s">
        <v>104</v>
      </c>
      <c r="K268" s="43">
        <v>160</v>
      </c>
      <c r="L268" s="43" t="s">
        <v>65</v>
      </c>
      <c r="N268" s="43">
        <v>160</v>
      </c>
      <c r="O268" s="43" t="s">
        <v>65</v>
      </c>
      <c r="Q268" s="43">
        <v>160</v>
      </c>
      <c r="R268" s="43" t="s">
        <v>123</v>
      </c>
    </row>
    <row r="269" spans="2:18" ht="15" customHeight="1" x14ac:dyDescent="0.2">
      <c r="B269" s="43">
        <v>163</v>
      </c>
      <c r="C269" s="43" t="s">
        <v>65</v>
      </c>
      <c r="E269" s="43">
        <v>163</v>
      </c>
      <c r="F269" s="43" t="s">
        <v>65</v>
      </c>
      <c r="H269" s="43">
        <v>163</v>
      </c>
      <c r="I269" s="43" t="s">
        <v>104</v>
      </c>
      <c r="K269" s="43">
        <v>163</v>
      </c>
      <c r="L269" s="43" t="s">
        <v>65</v>
      </c>
      <c r="N269" s="43">
        <v>163</v>
      </c>
      <c r="O269" s="43" t="s">
        <v>65</v>
      </c>
      <c r="Q269" s="43">
        <v>163</v>
      </c>
      <c r="R269" s="43" t="s">
        <v>123</v>
      </c>
    </row>
    <row r="270" spans="2:18" ht="15" customHeight="1" x14ac:dyDescent="0.2">
      <c r="B270" s="43">
        <v>166</v>
      </c>
      <c r="C270" s="43" t="s">
        <v>65</v>
      </c>
      <c r="E270" s="43">
        <v>166</v>
      </c>
      <c r="F270" s="43" t="s">
        <v>65</v>
      </c>
      <c r="H270" s="43">
        <v>166</v>
      </c>
      <c r="I270" s="43" t="s">
        <v>104</v>
      </c>
      <c r="K270" s="43">
        <v>166</v>
      </c>
      <c r="L270" s="43" t="s">
        <v>65</v>
      </c>
      <c r="N270" s="43">
        <v>166</v>
      </c>
      <c r="O270" s="43" t="s">
        <v>65</v>
      </c>
      <c r="Q270" s="43">
        <v>166</v>
      </c>
      <c r="R270" s="43" t="s">
        <v>123</v>
      </c>
    </row>
    <row r="271" spans="2:18" ht="15" customHeight="1" x14ac:dyDescent="0.2">
      <c r="B271" s="43">
        <v>182</v>
      </c>
      <c r="C271" s="43" t="s">
        <v>65</v>
      </c>
      <c r="E271" s="43">
        <v>182</v>
      </c>
      <c r="F271" s="43" t="s">
        <v>65</v>
      </c>
      <c r="H271" s="43">
        <v>182</v>
      </c>
      <c r="I271" s="43" t="s">
        <v>104</v>
      </c>
      <c r="K271" s="43">
        <v>182</v>
      </c>
      <c r="L271" s="43" t="s">
        <v>65</v>
      </c>
      <c r="N271" s="43">
        <v>182</v>
      </c>
      <c r="O271" s="43" t="s">
        <v>65</v>
      </c>
      <c r="Q271" s="43">
        <v>182</v>
      </c>
      <c r="R271" s="43" t="s">
        <v>123</v>
      </c>
    </row>
    <row r="272" spans="2:18" ht="15" customHeight="1" x14ac:dyDescent="0.2">
      <c r="B272" s="43">
        <v>183</v>
      </c>
      <c r="C272" s="43" t="s">
        <v>65</v>
      </c>
      <c r="E272" s="43">
        <v>183</v>
      </c>
      <c r="F272" s="43" t="s">
        <v>65</v>
      </c>
      <c r="H272" s="43">
        <v>183</v>
      </c>
      <c r="I272" s="43" t="s">
        <v>104</v>
      </c>
      <c r="K272" s="43">
        <v>183</v>
      </c>
      <c r="L272" s="43" t="s">
        <v>65</v>
      </c>
      <c r="N272" s="43">
        <v>183</v>
      </c>
      <c r="O272" s="43" t="s">
        <v>65</v>
      </c>
      <c r="Q272" s="43">
        <v>183</v>
      </c>
      <c r="R272" s="43" t="s">
        <v>123</v>
      </c>
    </row>
    <row r="273" spans="2:18" ht="15" customHeight="1" x14ac:dyDescent="0.2">
      <c r="B273" s="43">
        <v>184</v>
      </c>
      <c r="C273" s="43" t="s">
        <v>65</v>
      </c>
      <c r="E273" s="43">
        <v>184</v>
      </c>
      <c r="F273" s="43" t="s">
        <v>65</v>
      </c>
      <c r="H273" s="43">
        <v>184</v>
      </c>
      <c r="I273" s="43" t="s">
        <v>104</v>
      </c>
      <c r="K273" s="43">
        <v>184</v>
      </c>
      <c r="L273" s="43" t="s">
        <v>65</v>
      </c>
      <c r="N273" s="43">
        <v>184</v>
      </c>
      <c r="O273" s="43" t="s">
        <v>65</v>
      </c>
      <c r="Q273" s="43">
        <v>184</v>
      </c>
      <c r="R273" s="43" t="s">
        <v>123</v>
      </c>
    </row>
    <row r="274" spans="2:18" ht="15" customHeight="1" x14ac:dyDescent="0.2">
      <c r="B274" s="43">
        <v>185</v>
      </c>
      <c r="C274" s="43" t="s">
        <v>65</v>
      </c>
      <c r="E274" s="43">
        <v>185</v>
      </c>
      <c r="F274" s="43" t="s">
        <v>65</v>
      </c>
      <c r="H274" s="43">
        <v>185</v>
      </c>
      <c r="I274" s="43" t="s">
        <v>104</v>
      </c>
      <c r="K274" s="43">
        <v>185</v>
      </c>
      <c r="L274" s="43" t="s">
        <v>65</v>
      </c>
      <c r="N274" s="43">
        <v>185</v>
      </c>
      <c r="O274" s="43" t="s">
        <v>65</v>
      </c>
      <c r="Q274" s="43">
        <v>185</v>
      </c>
      <c r="R274" s="43" t="s">
        <v>123</v>
      </c>
    </row>
    <row r="275" spans="2:18" ht="15" customHeight="1" x14ac:dyDescent="0.2">
      <c r="B275" s="43">
        <v>186</v>
      </c>
      <c r="C275" s="43" t="s">
        <v>65</v>
      </c>
      <c r="E275" s="43">
        <v>186</v>
      </c>
      <c r="F275" s="43" t="s">
        <v>65</v>
      </c>
      <c r="H275" s="43">
        <v>186</v>
      </c>
      <c r="I275" s="43" t="s">
        <v>104</v>
      </c>
      <c r="K275" s="43">
        <v>186</v>
      </c>
      <c r="L275" s="43" t="s">
        <v>65</v>
      </c>
      <c r="N275" s="43">
        <v>186</v>
      </c>
      <c r="O275" s="43" t="s">
        <v>65</v>
      </c>
      <c r="Q275" s="43">
        <v>186</v>
      </c>
      <c r="R275" s="43" t="s">
        <v>123</v>
      </c>
    </row>
    <row r="276" spans="2:18" ht="15" customHeight="1" x14ac:dyDescent="0.2">
      <c r="B276" s="43">
        <v>43</v>
      </c>
      <c r="C276" s="43" t="s">
        <v>65</v>
      </c>
      <c r="E276" s="43">
        <v>43</v>
      </c>
      <c r="F276" s="43" t="s">
        <v>65</v>
      </c>
      <c r="H276" s="43">
        <v>43</v>
      </c>
      <c r="I276" s="43" t="s">
        <v>104</v>
      </c>
      <c r="K276" s="43">
        <v>43</v>
      </c>
      <c r="L276" s="43" t="s">
        <v>65</v>
      </c>
      <c r="N276" s="43">
        <v>43</v>
      </c>
      <c r="O276" s="43" t="s">
        <v>65</v>
      </c>
      <c r="Q276" s="43">
        <v>43</v>
      </c>
      <c r="R276" s="43" t="s">
        <v>123</v>
      </c>
    </row>
    <row r="277" spans="2:18" ht="15" customHeight="1" x14ac:dyDescent="0.2">
      <c r="B277" s="43">
        <v>44</v>
      </c>
      <c r="C277" s="43" t="s">
        <v>65</v>
      </c>
      <c r="E277" s="43">
        <v>44</v>
      </c>
      <c r="F277" s="43" t="s">
        <v>65</v>
      </c>
      <c r="H277" s="43">
        <v>44</v>
      </c>
      <c r="I277" s="43" t="s">
        <v>104</v>
      </c>
      <c r="K277" s="43">
        <v>44</v>
      </c>
      <c r="L277" s="43" t="s">
        <v>65</v>
      </c>
      <c r="N277" s="43">
        <v>44</v>
      </c>
      <c r="O277" s="43" t="s">
        <v>65</v>
      </c>
      <c r="Q277" s="43">
        <v>44</v>
      </c>
      <c r="R277" s="43" t="s">
        <v>123</v>
      </c>
    </row>
    <row r="278" spans="2:18" ht="15" customHeight="1" x14ac:dyDescent="0.2">
      <c r="B278" s="43">
        <v>45</v>
      </c>
      <c r="C278" s="43" t="s">
        <v>65</v>
      </c>
      <c r="E278" s="43">
        <v>45</v>
      </c>
      <c r="F278" s="43" t="s">
        <v>65</v>
      </c>
      <c r="H278" s="43">
        <v>45</v>
      </c>
      <c r="I278" s="43" t="s">
        <v>104</v>
      </c>
      <c r="K278" s="43">
        <v>45</v>
      </c>
      <c r="L278" s="43" t="s">
        <v>65</v>
      </c>
      <c r="N278" s="43">
        <v>45</v>
      </c>
      <c r="O278" s="43" t="s">
        <v>65</v>
      </c>
      <c r="Q278" s="43">
        <v>45</v>
      </c>
      <c r="R278" s="43" t="s">
        <v>123</v>
      </c>
    </row>
    <row r="279" spans="2:18" ht="15" customHeight="1" x14ac:dyDescent="0.2">
      <c r="B279" s="43">
        <v>46</v>
      </c>
      <c r="C279" s="43" t="s">
        <v>65</v>
      </c>
      <c r="E279" s="43">
        <v>46</v>
      </c>
      <c r="F279" s="43" t="s">
        <v>65</v>
      </c>
      <c r="H279" s="43">
        <v>46</v>
      </c>
      <c r="I279" s="43" t="s">
        <v>104</v>
      </c>
      <c r="K279" s="43">
        <v>46</v>
      </c>
      <c r="L279" s="43" t="s">
        <v>65</v>
      </c>
      <c r="N279" s="43">
        <v>46</v>
      </c>
      <c r="O279" s="43" t="s">
        <v>65</v>
      </c>
      <c r="Q279" s="43">
        <v>46</v>
      </c>
      <c r="R279" s="43" t="s">
        <v>123</v>
      </c>
    </row>
    <row r="280" spans="2:18" ht="15" customHeight="1" x14ac:dyDescent="0.2">
      <c r="B280" s="43">
        <v>47</v>
      </c>
      <c r="C280" s="43" t="s">
        <v>65</v>
      </c>
      <c r="E280" s="43">
        <v>47</v>
      </c>
      <c r="F280" s="43" t="s">
        <v>65</v>
      </c>
      <c r="H280" s="43">
        <v>47</v>
      </c>
      <c r="I280" s="43" t="s">
        <v>104</v>
      </c>
      <c r="K280" s="43">
        <v>47</v>
      </c>
      <c r="L280" s="43" t="s">
        <v>65</v>
      </c>
      <c r="N280" s="43">
        <v>47</v>
      </c>
      <c r="O280" s="43" t="s">
        <v>65</v>
      </c>
      <c r="Q280" s="43">
        <v>47</v>
      </c>
      <c r="R280" s="43" t="s">
        <v>123</v>
      </c>
    </row>
    <row r="281" spans="2:18" ht="15" customHeight="1" x14ac:dyDescent="0.2">
      <c r="B281" s="43">
        <v>25</v>
      </c>
      <c r="C281" s="43" t="s">
        <v>65</v>
      </c>
      <c r="E281" s="43">
        <v>25</v>
      </c>
      <c r="F281" s="43" t="s">
        <v>65</v>
      </c>
      <c r="H281" s="43">
        <v>25</v>
      </c>
      <c r="I281" s="43" t="s">
        <v>104</v>
      </c>
      <c r="K281" s="43">
        <v>25</v>
      </c>
      <c r="L281" s="43" t="s">
        <v>65</v>
      </c>
      <c r="N281" s="43">
        <v>25</v>
      </c>
      <c r="O281" s="43" t="s">
        <v>65</v>
      </c>
      <c r="Q281" s="43">
        <v>25</v>
      </c>
      <c r="R281" s="43" t="s">
        <v>123</v>
      </c>
    </row>
    <row r="282" spans="2:18" ht="15" customHeight="1" x14ac:dyDescent="0.2">
      <c r="B282" s="43">
        <v>28</v>
      </c>
      <c r="C282" s="43" t="s">
        <v>65</v>
      </c>
      <c r="E282" s="43">
        <v>28</v>
      </c>
      <c r="F282" s="43" t="s">
        <v>65</v>
      </c>
      <c r="H282" s="43">
        <v>28</v>
      </c>
      <c r="I282" s="43" t="s">
        <v>104</v>
      </c>
      <c r="K282" s="43">
        <v>28</v>
      </c>
      <c r="L282" s="43" t="s">
        <v>65</v>
      </c>
      <c r="N282" s="43">
        <v>28</v>
      </c>
      <c r="O282" s="43" t="s">
        <v>65</v>
      </c>
      <c r="Q282" s="43">
        <v>28</v>
      </c>
      <c r="R282" s="43" t="s">
        <v>123</v>
      </c>
    </row>
    <row r="283" spans="2:18" ht="15" customHeight="1" x14ac:dyDescent="0.2">
      <c r="B283" s="43">
        <v>31</v>
      </c>
      <c r="C283" s="43" t="s">
        <v>65</v>
      </c>
      <c r="E283" s="43">
        <v>31</v>
      </c>
      <c r="F283" s="43" t="s">
        <v>65</v>
      </c>
      <c r="H283" s="43">
        <v>31</v>
      </c>
      <c r="I283" s="43" t="s">
        <v>104</v>
      </c>
      <c r="K283" s="43">
        <v>31</v>
      </c>
      <c r="L283" s="43" t="s">
        <v>65</v>
      </c>
      <c r="N283" s="43">
        <v>31</v>
      </c>
      <c r="O283" s="43" t="s">
        <v>65</v>
      </c>
      <c r="Q283" s="43">
        <v>31</v>
      </c>
      <c r="R283" s="43" t="s">
        <v>123</v>
      </c>
    </row>
    <row r="284" spans="2:18" ht="15" customHeight="1" x14ac:dyDescent="0.2">
      <c r="B284" s="43">
        <v>34</v>
      </c>
      <c r="C284" s="43" t="s">
        <v>65</v>
      </c>
      <c r="E284" s="43">
        <v>34</v>
      </c>
      <c r="F284" s="43" t="s">
        <v>65</v>
      </c>
      <c r="H284" s="43">
        <v>34</v>
      </c>
      <c r="I284" s="43" t="s">
        <v>104</v>
      </c>
      <c r="K284" s="43">
        <v>34</v>
      </c>
      <c r="L284" s="43" t="s">
        <v>65</v>
      </c>
      <c r="N284" s="43">
        <v>34</v>
      </c>
      <c r="O284" s="43" t="s">
        <v>65</v>
      </c>
      <c r="Q284" s="43">
        <v>34</v>
      </c>
      <c r="R284" s="43" t="s">
        <v>123</v>
      </c>
    </row>
    <row r="285" spans="2:18" ht="15" customHeight="1" x14ac:dyDescent="0.2">
      <c r="B285" s="43">
        <v>37</v>
      </c>
      <c r="C285" s="43" t="s">
        <v>65</v>
      </c>
      <c r="E285" s="43">
        <v>37</v>
      </c>
      <c r="F285" s="43" t="s">
        <v>65</v>
      </c>
      <c r="H285" s="43">
        <v>37</v>
      </c>
      <c r="I285" s="43" t="s">
        <v>104</v>
      </c>
      <c r="K285" s="43">
        <v>37</v>
      </c>
      <c r="L285" s="43" t="s">
        <v>65</v>
      </c>
      <c r="N285" s="43">
        <v>37</v>
      </c>
      <c r="O285" s="43" t="s">
        <v>65</v>
      </c>
      <c r="Q285" s="43">
        <v>37</v>
      </c>
      <c r="R285" s="43" t="s">
        <v>123</v>
      </c>
    </row>
    <row r="286" spans="2:18" ht="15" customHeight="1" x14ac:dyDescent="0.2">
      <c r="B286" s="43">
        <v>40</v>
      </c>
      <c r="C286" s="43" t="s">
        <v>65</v>
      </c>
      <c r="E286" s="43">
        <v>40</v>
      </c>
      <c r="F286" s="43" t="s">
        <v>65</v>
      </c>
      <c r="H286" s="43">
        <v>40</v>
      </c>
      <c r="I286" s="43" t="s">
        <v>104</v>
      </c>
      <c r="K286" s="43">
        <v>40</v>
      </c>
      <c r="L286" s="43" t="s">
        <v>65</v>
      </c>
      <c r="N286" s="43">
        <v>40</v>
      </c>
      <c r="O286" s="43" t="s">
        <v>65</v>
      </c>
      <c r="Q286" s="43">
        <v>40</v>
      </c>
      <c r="R286" s="43" t="s">
        <v>123</v>
      </c>
    </row>
    <row r="287" spans="2:18" ht="15" customHeight="1" x14ac:dyDescent="0.2">
      <c r="B287" s="43">
        <v>48</v>
      </c>
      <c r="C287" s="43" t="s">
        <v>65</v>
      </c>
      <c r="E287" s="43">
        <v>48</v>
      </c>
      <c r="F287" s="43" t="s">
        <v>65</v>
      </c>
      <c r="H287" s="43">
        <v>48</v>
      </c>
      <c r="I287" s="43" t="s">
        <v>104</v>
      </c>
      <c r="K287" s="43">
        <v>48</v>
      </c>
      <c r="L287" s="43" t="s">
        <v>65</v>
      </c>
      <c r="N287" s="43">
        <v>48</v>
      </c>
      <c r="O287" s="43" t="s">
        <v>65</v>
      </c>
      <c r="Q287" s="43">
        <v>48</v>
      </c>
      <c r="R287" s="43" t="s">
        <v>123</v>
      </c>
    </row>
    <row r="288" spans="2:18" ht="15" customHeight="1" x14ac:dyDescent="0.2">
      <c r="B288" s="43">
        <v>49</v>
      </c>
      <c r="C288" s="43" t="s">
        <v>65</v>
      </c>
      <c r="E288" s="43">
        <v>49</v>
      </c>
      <c r="F288" s="43" t="s">
        <v>65</v>
      </c>
      <c r="H288" s="43">
        <v>49</v>
      </c>
      <c r="I288" s="43" t="s">
        <v>104</v>
      </c>
      <c r="K288" s="43">
        <v>49</v>
      </c>
      <c r="L288" s="43" t="s">
        <v>65</v>
      </c>
      <c r="N288" s="43">
        <v>49</v>
      </c>
      <c r="O288" s="43" t="s">
        <v>65</v>
      </c>
      <c r="Q288" s="43">
        <v>49</v>
      </c>
      <c r="R288" s="43" t="s">
        <v>123</v>
      </c>
    </row>
    <row r="289" spans="2:18" ht="15" customHeight="1" x14ac:dyDescent="0.2">
      <c r="B289" s="43">
        <v>50</v>
      </c>
      <c r="C289" s="43" t="s">
        <v>65</v>
      </c>
      <c r="E289" s="43">
        <v>50</v>
      </c>
      <c r="F289" s="43" t="s">
        <v>65</v>
      </c>
      <c r="H289" s="43">
        <v>50</v>
      </c>
      <c r="I289" s="43" t="s">
        <v>104</v>
      </c>
      <c r="K289" s="43">
        <v>50</v>
      </c>
      <c r="L289" s="43" t="s">
        <v>65</v>
      </c>
      <c r="N289" s="43">
        <v>50</v>
      </c>
      <c r="O289" s="43" t="s">
        <v>65</v>
      </c>
      <c r="Q289" s="43">
        <v>50</v>
      </c>
      <c r="R289" s="43" t="s">
        <v>123</v>
      </c>
    </row>
    <row r="290" spans="2:18" ht="15" customHeight="1" x14ac:dyDescent="0.2">
      <c r="B290" s="43">
        <v>51</v>
      </c>
      <c r="C290" s="43" t="s">
        <v>65</v>
      </c>
      <c r="E290" s="43">
        <v>51</v>
      </c>
      <c r="F290" s="43" t="s">
        <v>65</v>
      </c>
      <c r="H290" s="43">
        <v>51</v>
      </c>
      <c r="I290" s="43" t="s">
        <v>104</v>
      </c>
      <c r="K290" s="43">
        <v>51</v>
      </c>
      <c r="L290" s="43" t="s">
        <v>65</v>
      </c>
      <c r="N290" s="43">
        <v>51</v>
      </c>
      <c r="O290" s="43" t="s">
        <v>65</v>
      </c>
      <c r="Q290" s="43">
        <v>51</v>
      </c>
      <c r="R290" s="43" t="s">
        <v>123</v>
      </c>
    </row>
    <row r="291" spans="2:18" ht="15" customHeight="1" x14ac:dyDescent="0.2">
      <c r="B291" s="43">
        <v>52</v>
      </c>
      <c r="C291" s="43" t="s">
        <v>65</v>
      </c>
      <c r="E291" s="43">
        <v>52</v>
      </c>
      <c r="F291" s="43" t="s">
        <v>65</v>
      </c>
      <c r="H291" s="43">
        <v>52</v>
      </c>
      <c r="I291" s="43" t="s">
        <v>104</v>
      </c>
      <c r="K291" s="43">
        <v>52</v>
      </c>
      <c r="L291" s="43" t="s">
        <v>65</v>
      </c>
      <c r="N291" s="43">
        <v>52</v>
      </c>
      <c r="O291" s="43" t="s">
        <v>65</v>
      </c>
      <c r="Q291" s="43">
        <v>52</v>
      </c>
      <c r="R291" s="43" t="s">
        <v>123</v>
      </c>
    </row>
    <row r="292" spans="2:18" ht="15" customHeight="1" x14ac:dyDescent="0.2">
      <c r="B292" s="43">
        <v>26</v>
      </c>
      <c r="C292" s="43" t="s">
        <v>65</v>
      </c>
      <c r="E292" s="43">
        <v>26</v>
      </c>
      <c r="F292" s="43" t="s">
        <v>65</v>
      </c>
      <c r="H292" s="43">
        <v>26</v>
      </c>
      <c r="I292" s="43" t="s">
        <v>104</v>
      </c>
      <c r="K292" s="43">
        <v>26</v>
      </c>
      <c r="L292" s="43" t="s">
        <v>65</v>
      </c>
      <c r="N292" s="43">
        <v>26</v>
      </c>
      <c r="O292" s="43" t="s">
        <v>65</v>
      </c>
      <c r="Q292" s="43">
        <v>26</v>
      </c>
      <c r="R292" s="43" t="s">
        <v>123</v>
      </c>
    </row>
    <row r="293" spans="2:18" ht="15" customHeight="1" x14ac:dyDescent="0.2">
      <c r="B293" s="43">
        <v>29</v>
      </c>
      <c r="C293" s="43" t="s">
        <v>65</v>
      </c>
      <c r="E293" s="43">
        <v>29</v>
      </c>
      <c r="F293" s="43" t="s">
        <v>65</v>
      </c>
      <c r="H293" s="43">
        <v>29</v>
      </c>
      <c r="I293" s="43" t="s">
        <v>104</v>
      </c>
      <c r="K293" s="43">
        <v>29</v>
      </c>
      <c r="L293" s="43" t="s">
        <v>65</v>
      </c>
      <c r="N293" s="43">
        <v>29</v>
      </c>
      <c r="O293" s="43" t="s">
        <v>65</v>
      </c>
      <c r="Q293" s="43">
        <v>29</v>
      </c>
      <c r="R293" s="43" t="s">
        <v>123</v>
      </c>
    </row>
    <row r="294" spans="2:18" ht="15" customHeight="1" x14ac:dyDescent="0.2">
      <c r="B294" s="43">
        <v>32</v>
      </c>
      <c r="C294" s="43" t="s">
        <v>65</v>
      </c>
      <c r="E294" s="43">
        <v>32</v>
      </c>
      <c r="F294" s="43" t="s">
        <v>65</v>
      </c>
      <c r="H294" s="43">
        <v>32</v>
      </c>
      <c r="I294" s="43" t="s">
        <v>104</v>
      </c>
      <c r="K294" s="43">
        <v>32</v>
      </c>
      <c r="L294" s="43" t="s">
        <v>65</v>
      </c>
      <c r="N294" s="43">
        <v>32</v>
      </c>
      <c r="O294" s="43" t="s">
        <v>65</v>
      </c>
      <c r="Q294" s="43">
        <v>32</v>
      </c>
      <c r="R294" s="43" t="s">
        <v>123</v>
      </c>
    </row>
    <row r="295" spans="2:18" ht="15" customHeight="1" x14ac:dyDescent="0.2">
      <c r="B295" s="43">
        <v>35</v>
      </c>
      <c r="C295" s="43" t="s">
        <v>65</v>
      </c>
      <c r="E295" s="43">
        <v>35</v>
      </c>
      <c r="F295" s="43" t="s">
        <v>65</v>
      </c>
      <c r="H295" s="43">
        <v>35</v>
      </c>
      <c r="I295" s="43" t="s">
        <v>104</v>
      </c>
      <c r="K295" s="43">
        <v>35</v>
      </c>
      <c r="L295" s="43" t="s">
        <v>65</v>
      </c>
      <c r="N295" s="43">
        <v>35</v>
      </c>
      <c r="O295" s="43" t="s">
        <v>65</v>
      </c>
      <c r="Q295" s="43">
        <v>35</v>
      </c>
      <c r="R295" s="43" t="s">
        <v>123</v>
      </c>
    </row>
    <row r="296" spans="2:18" ht="15" customHeight="1" x14ac:dyDescent="0.2">
      <c r="B296" s="43">
        <v>38</v>
      </c>
      <c r="C296" s="43" t="s">
        <v>65</v>
      </c>
      <c r="E296" s="43">
        <v>38</v>
      </c>
      <c r="F296" s="43" t="s">
        <v>65</v>
      </c>
      <c r="H296" s="43">
        <v>38</v>
      </c>
      <c r="I296" s="43" t="s">
        <v>104</v>
      </c>
      <c r="K296" s="43">
        <v>38</v>
      </c>
      <c r="L296" s="43" t="s">
        <v>65</v>
      </c>
      <c r="N296" s="43">
        <v>38</v>
      </c>
      <c r="O296" s="43" t="s">
        <v>65</v>
      </c>
      <c r="Q296" s="43">
        <v>38</v>
      </c>
      <c r="R296" s="43" t="s">
        <v>123</v>
      </c>
    </row>
    <row r="297" spans="2:18" ht="15" customHeight="1" x14ac:dyDescent="0.2">
      <c r="B297" s="43">
        <v>41</v>
      </c>
      <c r="C297" s="43" t="s">
        <v>65</v>
      </c>
      <c r="E297" s="43">
        <v>41</v>
      </c>
      <c r="F297" s="43" t="s">
        <v>65</v>
      </c>
      <c r="H297" s="43">
        <v>41</v>
      </c>
      <c r="I297" s="43" t="s">
        <v>104</v>
      </c>
      <c r="K297" s="43">
        <v>41</v>
      </c>
      <c r="L297" s="43" t="s">
        <v>65</v>
      </c>
      <c r="N297" s="43">
        <v>41</v>
      </c>
      <c r="O297" s="43" t="s">
        <v>65</v>
      </c>
      <c r="Q297" s="43">
        <v>41</v>
      </c>
      <c r="R297" s="43" t="s">
        <v>123</v>
      </c>
    </row>
    <row r="298" spans="2:18" ht="15" customHeight="1" x14ac:dyDescent="0.2">
      <c r="B298" s="43">
        <v>53</v>
      </c>
      <c r="C298" s="43" t="s">
        <v>65</v>
      </c>
      <c r="E298" s="43">
        <v>53</v>
      </c>
      <c r="F298" s="43" t="s">
        <v>65</v>
      </c>
      <c r="H298" s="43">
        <v>53</v>
      </c>
      <c r="I298" s="43" t="s">
        <v>104</v>
      </c>
      <c r="K298" s="43">
        <v>53</v>
      </c>
      <c r="L298" s="43" t="s">
        <v>65</v>
      </c>
      <c r="N298" s="43">
        <v>53</v>
      </c>
      <c r="O298" s="43" t="s">
        <v>65</v>
      </c>
      <c r="Q298" s="43">
        <v>53</v>
      </c>
      <c r="R298" s="43" t="s">
        <v>123</v>
      </c>
    </row>
    <row r="299" spans="2:18" ht="15" customHeight="1" x14ac:dyDescent="0.2">
      <c r="B299" s="43">
        <v>54</v>
      </c>
      <c r="C299" s="43" t="s">
        <v>65</v>
      </c>
      <c r="E299" s="43">
        <v>54</v>
      </c>
      <c r="F299" s="43" t="s">
        <v>65</v>
      </c>
      <c r="H299" s="43">
        <v>54</v>
      </c>
      <c r="I299" s="43" t="s">
        <v>104</v>
      </c>
      <c r="K299" s="43">
        <v>54</v>
      </c>
      <c r="L299" s="43" t="s">
        <v>65</v>
      </c>
      <c r="N299" s="43">
        <v>54</v>
      </c>
      <c r="O299" s="43" t="s">
        <v>65</v>
      </c>
      <c r="Q299" s="43">
        <v>54</v>
      </c>
      <c r="R299" s="43" t="s">
        <v>123</v>
      </c>
    </row>
    <row r="300" spans="2:18" ht="15" customHeight="1" x14ac:dyDescent="0.2">
      <c r="B300" s="43">
        <v>55</v>
      </c>
      <c r="C300" s="43" t="s">
        <v>65</v>
      </c>
      <c r="E300" s="43">
        <v>55</v>
      </c>
      <c r="F300" s="43" t="s">
        <v>65</v>
      </c>
      <c r="H300" s="43">
        <v>55</v>
      </c>
      <c r="I300" s="43" t="s">
        <v>104</v>
      </c>
      <c r="K300" s="43">
        <v>55</v>
      </c>
      <c r="L300" s="43" t="s">
        <v>65</v>
      </c>
      <c r="N300" s="43">
        <v>55</v>
      </c>
      <c r="O300" s="43" t="s">
        <v>65</v>
      </c>
      <c r="Q300" s="43">
        <v>55</v>
      </c>
      <c r="R300" s="43" t="s">
        <v>123</v>
      </c>
    </row>
    <row r="301" spans="2:18" ht="15" customHeight="1" x14ac:dyDescent="0.2">
      <c r="B301" s="43">
        <v>56</v>
      </c>
      <c r="C301" s="43" t="s">
        <v>65</v>
      </c>
      <c r="E301" s="43">
        <v>56</v>
      </c>
      <c r="F301" s="43" t="s">
        <v>65</v>
      </c>
      <c r="H301" s="43">
        <v>56</v>
      </c>
      <c r="I301" s="43" t="s">
        <v>104</v>
      </c>
      <c r="K301" s="43">
        <v>56</v>
      </c>
      <c r="L301" s="43" t="s">
        <v>65</v>
      </c>
      <c r="N301" s="43">
        <v>56</v>
      </c>
      <c r="O301" s="43" t="s">
        <v>65</v>
      </c>
      <c r="Q301" s="43">
        <v>56</v>
      </c>
      <c r="R301" s="43" t="s">
        <v>123</v>
      </c>
    </row>
    <row r="302" spans="2:18" ht="15" customHeight="1" x14ac:dyDescent="0.2">
      <c r="B302" s="43">
        <v>57</v>
      </c>
      <c r="C302" s="43" t="s">
        <v>65</v>
      </c>
      <c r="E302" s="43">
        <v>57</v>
      </c>
      <c r="F302" s="43" t="s">
        <v>65</v>
      </c>
      <c r="H302" s="43">
        <v>57</v>
      </c>
      <c r="I302" s="43" t="s">
        <v>104</v>
      </c>
      <c r="K302" s="43">
        <v>57</v>
      </c>
      <c r="L302" s="43" t="s">
        <v>65</v>
      </c>
      <c r="N302" s="43">
        <v>57</v>
      </c>
      <c r="O302" s="43" t="s">
        <v>65</v>
      </c>
      <c r="Q302" s="43">
        <v>57</v>
      </c>
      <c r="R302" s="43" t="s">
        <v>123</v>
      </c>
    </row>
    <row r="303" spans="2:18" ht="15" customHeight="1" x14ac:dyDescent="0.2">
      <c r="B303" s="43">
        <v>27</v>
      </c>
      <c r="C303" s="43" t="s">
        <v>65</v>
      </c>
      <c r="E303" s="43">
        <v>27</v>
      </c>
      <c r="F303" s="43" t="s">
        <v>65</v>
      </c>
      <c r="H303" s="43">
        <v>27</v>
      </c>
      <c r="I303" s="43" t="s">
        <v>104</v>
      </c>
      <c r="K303" s="43">
        <v>27</v>
      </c>
      <c r="L303" s="43" t="s">
        <v>65</v>
      </c>
      <c r="N303" s="43">
        <v>27</v>
      </c>
      <c r="O303" s="43" t="s">
        <v>65</v>
      </c>
      <c r="Q303" s="43">
        <v>27</v>
      </c>
      <c r="R303" s="43" t="s">
        <v>123</v>
      </c>
    </row>
    <row r="304" spans="2:18" ht="15" customHeight="1" x14ac:dyDescent="0.2">
      <c r="B304" s="43">
        <v>30</v>
      </c>
      <c r="C304" s="43" t="s">
        <v>65</v>
      </c>
      <c r="E304" s="43">
        <v>30</v>
      </c>
      <c r="F304" s="43" t="s">
        <v>65</v>
      </c>
      <c r="H304" s="43">
        <v>30</v>
      </c>
      <c r="I304" s="43" t="s">
        <v>104</v>
      </c>
      <c r="K304" s="43">
        <v>30</v>
      </c>
      <c r="L304" s="43" t="s">
        <v>65</v>
      </c>
      <c r="N304" s="43">
        <v>30</v>
      </c>
      <c r="O304" s="43" t="s">
        <v>65</v>
      </c>
      <c r="Q304" s="43">
        <v>30</v>
      </c>
      <c r="R304" s="43" t="s">
        <v>123</v>
      </c>
    </row>
    <row r="305" spans="2:18" ht="15" customHeight="1" x14ac:dyDescent="0.2">
      <c r="B305" s="43">
        <v>33</v>
      </c>
      <c r="C305" s="43" t="s">
        <v>65</v>
      </c>
      <c r="E305" s="43">
        <v>33</v>
      </c>
      <c r="F305" s="43" t="s">
        <v>65</v>
      </c>
      <c r="H305" s="43">
        <v>33</v>
      </c>
      <c r="I305" s="43" t="s">
        <v>104</v>
      </c>
      <c r="K305" s="43">
        <v>33</v>
      </c>
      <c r="L305" s="43" t="s">
        <v>65</v>
      </c>
      <c r="N305" s="43">
        <v>33</v>
      </c>
      <c r="O305" s="43" t="s">
        <v>65</v>
      </c>
      <c r="Q305" s="43">
        <v>33</v>
      </c>
      <c r="R305" s="43" t="s">
        <v>123</v>
      </c>
    </row>
    <row r="306" spans="2:18" ht="15" customHeight="1" x14ac:dyDescent="0.2">
      <c r="B306" s="43">
        <v>36</v>
      </c>
      <c r="C306" s="43" t="s">
        <v>65</v>
      </c>
      <c r="E306" s="43">
        <v>36</v>
      </c>
      <c r="F306" s="43" t="s">
        <v>65</v>
      </c>
      <c r="H306" s="43">
        <v>36</v>
      </c>
      <c r="I306" s="43" t="s">
        <v>104</v>
      </c>
      <c r="K306" s="43">
        <v>36</v>
      </c>
      <c r="L306" s="43" t="s">
        <v>65</v>
      </c>
      <c r="N306" s="43">
        <v>36</v>
      </c>
      <c r="O306" s="43" t="s">
        <v>65</v>
      </c>
      <c r="Q306" s="43">
        <v>36</v>
      </c>
      <c r="R306" s="43" t="s">
        <v>123</v>
      </c>
    </row>
    <row r="307" spans="2:18" ht="15" customHeight="1" x14ac:dyDescent="0.2">
      <c r="B307" s="43">
        <v>39</v>
      </c>
      <c r="C307" s="43" t="s">
        <v>65</v>
      </c>
      <c r="E307" s="43">
        <v>39</v>
      </c>
      <c r="F307" s="43" t="s">
        <v>65</v>
      </c>
      <c r="H307" s="43">
        <v>39</v>
      </c>
      <c r="I307" s="43" t="s">
        <v>104</v>
      </c>
      <c r="K307" s="43">
        <v>39</v>
      </c>
      <c r="L307" s="43" t="s">
        <v>65</v>
      </c>
      <c r="N307" s="43">
        <v>39</v>
      </c>
      <c r="O307" s="43" t="s">
        <v>65</v>
      </c>
      <c r="Q307" s="43">
        <v>39</v>
      </c>
      <c r="R307" s="43" t="s">
        <v>123</v>
      </c>
    </row>
    <row r="308" spans="2:18" ht="15" customHeight="1" x14ac:dyDescent="0.2">
      <c r="B308" s="43">
        <v>42</v>
      </c>
      <c r="C308" s="43" t="s">
        <v>65</v>
      </c>
      <c r="E308" s="43">
        <v>42</v>
      </c>
      <c r="F308" s="43" t="s">
        <v>65</v>
      </c>
      <c r="H308" s="43">
        <v>42</v>
      </c>
      <c r="I308" s="43" t="s">
        <v>104</v>
      </c>
      <c r="K308" s="43">
        <v>42</v>
      </c>
      <c r="L308" s="43" t="s">
        <v>65</v>
      </c>
      <c r="N308" s="43">
        <v>42</v>
      </c>
      <c r="O308" s="43" t="s">
        <v>65</v>
      </c>
      <c r="Q308" s="43">
        <v>42</v>
      </c>
      <c r="R308" s="43" t="s">
        <v>123</v>
      </c>
    </row>
    <row r="309" spans="2:18" ht="15" customHeight="1" x14ac:dyDescent="0.2">
      <c r="B309" s="43">
        <v>58</v>
      </c>
      <c r="C309" s="43" t="s">
        <v>65</v>
      </c>
      <c r="E309" s="43">
        <v>58</v>
      </c>
      <c r="F309" s="43" t="s">
        <v>65</v>
      </c>
      <c r="H309" s="43">
        <v>58</v>
      </c>
      <c r="I309" s="43" t="s">
        <v>104</v>
      </c>
      <c r="K309" s="43">
        <v>58</v>
      </c>
      <c r="L309" s="43" t="s">
        <v>65</v>
      </c>
      <c r="N309" s="43">
        <v>58</v>
      </c>
      <c r="O309" s="43" t="s">
        <v>65</v>
      </c>
      <c r="Q309" s="43">
        <v>58</v>
      </c>
      <c r="R309" s="43" t="s">
        <v>123</v>
      </c>
    </row>
    <row r="310" spans="2:18" ht="15" customHeight="1" x14ac:dyDescent="0.2">
      <c r="B310" s="43">
        <v>59</v>
      </c>
      <c r="C310" s="43" t="s">
        <v>65</v>
      </c>
      <c r="E310" s="43">
        <v>59</v>
      </c>
      <c r="F310" s="43" t="s">
        <v>65</v>
      </c>
      <c r="H310" s="43">
        <v>59</v>
      </c>
      <c r="I310" s="43" t="s">
        <v>104</v>
      </c>
      <c r="K310" s="43">
        <v>59</v>
      </c>
      <c r="L310" s="43" t="s">
        <v>65</v>
      </c>
      <c r="N310" s="43">
        <v>59</v>
      </c>
      <c r="O310" s="43" t="s">
        <v>65</v>
      </c>
      <c r="Q310" s="43">
        <v>59</v>
      </c>
      <c r="R310" s="43" t="s">
        <v>123</v>
      </c>
    </row>
    <row r="311" spans="2:18" ht="15" customHeight="1" x14ac:dyDescent="0.2">
      <c r="B311" s="43">
        <v>60</v>
      </c>
      <c r="C311" s="43" t="s">
        <v>65</v>
      </c>
      <c r="E311" s="43">
        <v>60</v>
      </c>
      <c r="F311" s="43" t="s">
        <v>65</v>
      </c>
      <c r="H311" s="43">
        <v>60</v>
      </c>
      <c r="I311" s="43" t="s">
        <v>104</v>
      </c>
      <c r="K311" s="43">
        <v>60</v>
      </c>
      <c r="L311" s="43" t="s">
        <v>65</v>
      </c>
      <c r="N311" s="43">
        <v>60</v>
      </c>
      <c r="O311" s="43" t="s">
        <v>65</v>
      </c>
      <c r="Q311" s="43">
        <v>60</v>
      </c>
      <c r="R311" s="43" t="s">
        <v>123</v>
      </c>
    </row>
    <row r="312" spans="2:18" ht="15" customHeight="1" x14ac:dyDescent="0.2">
      <c r="B312" s="43">
        <v>61</v>
      </c>
      <c r="C312" s="43" t="s">
        <v>65</v>
      </c>
      <c r="E312" s="43">
        <v>61</v>
      </c>
      <c r="F312" s="43" t="s">
        <v>65</v>
      </c>
      <c r="H312" s="43">
        <v>61</v>
      </c>
      <c r="I312" s="43" t="s">
        <v>104</v>
      </c>
      <c r="K312" s="43">
        <v>61</v>
      </c>
      <c r="L312" s="43" t="s">
        <v>65</v>
      </c>
      <c r="N312" s="43">
        <v>61</v>
      </c>
      <c r="O312" s="43" t="s">
        <v>65</v>
      </c>
      <c r="Q312" s="43">
        <v>61</v>
      </c>
      <c r="R312" s="43" t="s">
        <v>123</v>
      </c>
    </row>
    <row r="313" spans="2:18" ht="15" customHeight="1" x14ac:dyDescent="0.2">
      <c r="B313" s="43">
        <v>62</v>
      </c>
      <c r="C313" s="43" t="s">
        <v>65</v>
      </c>
      <c r="E313" s="43">
        <v>62</v>
      </c>
      <c r="F313" s="43" t="s">
        <v>65</v>
      </c>
      <c r="H313" s="43">
        <v>62</v>
      </c>
      <c r="I313" s="43" t="s">
        <v>104</v>
      </c>
      <c r="K313" s="43">
        <v>62</v>
      </c>
      <c r="L313" s="43" t="s">
        <v>65</v>
      </c>
      <c r="N313" s="43">
        <v>62</v>
      </c>
      <c r="O313" s="43" t="s">
        <v>65</v>
      </c>
      <c r="Q313" s="43">
        <v>62</v>
      </c>
      <c r="R313" s="43" t="s">
        <v>123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106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107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330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330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281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281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232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232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183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183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134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134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914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914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5" t="s">
        <v>120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121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2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2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2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2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2">
      <c r="B7" s="27" t="s">
        <v>330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330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281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281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232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232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183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183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134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134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914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914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950</v>
      </c>
      <c r="F4" s="34" t="s">
        <v>951</v>
      </c>
      <c r="G4" s="51" t="s">
        <v>11</v>
      </c>
      <c r="K4" s="34" t="s">
        <v>950</v>
      </c>
      <c r="L4" s="34" t="s">
        <v>951</v>
      </c>
      <c r="P4" s="51" t="s">
        <v>7</v>
      </c>
      <c r="Q4" s="34" t="s">
        <v>8</v>
      </c>
      <c r="R4" s="34" t="s">
        <v>9</v>
      </c>
      <c r="S4" s="34" t="s">
        <v>950</v>
      </c>
      <c r="T4" s="34" t="s">
        <v>951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952</v>
      </c>
      <c r="G5" s="51"/>
      <c r="K5" s="25" t="s">
        <v>6</v>
      </c>
      <c r="L5" s="25" t="s">
        <v>952</v>
      </c>
      <c r="P5" s="51"/>
      <c r="Q5" s="25" t="s">
        <v>6</v>
      </c>
      <c r="R5" s="25" t="s">
        <v>10</v>
      </c>
      <c r="S5" s="25" t="s">
        <v>6</v>
      </c>
      <c r="T5" s="25" t="s">
        <v>952</v>
      </c>
      <c r="U5" s="51"/>
    </row>
    <row r="6" spans="2:21" ht="13.9" customHeight="1" x14ac:dyDescent="0.2">
      <c r="B6" s="27">
        <v>0</v>
      </c>
      <c r="C6" s="30">
        <v>-1.096231972434618E-6</v>
      </c>
      <c r="D6" s="30">
        <v>-1.3233147910796102E-12</v>
      </c>
      <c r="E6" s="30">
        <f>ABS(C6)/'İtme Analizi'!$C$17</f>
        <v>8.0857069182295652E-7</v>
      </c>
      <c r="F6" s="30">
        <f>ABS(D6)/'İtme Analizi'!$C$14</f>
        <v>7.4324389504161095E-16</v>
      </c>
      <c r="G6" s="30"/>
      <c r="K6" s="30">
        <v>0</v>
      </c>
      <c r="L6" s="30">
        <v>0</v>
      </c>
      <c r="P6" s="27">
        <v>0</v>
      </c>
      <c r="Q6" s="30">
        <v>-1.096231972434618E-6</v>
      </c>
      <c r="R6" s="30">
        <v>-1.3233147910796102E-12</v>
      </c>
      <c r="S6" s="30">
        <f>ABS(Q6)/'İtme Analizi'!$C$17</f>
        <v>8.0857069182295652E-7</v>
      </c>
      <c r="T6" s="30">
        <f>ABS(R6)/'İtme Analizi'!$C$14</f>
        <v>7.4324389504161095E-16</v>
      </c>
      <c r="U6" s="30"/>
    </row>
    <row r="7" spans="2:21" ht="13.9" customHeight="1" x14ac:dyDescent="0.2">
      <c r="B7" s="27">
        <v>1</v>
      </c>
      <c r="C7" s="30">
        <v>-6.8432996530576784E-4</v>
      </c>
      <c r="D7" s="30">
        <v>20.522962261028276</v>
      </c>
      <c r="E7" s="30">
        <f>ABS(C7)/'İtme Analizi'!$C$17</f>
        <v>5.0475553294945189E-4</v>
      </c>
      <c r="F7" s="30">
        <f>ABS(D7)/'İtme Analizi'!$C$14</f>
        <v>1.1526786000959157E-2</v>
      </c>
      <c r="G7" s="30">
        <f>G6+(E7-E6)*((F7+F6)/2)</f>
        <v>2.9044443948887523E-6</v>
      </c>
      <c r="K7" s="30">
        <f>'İtme Analizi'!$C$24</f>
        <v>3.0236817828442623E-2</v>
      </c>
      <c r="L7" s="30">
        <f>'İtme Analizi'!$C$21</f>
        <v>0.69681237793384743</v>
      </c>
      <c r="P7" s="27">
        <v>1</v>
      </c>
      <c r="Q7" s="30">
        <v>-8.2097673197243466E-4</v>
      </c>
      <c r="R7" s="30">
        <v>24.627555314137545</v>
      </c>
      <c r="S7" s="30">
        <f>ABS(Q7)/'İtme Analizi'!$C$17</f>
        <v>6.055449401527952E-4</v>
      </c>
      <c r="T7" s="30">
        <f>ABS(R7)/'İtme Analizi'!$C$14</f>
        <v>1.3832143538650383E-2</v>
      </c>
      <c r="U7" s="30">
        <f>U6+(S7-S6)*((T7+T6)/2)</f>
        <v>4.1824001327134635E-6</v>
      </c>
    </row>
    <row r="8" spans="2:21" ht="13.9" customHeight="1" x14ac:dyDescent="0.2">
      <c r="B8" s="27">
        <v>2</v>
      </c>
      <c r="C8" s="30">
        <v>-1.367563698639101E-3</v>
      </c>
      <c r="D8" s="30">
        <v>41.088494976548297</v>
      </c>
      <c r="E8" s="30">
        <f>ABS(C8)/'İtme Analizi'!$C$17</f>
        <v>1.0087024952070808E-3</v>
      </c>
      <c r="F8" s="30">
        <f>ABS(D8)/'İtme Analizi'!$C$14</f>
        <v>2.3077481830950243E-2</v>
      </c>
      <c r="G8" s="30">
        <f>G7+(E8-E7)*((F8+F7)/2)</f>
        <v>1.1623802222408816E-5</v>
      </c>
      <c r="H8" s="47"/>
      <c r="I8" s="47"/>
      <c r="J8" s="47"/>
      <c r="K8" s="30">
        <f>'İtme Analizi'!$C$24</f>
        <v>3.0236817828442623E-2</v>
      </c>
      <c r="L8" s="30">
        <v>0</v>
      </c>
      <c r="P8" s="27">
        <v>2</v>
      </c>
      <c r="Q8" s="30">
        <v>-1.6408572319724347E-3</v>
      </c>
      <c r="R8" s="30">
        <v>49.306127795937115</v>
      </c>
      <c r="S8" s="30">
        <f>ABS(Q8)/'İtme Analizi'!$C$17</f>
        <v>1.2102813096137675E-3</v>
      </c>
      <c r="T8" s="30">
        <f>ABS(R8)/'İtme Analizi'!$C$14</f>
        <v>2.7692941029227185E-2</v>
      </c>
      <c r="U8" s="30">
        <f>U7+(S8-S7)*((T8+T7)/2)</f>
        <v>1.6738264574282528E-5</v>
      </c>
    </row>
    <row r="9" spans="2:21" ht="13.9" customHeight="1" x14ac:dyDescent="0.2">
      <c r="B9" s="27">
        <v>3</v>
      </c>
      <c r="C9" s="30">
        <v>-2.0507974319724344E-3</v>
      </c>
      <c r="D9" s="30">
        <v>61.633067450907596</v>
      </c>
      <c r="E9" s="30">
        <f>ABS(C9)/'İtme Analizi'!$C$17</f>
        <v>1.51264945746471E-3</v>
      </c>
      <c r="F9" s="30">
        <f>ABS(D9)/'İtme Analizi'!$C$14</f>
        <v>3.4616405275877456E-2</v>
      </c>
      <c r="G9" s="30">
        <f>G8+(E9-E8)*((F9+F8)/2)</f>
        <v>2.6161131796569022E-5</v>
      </c>
      <c r="H9" s="47"/>
      <c r="I9" s="47"/>
      <c r="J9" s="47"/>
      <c r="P9" s="27">
        <v>3</v>
      </c>
      <c r="Q9" s="30">
        <v>-2.4607377319724347E-3</v>
      </c>
      <c r="R9" s="30">
        <v>73.959832441178364</v>
      </c>
      <c r="S9" s="30">
        <f>ABS(Q9)/'İtme Analizi'!$C$17</f>
        <v>1.8150176790747395E-3</v>
      </c>
      <c r="T9" s="30">
        <f>ABS(R9)/'İtme Analizi'!$C$14</f>
        <v>4.1539771421552345E-2</v>
      </c>
      <c r="U9" s="30">
        <f t="shared" ref="U9:U72" si="0">U8+(S9-S8)*((T9+T8)/2)</f>
        <v>3.767203416199245E-5</v>
      </c>
    </row>
    <row r="10" spans="2:21" ht="13.9" customHeight="1" x14ac:dyDescent="0.2">
      <c r="B10" s="27">
        <v>4</v>
      </c>
      <c r="C10" s="30">
        <v>-2.7340311653057678E-3</v>
      </c>
      <c r="D10" s="30">
        <v>82.177654510664524</v>
      </c>
      <c r="E10" s="30">
        <f>ABS(C10)/'İtme Analizi'!$C$17</f>
        <v>2.0165964197223392E-3</v>
      </c>
      <c r="F10" s="30">
        <f>ABS(D10)/'İtme Analizi'!$C$14</f>
        <v>4.6155336912738903E-2</v>
      </c>
      <c r="G10" s="30">
        <f>G9+(E10-E9)*((F10+F9)/2)</f>
        <v>4.6513468852673821E-5</v>
      </c>
      <c r="H10" s="47"/>
      <c r="I10" s="47"/>
      <c r="J10" s="47"/>
      <c r="K10" s="82" t="s">
        <v>20</v>
      </c>
      <c r="L10" s="83"/>
      <c r="P10" s="27">
        <v>4</v>
      </c>
      <c r="Q10" s="30">
        <v>-3.2806182319724347E-3</v>
      </c>
      <c r="R10" s="30">
        <v>98.613019397852568</v>
      </c>
      <c r="S10" s="30">
        <f>ABS(Q10)/'İtme Analizi'!$C$17</f>
        <v>2.419754048535712E-3</v>
      </c>
      <c r="T10" s="30">
        <f>ABS(R10)/'İtme Analizi'!$C$14</f>
        <v>5.53863110524732E-2</v>
      </c>
      <c r="U10" s="30">
        <f t="shared" si="0"/>
        <v>6.6979397772700951E-5</v>
      </c>
    </row>
    <row r="11" spans="2:21" ht="13.9" customHeight="1" x14ac:dyDescent="0.2">
      <c r="B11" s="27">
        <v>5</v>
      </c>
      <c r="C11" s="30">
        <v>-3.4172648986391008E-3</v>
      </c>
      <c r="D11" s="30">
        <v>102.72193639412774</v>
      </c>
      <c r="E11" s="30">
        <f>ABS(C11)/'İtme Analizi'!$C$17</f>
        <v>2.5205433819799677E-3</v>
      </c>
      <c r="F11" s="30">
        <f>ABS(D11)/'İtme Analizi'!$C$14</f>
        <v>5.7694097146379637E-2</v>
      </c>
      <c r="G11" s="30">
        <f>G10+(E11-E10)*((F11+F10)/2)</f>
        <v>7.2680772265807173E-5</v>
      </c>
      <c r="H11" s="47"/>
      <c r="I11" s="47"/>
      <c r="J11" s="47"/>
      <c r="K11" s="84"/>
      <c r="L11" s="85"/>
      <c r="P11" s="27">
        <v>5</v>
      </c>
      <c r="Q11" s="30">
        <v>-4.1004987319724351E-3</v>
      </c>
      <c r="R11" s="30">
        <v>123.2583748592202</v>
      </c>
      <c r="S11" s="30">
        <f>ABS(Q11)/'İtme Analizi'!$C$17</f>
        <v>3.0244904179966845E-3</v>
      </c>
      <c r="T11" s="30">
        <f>ABS(R11)/'İtme Analizi'!$C$14</f>
        <v>6.9228452099538651E-2</v>
      </c>
      <c r="U11" s="30">
        <f t="shared" si="0"/>
        <v>1.0465893749759426E-4</v>
      </c>
    </row>
    <row r="12" spans="2:21" ht="13.9" customHeight="1" x14ac:dyDescent="0.2">
      <c r="B12" s="27">
        <v>6</v>
      </c>
      <c r="C12" s="30">
        <v>-4.1004986319724346E-3</v>
      </c>
      <c r="D12" s="30">
        <v>123.25840849354479</v>
      </c>
      <c r="E12" s="30">
        <f>ABS(C12)/'İtme Analizi'!$C$17</f>
        <v>3.0244903442375971E-3</v>
      </c>
      <c r="F12" s="30">
        <f>ABS(D12)/'İtme Analizi'!$C$14</f>
        <v>6.9228470990362348E-2</v>
      </c>
      <c r="G12" s="30">
        <f t="shared" ref="G12:G75" si="1">G11+(E12-E11)*((F12+F11)/2)</f>
        <v>1.0466189359303123E-4</v>
      </c>
      <c r="H12" s="47"/>
      <c r="I12" s="47"/>
      <c r="J12" s="47"/>
      <c r="K12" s="34" t="s">
        <v>950</v>
      </c>
      <c r="L12" s="34" t="s">
        <v>951</v>
      </c>
      <c r="P12" s="27">
        <v>6</v>
      </c>
      <c r="Q12" s="30">
        <v>-4.9203792319724351E-3</v>
      </c>
      <c r="R12" s="30">
        <v>147.90528345218004</v>
      </c>
      <c r="S12" s="30">
        <f>ABS(Q12)/'İtme Analizi'!$C$17</f>
        <v>3.6292267874576565E-3</v>
      </c>
      <c r="T12" s="30">
        <f>ABS(R12)/'İtme Analizi'!$C$14</f>
        <v>8.3071465467824943E-2</v>
      </c>
      <c r="U12" s="30">
        <f t="shared" si="0"/>
        <v>1.5070958710704065E-4</v>
      </c>
    </row>
    <row r="13" spans="2:21" ht="13.9" customHeight="1" x14ac:dyDescent="0.2">
      <c r="B13" s="27">
        <v>7</v>
      </c>
      <c r="C13" s="30">
        <v>-4.783732365305768E-3</v>
      </c>
      <c r="D13" s="30">
        <v>143.79747024470731</v>
      </c>
      <c r="E13" s="30">
        <f>ABS(C13)/'İtme Analizi'!$C$17</f>
        <v>3.5284373064952265E-3</v>
      </c>
      <c r="F13" s="30">
        <f>ABS(D13)/'İtme Analizi'!$C$14</f>
        <v>8.0764299320354796E-2</v>
      </c>
      <c r="G13" s="30">
        <f t="shared" si="1"/>
        <v>1.4245609407237734E-4</v>
      </c>
      <c r="H13" s="47"/>
      <c r="I13" s="47"/>
      <c r="J13" s="47"/>
      <c r="K13" s="25" t="s">
        <v>6</v>
      </c>
      <c r="L13" s="25" t="s">
        <v>952</v>
      </c>
      <c r="P13" s="27">
        <v>7</v>
      </c>
      <c r="Q13" s="30">
        <v>-5.7402597319724351E-3</v>
      </c>
      <c r="R13" s="30">
        <v>172.55028210709193</v>
      </c>
      <c r="S13" s="30">
        <f>ABS(Q13)/'İtme Analizi'!$C$17</f>
        <v>4.2339631569186286E-3</v>
      </c>
      <c r="T13" s="30">
        <f>ABS(R13)/'İtme Analizi'!$C$14</f>
        <v>9.6913406113427539E-2</v>
      </c>
      <c r="U13" s="30">
        <f t="shared" si="0"/>
        <v>2.051312860060136E-4</v>
      </c>
    </row>
    <row r="14" spans="2:21" ht="13.9" customHeight="1" x14ac:dyDescent="0.2">
      <c r="B14" s="27">
        <v>8</v>
      </c>
      <c r="C14" s="30">
        <v>-5.4669660986391005E-3</v>
      </c>
      <c r="D14" s="30">
        <v>164.33507651439135</v>
      </c>
      <c r="E14" s="30">
        <f>ABS(C14)/'İtme Analizi'!$C$17</f>
        <v>4.032384268752855E-3</v>
      </c>
      <c r="F14" s="30">
        <f>ABS(D14)/'İtme Analizi'!$C$14</f>
        <v>9.2299310174618468E-2</v>
      </c>
      <c r="G14" s="30">
        <f t="shared" si="1"/>
        <v>1.8606353421354345E-4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-6.5601402319724351E-3</v>
      </c>
      <c r="R14" s="30">
        <v>197.19599687055319</v>
      </c>
      <c r="S14" s="30">
        <f>ABS(Q14)/'İtme Analizi'!$C$17</f>
        <v>4.8386995263796006E-3</v>
      </c>
      <c r="T14" s="30">
        <f>ABS(R14)/'İtme Analizi'!$C$14</f>
        <v>0.11075574896363867</v>
      </c>
      <c r="U14" s="30">
        <f t="shared" si="0"/>
        <v>2.6792383145117992E-4</v>
      </c>
    </row>
    <row r="15" spans="2:21" ht="13.9" customHeight="1" x14ac:dyDescent="0.2">
      <c r="B15" s="27">
        <v>9</v>
      </c>
      <c r="C15" s="30">
        <v>-6.1501998319724339E-3</v>
      </c>
      <c r="D15" s="30">
        <v>184.87317160301197</v>
      </c>
      <c r="E15" s="30">
        <f>ABS(C15)/'İtme Analizi'!$C$17</f>
        <v>4.5363312310104835E-3</v>
      </c>
      <c r="F15" s="30">
        <f>ABS(D15)/'İtme Analizi'!$C$14</f>
        <v>0.10383459557556812</v>
      </c>
      <c r="G15" s="30">
        <f t="shared" si="1"/>
        <v>2.3548407721280874E-4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-7.3800207319724351E-3</v>
      </c>
      <c r="R15" s="30">
        <v>221.83905123382908</v>
      </c>
      <c r="S15" s="30">
        <f>ABS(Q15)/'İtme Analizi'!$C$17</f>
        <v>5.4434358958405735E-3</v>
      </c>
      <c r="T15" s="30">
        <f>ABS(R15)/'İtme Analizi'!$C$14</f>
        <v>0.12459659759175733</v>
      </c>
      <c r="U15" s="30">
        <f t="shared" si="0"/>
        <v>3.3908689325119539E-4</v>
      </c>
    </row>
    <row r="16" spans="2:21" ht="13.9" customHeight="1" x14ac:dyDescent="0.2">
      <c r="B16" s="27">
        <v>10</v>
      </c>
      <c r="C16" s="30">
        <v>-6.8334335653057673E-3</v>
      </c>
      <c r="D16" s="30">
        <v>205.41126681540948</v>
      </c>
      <c r="E16" s="30">
        <f>ABS(C16)/'İtme Analizi'!$C$17</f>
        <v>5.0402781932681129E-3</v>
      </c>
      <c r="F16" s="30">
        <f>ABS(D16)/'İtme Analizi'!$C$14</f>
        <v>0.11536988104603746</v>
      </c>
      <c r="G16" s="30">
        <f t="shared" si="1"/>
        <v>2.9071779226617456E-4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-8.1999012319724351E-3</v>
      </c>
      <c r="R16" s="30">
        <v>246.47665738843006</v>
      </c>
      <c r="S16" s="30">
        <f>ABS(Q16)/'İtme Analizi'!$C$17</f>
        <v>6.0481722653015456E-3</v>
      </c>
      <c r="T16" s="30">
        <f>ABS(R16)/'İtme Analizi'!$C$14</f>
        <v>0.1384343862164181</v>
      </c>
      <c r="U16" s="30">
        <f t="shared" si="0"/>
        <v>4.1861909435314727E-4</v>
      </c>
    </row>
    <row r="17" spans="2:21" ht="13.9" customHeight="1" x14ac:dyDescent="0.2">
      <c r="B17" s="27">
        <v>11</v>
      </c>
      <c r="C17" s="30">
        <v>-7.5166672986390999E-3</v>
      </c>
      <c r="D17" s="30">
        <v>225.9455335290055</v>
      </c>
      <c r="E17" s="30">
        <f>ABS(C17)/'İtme Analizi'!$C$17</f>
        <v>5.5442251555257414E-3</v>
      </c>
      <c r="F17" s="30">
        <f>ABS(D17)/'İtme Analizi'!$C$14</f>
        <v>0.12690301622816982</v>
      </c>
      <c r="G17" s="30">
        <f t="shared" si="1"/>
        <v>3.5176413757552016E-4</v>
      </c>
      <c r="H17" s="47"/>
      <c r="I17" s="47"/>
      <c r="J17" s="47"/>
      <c r="P17" s="27">
        <v>0</v>
      </c>
      <c r="Q17" s="30">
        <v>-8.1999012319724351E-3</v>
      </c>
      <c r="R17" s="30">
        <v>246.47665738843006</v>
      </c>
      <c r="S17" s="30">
        <f>ABS(Q17)/'İtme Analizi'!$C$17</f>
        <v>6.0481722653015456E-3</v>
      </c>
      <c r="T17" s="30">
        <f>ABS(R17)/'İtme Analizi'!$C$14</f>
        <v>0.1384343862164181</v>
      </c>
      <c r="U17" s="30">
        <f t="shared" si="0"/>
        <v>4.1861909435314727E-4</v>
      </c>
    </row>
    <row r="18" spans="2:21" ht="13.9" customHeight="1" x14ac:dyDescent="0.2">
      <c r="B18" s="27">
        <v>12</v>
      </c>
      <c r="C18" s="30">
        <v>-8.1999010319724341E-3</v>
      </c>
      <c r="D18" s="30">
        <v>246.47668804281648</v>
      </c>
      <c r="E18" s="30">
        <f>ABS(C18)/'İtme Analizi'!$C$17</f>
        <v>6.0481721177833708E-3</v>
      </c>
      <c r="F18" s="30">
        <f>ABS(D18)/'İtme Analizi'!$C$14</f>
        <v>0.13843440343355021</v>
      </c>
      <c r="G18" s="30">
        <f t="shared" si="1"/>
        <v>4.1862213088142094E-4</v>
      </c>
      <c r="H18" s="47"/>
      <c r="I18" s="47"/>
      <c r="J18" s="47"/>
      <c r="K18" s="52" t="s">
        <v>13</v>
      </c>
      <c r="L18" s="54"/>
      <c r="P18" s="27">
        <v>1</v>
      </c>
      <c r="Q18" s="30">
        <v>-9.0197817319724351E-3</v>
      </c>
      <c r="R18" s="30">
        <v>271.13343127739444</v>
      </c>
      <c r="S18" s="30">
        <f>ABS(Q18)/'İtme Analizi'!$C$17</f>
        <v>6.6529086347625176E-3</v>
      </c>
      <c r="T18" s="30">
        <f>ABS(R18)/'İtme Analizi'!$C$14</f>
        <v>0.15228294045908861</v>
      </c>
      <c r="U18" s="30">
        <f t="shared" si="0"/>
        <v>5.0652276468971988E-4</v>
      </c>
    </row>
    <row r="19" spans="2:21" ht="13.9" customHeight="1" x14ac:dyDescent="0.2">
      <c r="B19" s="27">
        <v>13</v>
      </c>
      <c r="C19" s="30">
        <v>-8.8831347653057675E-3</v>
      </c>
      <c r="D19" s="30">
        <v>267.00726821597618</v>
      </c>
      <c r="E19" s="30">
        <f>ABS(C19)/'İtme Analizi'!$C$17</f>
        <v>6.5521190800410002E-3</v>
      </c>
      <c r="F19" s="30">
        <f>ABS(D19)/'İtme Analizi'!$C$14</f>
        <v>0.14996546805870584</v>
      </c>
      <c r="G19" s="30">
        <f t="shared" si="1"/>
        <v>4.9129125045842747E-4</v>
      </c>
      <c r="H19" s="47"/>
      <c r="I19" s="47"/>
      <c r="J19" s="47"/>
      <c r="K19" s="30" t="s">
        <v>36</v>
      </c>
      <c r="L19" s="30">
        <f>VLOOKUP($L$16,$F$6:$G$100,2,FALSE)</f>
        <v>1.5112682641398208E-4</v>
      </c>
      <c r="P19" s="27">
        <v>2</v>
      </c>
      <c r="Q19" s="30">
        <v>-9.8396622319724351E-3</v>
      </c>
      <c r="R19" s="30">
        <v>295.7854302825254</v>
      </c>
      <c r="S19" s="30">
        <f>ABS(Q19)/'İtme Analizi'!$C$17</f>
        <v>7.2576450042234897E-3</v>
      </c>
      <c r="T19" s="30">
        <f>ABS(R19)/'İtme Analizi'!$C$14</f>
        <v>0.16612881287330633</v>
      </c>
      <c r="U19" s="30">
        <f t="shared" si="0"/>
        <v>6.0280034854168739E-4</v>
      </c>
    </row>
    <row r="20" spans="2:21" ht="13.9" customHeight="1" x14ac:dyDescent="0.2">
      <c r="B20" s="27">
        <v>14</v>
      </c>
      <c r="C20" s="30">
        <v>-9.5663684986391009E-3</v>
      </c>
      <c r="D20" s="30">
        <v>287.53476731212686</v>
      </c>
      <c r="E20" s="30">
        <f>ABS(C20)/'İtme Analizi'!$C$17</f>
        <v>7.0560660422986296E-3</v>
      </c>
      <c r="F20" s="30">
        <f>ABS(D20)/'İtme Analizi'!$C$14</f>
        <v>0.16149480218731402</v>
      </c>
      <c r="G20" s="30">
        <f t="shared" si="1"/>
        <v>5.6977097898563847E-4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-1.0659542731972435E-2</v>
      </c>
      <c r="R20" s="30">
        <v>320.43214462643897</v>
      </c>
      <c r="S20" s="30">
        <f>ABS(Q20)/'İtme Analizi'!$C$17</f>
        <v>7.8623813736844617E-3</v>
      </c>
      <c r="T20" s="30">
        <f>ABS(R20)/'İtme Analizi'!$C$14</f>
        <v>0.17997171714100768</v>
      </c>
      <c r="U20" s="30">
        <f t="shared" si="0"/>
        <v>7.0745013753637463E-4</v>
      </c>
    </row>
    <row r="21" spans="2:21" ht="13.9" customHeight="1" x14ac:dyDescent="0.2">
      <c r="B21" s="27">
        <v>15</v>
      </c>
      <c r="C21" s="30">
        <v>-1.0249602231972434E-2</v>
      </c>
      <c r="D21" s="30">
        <v>308.05775203254632</v>
      </c>
      <c r="E21" s="30">
        <f>ABS(C21)/'İtme Analizi'!$C$17</f>
        <v>7.5600130045562581E-3</v>
      </c>
      <c r="F21" s="30">
        <f>ABS(D21)/'İtme Analizi'!$C$14</f>
        <v>0.17302160080266055</v>
      </c>
      <c r="G21" s="30">
        <f t="shared" si="1"/>
        <v>6.5406024154171169E-4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-1.1479423231972435E-2</v>
      </c>
      <c r="R21" s="30">
        <v>345.0818891372644</v>
      </c>
      <c r="S21" s="30">
        <f>ABS(Q21)/'İtme Analizi'!$C$17</f>
        <v>8.4671177431454338E-3</v>
      </c>
      <c r="T21" s="30">
        <f>ABS(R21)/'İtme Analizi'!$C$14</f>
        <v>0.19381632331144102</v>
      </c>
      <c r="U21" s="30">
        <f t="shared" si="0"/>
        <v>8.2047174880194701E-4</v>
      </c>
    </row>
    <row r="22" spans="2:21" ht="13.9" customHeight="1" x14ac:dyDescent="0.2">
      <c r="B22" s="27">
        <v>16</v>
      </c>
      <c r="C22" s="30">
        <v>-1.0932835965305768E-2</v>
      </c>
      <c r="D22" s="30">
        <v>328.58258490797874</v>
      </c>
      <c r="E22" s="30">
        <f>ABS(C22)/'İtme Analizi'!$C$17</f>
        <v>8.0639599668138884E-3</v>
      </c>
      <c r="F22" s="30">
        <f>ABS(D22)/'İtme Analizi'!$C$14</f>
        <v>0.18454943744005575</v>
      </c>
      <c r="G22" s="30">
        <f t="shared" si="1"/>
        <v>7.441586607985736E-4</v>
      </c>
      <c r="H22" s="47"/>
      <c r="I22" s="47"/>
      <c r="J22" s="47"/>
      <c r="P22" s="27">
        <v>5</v>
      </c>
      <c r="Q22" s="30">
        <v>-1.2299303731972435E-2</v>
      </c>
      <c r="R22" s="30">
        <v>369.72627450091835</v>
      </c>
      <c r="S22" s="30">
        <f>ABS(Q22)/'İtme Analizi'!$C$17</f>
        <v>9.0718541126064058E-3</v>
      </c>
      <c r="T22" s="30">
        <f>ABS(R22)/'İtme Analizi'!$C$14</f>
        <v>0.20765791950008869</v>
      </c>
      <c r="U22" s="30">
        <f t="shared" si="0"/>
        <v>9.418647868169156E-4</v>
      </c>
    </row>
    <row r="23" spans="2:21" ht="13.9" customHeight="1" x14ac:dyDescent="0.2">
      <c r="B23" s="27">
        <v>17</v>
      </c>
      <c r="C23" s="30">
        <v>-1.1616069698639099E-2</v>
      </c>
      <c r="D23" s="30">
        <v>349.10753682900059</v>
      </c>
      <c r="E23" s="30">
        <f>ABS(C23)/'İtme Analizi'!$C$17</f>
        <v>8.567906929071516E-3</v>
      </c>
      <c r="F23" s="30">
        <f>ABS(D23)/'İtme Analizi'!$C$14</f>
        <v>0.19607734093977891</v>
      </c>
      <c r="G23" s="30">
        <f t="shared" si="1"/>
        <v>8.400665151577861E-4</v>
      </c>
      <c r="H23" s="47"/>
      <c r="I23" s="47"/>
      <c r="J23" s="47"/>
      <c r="K23" s="7" t="s">
        <v>953</v>
      </c>
      <c r="L23" s="30" t="e">
        <f>Spektrum!$C$4*9.8067/$L$15</f>
        <v>#DIV/0!</v>
      </c>
      <c r="P23" s="27">
        <v>6</v>
      </c>
      <c r="Q23" s="30">
        <v>-1.3119184231972435E-2</v>
      </c>
      <c r="R23" s="30">
        <v>394.37932738031208</v>
      </c>
      <c r="S23" s="30">
        <f>ABS(Q23)/'İtme Analizi'!$C$17</f>
        <v>9.6765904820673779E-3</v>
      </c>
      <c r="T23" s="30">
        <f>ABS(R23)/'İtme Analizi'!$C$14</f>
        <v>0.22150438382608523</v>
      </c>
      <c r="U23" s="30">
        <f t="shared" si="0"/>
        <v>1.0716298134284051E-3</v>
      </c>
    </row>
    <row r="24" spans="2:21" ht="13.9" customHeight="1" x14ac:dyDescent="0.2">
      <c r="B24" s="27">
        <v>18</v>
      </c>
      <c r="C24" s="30">
        <v>-1.2299303431972433E-2</v>
      </c>
      <c r="D24" s="30">
        <v>369.62779225647131</v>
      </c>
      <c r="E24" s="30">
        <f>ABS(C24)/'İtme Analizi'!$C$17</f>
        <v>9.0718538913291437E-3</v>
      </c>
      <c r="F24" s="30">
        <f>ABS(D24)/'İtme Analizi'!$C$14</f>
        <v>0.20760260663919672</v>
      </c>
      <c r="G24" s="30">
        <f t="shared" si="1"/>
        <v>9.4178315681115767E-4</v>
      </c>
      <c r="H24" s="47"/>
      <c r="I24" s="47"/>
      <c r="J24" s="47"/>
      <c r="K24" s="7" t="s">
        <v>954</v>
      </c>
      <c r="L24" s="30" t="e">
        <f>(1+($L$23-1)*'İtme Analizi'!$C$20/'İtme Analizi'!$C$18)/$L$23</f>
        <v>#DIV/0!</v>
      </c>
      <c r="P24" s="27">
        <v>7</v>
      </c>
      <c r="Q24" s="30">
        <v>-1.3939064731972435E-2</v>
      </c>
      <c r="R24" s="30">
        <v>419.02556595564573</v>
      </c>
      <c r="S24" s="30">
        <f>ABS(Q24)/'İtme Analizi'!$C$17</f>
        <v>1.0281326851528352E-2</v>
      </c>
      <c r="T24" s="30">
        <f>ABS(R24)/'İtme Analizi'!$C$14</f>
        <v>0.23534702087687429</v>
      </c>
      <c r="U24" s="30">
        <f t="shared" si="0"/>
        <v>1.2097671433600121E-3</v>
      </c>
    </row>
    <row r="25" spans="2:21" ht="13.9" customHeight="1" x14ac:dyDescent="0.2">
      <c r="B25" s="27">
        <v>19</v>
      </c>
      <c r="C25" s="30">
        <v>-1.2982537165305766E-2</v>
      </c>
      <c r="D25" s="30">
        <v>390.15543109688087</v>
      </c>
      <c r="E25" s="30">
        <f>ABS(C25)/'İtme Analizi'!$C$17</f>
        <v>9.5758008535867731E-3</v>
      </c>
      <c r="F25" s="30">
        <f>ABS(D25)/'İtme Analizi'!$C$14</f>
        <v>0.21913201925560541</v>
      </c>
      <c r="G25" s="30">
        <f t="shared" si="1"/>
        <v>1.0493089660160734E-3</v>
      </c>
      <c r="H25" s="47"/>
      <c r="I25" s="47"/>
      <c r="J25" s="47"/>
      <c r="P25" s="27">
        <v>8</v>
      </c>
      <c r="Q25" s="30">
        <v>-1.4758945231972435E-2</v>
      </c>
      <c r="R25" s="30">
        <v>443.67107562901379</v>
      </c>
      <c r="S25" s="30">
        <f>ABS(Q25)/'İtme Analizi'!$C$17</f>
        <v>1.0886063220989324E-2</v>
      </c>
      <c r="T25" s="30">
        <f>ABS(R25)/'İtme Analizi'!$C$14</f>
        <v>0.24918924853759253</v>
      </c>
      <c r="U25" s="30">
        <f t="shared" si="0"/>
        <v>1.356275495578946E-3</v>
      </c>
    </row>
    <row r="26" spans="2:21" ht="13.9" customHeight="1" x14ac:dyDescent="0.2">
      <c r="B26" s="27">
        <v>20</v>
      </c>
      <c r="C26" s="30">
        <v>-1.36657708986391E-2</v>
      </c>
      <c r="D26" s="30">
        <v>410.67773578416239</v>
      </c>
      <c r="E26" s="30">
        <f>ABS(C26)/'İtme Analizi'!$C$17</f>
        <v>1.0079747815844402E-2</v>
      </c>
      <c r="F26" s="30">
        <f>ABS(D26)/'İtme Analizi'!$C$14</f>
        <v>0.23065843592821117</v>
      </c>
      <c r="G26" s="30">
        <f t="shared" si="1"/>
        <v>1.1626442327872539E-3</v>
      </c>
      <c r="H26" s="47"/>
      <c r="I26" s="47"/>
      <c r="J26" s="47"/>
      <c r="P26" s="27">
        <v>9</v>
      </c>
      <c r="Q26" s="30">
        <v>-1.5578825731972435E-2</v>
      </c>
      <c r="R26" s="30">
        <v>468.31812510931485</v>
      </c>
      <c r="S26" s="30">
        <f>ABS(Q26)/'İtme Analizi'!$C$17</f>
        <v>1.1490799590450296E-2</v>
      </c>
      <c r="T26" s="30">
        <f>ABS(R26)/'İtme Analizi'!$C$14</f>
        <v>0.26303234103569506</v>
      </c>
      <c r="U26" s="30">
        <f t="shared" si="0"/>
        <v>1.5111550077979851E-3</v>
      </c>
    </row>
    <row r="27" spans="2:21" ht="13.9" customHeight="1" x14ac:dyDescent="0.2">
      <c r="B27" s="27">
        <v>21</v>
      </c>
      <c r="C27" s="30">
        <v>-1.4349004631972433E-2</v>
      </c>
      <c r="D27" s="30">
        <v>431.19901379750343</v>
      </c>
      <c r="E27" s="30">
        <f>ABS(C27)/'İtme Analizi'!$C$17</f>
        <v>1.0583694778102032E-2</v>
      </c>
      <c r="F27" s="30">
        <f>ABS(D27)/'İtme Analizi'!$C$14</f>
        <v>0.24218427596618425</v>
      </c>
      <c r="G27" s="30">
        <f t="shared" si="1"/>
        <v>1.2817880569296739E-3</v>
      </c>
      <c r="H27" s="47"/>
      <c r="I27" s="47"/>
      <c r="J27" s="47"/>
      <c r="P27" s="27">
        <v>10</v>
      </c>
      <c r="Q27" s="30">
        <v>-1.6398706231972433E-2</v>
      </c>
      <c r="R27" s="30">
        <v>492.95404406333836</v>
      </c>
      <c r="S27" s="30">
        <f>ABS(Q27)/'İtme Analizi'!$C$17</f>
        <v>1.2095535959911266E-2</v>
      </c>
      <c r="T27" s="30">
        <f>ABS(R27)/'İtme Analizi'!$C$14</f>
        <v>0.27686918203886973</v>
      </c>
      <c r="U27" s="30">
        <f t="shared" si="0"/>
        <v>1.6744040512632653E-3</v>
      </c>
    </row>
    <row r="28" spans="2:21" ht="13.9" customHeight="1" x14ac:dyDescent="0.2">
      <c r="B28" s="27">
        <v>22</v>
      </c>
      <c r="C28" s="30">
        <v>-1.5032238365305766E-2</v>
      </c>
      <c r="D28" s="30">
        <v>451.72184620688046</v>
      </c>
      <c r="E28" s="30">
        <f>ABS(C28)/'İtme Analizi'!$C$17</f>
        <v>1.1087641740359661E-2</v>
      </c>
      <c r="F28" s="30">
        <f>ABS(D28)/'İtme Analizi'!$C$14</f>
        <v>0.253710989035557</v>
      </c>
      <c r="G28" s="30">
        <f t="shared" si="1"/>
        <v>1.4067405131274588E-3</v>
      </c>
      <c r="H28" s="47"/>
      <c r="I28" s="47"/>
      <c r="J28" s="47"/>
      <c r="P28" s="27">
        <v>0</v>
      </c>
      <c r="Q28" s="30">
        <v>-1.6398706231972433E-2</v>
      </c>
      <c r="R28" s="30">
        <v>492.95404406333836</v>
      </c>
      <c r="S28" s="30">
        <f>ABS(Q28)/'İtme Analizi'!$C$17</f>
        <v>1.2095535959911266E-2</v>
      </c>
      <c r="T28" s="30">
        <f>ABS(R28)/'İtme Analizi'!$C$14</f>
        <v>0.27686918203886973</v>
      </c>
      <c r="U28" s="30">
        <f t="shared" si="0"/>
        <v>1.6744040512632653E-3</v>
      </c>
    </row>
    <row r="29" spans="2:21" ht="13.9" customHeight="1" x14ac:dyDescent="0.2">
      <c r="B29" s="27">
        <v>23</v>
      </c>
      <c r="C29" s="30">
        <v>-1.5715472098639098E-2</v>
      </c>
      <c r="D29" s="30">
        <v>472.23614323115646</v>
      </c>
      <c r="E29" s="30">
        <f>ABS(C29)/'İtme Analizi'!$C$17</f>
        <v>1.1591588702617289E-2</v>
      </c>
      <c r="F29" s="30">
        <f>ABS(D29)/'İtme Analizi'!$C$14</f>
        <v>0.26523290817916773</v>
      </c>
      <c r="G29" s="30">
        <f t="shared" si="1"/>
        <v>1.5375006134192063E-3</v>
      </c>
      <c r="H29" s="47"/>
      <c r="I29" s="47"/>
      <c r="J29" s="47"/>
      <c r="P29" s="27">
        <v>1</v>
      </c>
      <c r="Q29" s="30">
        <v>-1.7218586731972435E-2</v>
      </c>
      <c r="R29" s="30">
        <v>517.59314593863417</v>
      </c>
      <c r="S29" s="30">
        <f>ABS(Q29)/'İtme Analizi'!$C$17</f>
        <v>1.270027232937224E-2</v>
      </c>
      <c r="T29" s="30">
        <f>ABS(R29)/'İtme Analizi'!$C$14</f>
        <v>0.29070781073974111</v>
      </c>
      <c r="U29" s="30">
        <f t="shared" si="0"/>
        <v>1.8460212762645225E-3</v>
      </c>
    </row>
    <row r="30" spans="2:21" ht="13.9" customHeight="1" x14ac:dyDescent="0.2">
      <c r="B30" s="27">
        <v>24</v>
      </c>
      <c r="C30" s="30">
        <v>-1.6398705831972431E-2</v>
      </c>
      <c r="D30" s="30">
        <v>492.75595646152937</v>
      </c>
      <c r="E30" s="30">
        <f>ABS(C30)/'İtme Analizi'!$C$17</f>
        <v>1.2095535664874918E-2</v>
      </c>
      <c r="F30" s="30">
        <f>ABS(D30)/'İtme Analizi'!$C$14</f>
        <v>0.2767579255172013</v>
      </c>
      <c r="G30" s="30">
        <f t="shared" si="1"/>
        <v>1.6740679305255889E-3</v>
      </c>
      <c r="H30" s="47"/>
      <c r="I30" s="47"/>
      <c r="J30" s="47"/>
      <c r="P30" s="27">
        <v>2</v>
      </c>
      <c r="Q30" s="30">
        <v>-1.8038467231972433E-2</v>
      </c>
      <c r="R30" s="30">
        <v>542.23302753194116</v>
      </c>
      <c r="S30" s="30">
        <f>ABS(Q30)/'İtme Analizi'!$C$17</f>
        <v>1.330500869883321E-2</v>
      </c>
      <c r="T30" s="30">
        <f>ABS(R30)/'İtme Analizi'!$C$14</f>
        <v>0.30454687737167441</v>
      </c>
      <c r="U30" s="30">
        <f t="shared" si="0"/>
        <v>2.0260073557610823E-3</v>
      </c>
    </row>
    <row r="31" spans="2:21" ht="13.9" customHeight="1" x14ac:dyDescent="0.2">
      <c r="B31" s="27">
        <v>25</v>
      </c>
      <c r="C31" s="30">
        <v>-1.7081939565305768E-2</v>
      </c>
      <c r="D31" s="30">
        <v>513.27330002424628</v>
      </c>
      <c r="E31" s="30">
        <f>ABS(C31)/'İtme Analizi'!$C$17</f>
        <v>1.2599482627132549E-2</v>
      </c>
      <c r="F31" s="30">
        <f>ABS(D31)/'İtme Analizi'!$C$14</f>
        <v>0.28828155575866454</v>
      </c>
      <c r="G31" s="30">
        <f t="shared" si="1"/>
        <v>1.816442895597889E-3</v>
      </c>
      <c r="H31" s="47"/>
      <c r="I31" s="47"/>
      <c r="J31" s="47"/>
      <c r="P31" s="27">
        <v>3</v>
      </c>
      <c r="Q31" s="30">
        <v>-1.8858347731972435E-2</v>
      </c>
      <c r="R31" s="30">
        <v>566.87089416615231</v>
      </c>
      <c r="S31" s="30">
        <f>ABS(Q31)/'İtme Analizi'!$C$17</f>
        <v>1.3909745068294184E-2</v>
      </c>
      <c r="T31" s="30">
        <f>ABS(R31)/'İtme Analizi'!$C$14</f>
        <v>0.31838481229552368</v>
      </c>
      <c r="U31" s="30">
        <f t="shared" si="0"/>
        <v>2.2143620799768482E-3</v>
      </c>
    </row>
    <row r="32" spans="2:21" ht="13.9" customHeight="1" x14ac:dyDescent="0.2">
      <c r="B32" s="27">
        <v>26</v>
      </c>
      <c r="C32" s="30">
        <v>-1.7765173298639102E-2</v>
      </c>
      <c r="D32" s="30">
        <v>533.79119036062707</v>
      </c>
      <c r="E32" s="30">
        <f>ABS(C32)/'İtme Analizi'!$C$17</f>
        <v>1.3103429589390179E-2</v>
      </c>
      <c r="F32" s="30">
        <f>ABS(D32)/'İtme Analizi'!$C$14</f>
        <v>0.29980549309726778</v>
      </c>
      <c r="G32" s="30">
        <f t="shared" si="1"/>
        <v>1.9646252365048897E-3</v>
      </c>
      <c r="H32" s="47"/>
      <c r="I32" s="47"/>
      <c r="J32" s="47"/>
      <c r="P32" s="27">
        <v>4</v>
      </c>
      <c r="Q32" s="30">
        <v>-1.9678228231972433E-2</v>
      </c>
      <c r="R32" s="30">
        <v>591.4394200462408</v>
      </c>
      <c r="S32" s="30">
        <f>ABS(Q32)/'İtme Analizi'!$C$17</f>
        <v>1.4514481437755154E-2</v>
      </c>
      <c r="T32" s="30">
        <f>ABS(R32)/'İtme Analizi'!$C$14</f>
        <v>0.33218380176774898</v>
      </c>
      <c r="U32" s="30">
        <f t="shared" si="0"/>
        <v>2.4110733308537876E-3</v>
      </c>
    </row>
    <row r="33" spans="2:21" ht="13.9" customHeight="1" x14ac:dyDescent="0.2">
      <c r="B33" s="27">
        <v>27</v>
      </c>
      <c r="C33" s="30">
        <v>-1.8448407031972439E-2</v>
      </c>
      <c r="D33" s="30">
        <v>554.30779355966092</v>
      </c>
      <c r="E33" s="30">
        <f>ABS(C33)/'İtme Analizi'!$C$17</f>
        <v>1.360737655164781E-2</v>
      </c>
      <c r="F33" s="30">
        <f>ABS(D33)/'İtme Analizi'!$C$14</f>
        <v>0.31132870751115077</v>
      </c>
      <c r="G33" s="30">
        <f t="shared" si="1"/>
        <v>2.1186148484690689E-3</v>
      </c>
      <c r="H33" s="47"/>
      <c r="I33" s="47"/>
      <c r="J33" s="47"/>
      <c r="P33" s="27">
        <v>5</v>
      </c>
      <c r="Q33" s="30">
        <v>-2.0498108731972435E-2</v>
      </c>
      <c r="R33" s="30">
        <v>616.04017458144551</v>
      </c>
      <c r="S33" s="30">
        <f>ABS(Q33)/'İtme Analizi'!$C$17</f>
        <v>1.5119217807216128E-2</v>
      </c>
      <c r="T33" s="30">
        <f>ABS(R33)/'İtme Analizi'!$C$14</f>
        <v>0.34600089256501204</v>
      </c>
      <c r="U33" s="30">
        <f t="shared" si="0"/>
        <v>2.6161348057911846E-3</v>
      </c>
    </row>
    <row r="34" spans="2:21" ht="13.9" customHeight="1" x14ac:dyDescent="0.2">
      <c r="B34" s="27">
        <v>28</v>
      </c>
      <c r="C34" s="30">
        <v>-1.9131640765305772E-2</v>
      </c>
      <c r="D34" s="30">
        <v>574.77981749108926</v>
      </c>
      <c r="E34" s="30">
        <f>ABS(C34)/'İtme Analizi'!$C$17</f>
        <v>1.4111323513905439E-2</v>
      </c>
      <c r="F34" s="30">
        <f>ABS(D34)/'İtme Analizi'!$C$14</f>
        <v>0.32282688383982788</v>
      </c>
      <c r="G34" s="30">
        <f t="shared" si="1"/>
        <v>2.2784052403990772E-3</v>
      </c>
      <c r="H34" s="47"/>
      <c r="I34" s="47"/>
      <c r="J34" s="47"/>
      <c r="P34" s="27">
        <v>6</v>
      </c>
      <c r="Q34" s="30">
        <v>-2.1317989231972433E-2</v>
      </c>
      <c r="R34" s="30">
        <v>640.64268944062042</v>
      </c>
      <c r="S34" s="30">
        <f>ABS(Q34)/'İtme Analizi'!$C$17</f>
        <v>1.5723954176677098E-2</v>
      </c>
      <c r="T34" s="30">
        <f>ABS(R34)/'İtme Analizi'!$C$14</f>
        <v>0.35981897205374358</v>
      </c>
      <c r="U34" s="30">
        <f t="shared" si="0"/>
        <v>2.8295522770026746E-3</v>
      </c>
    </row>
    <row r="35" spans="2:21" ht="13.9" customHeight="1" x14ac:dyDescent="0.2">
      <c r="B35" s="27">
        <v>29</v>
      </c>
      <c r="C35" s="30">
        <v>-1.9814874498639105E-2</v>
      </c>
      <c r="D35" s="30">
        <v>595.26759972727314</v>
      </c>
      <c r="E35" s="30">
        <f>ABS(C35)/'İtme Analizi'!$C$17</f>
        <v>1.4615270476163069E-2</v>
      </c>
      <c r="F35" s="30">
        <f>ABS(D35)/'İtme Analizi'!$C$14</f>
        <v>0.33433391086970227</v>
      </c>
      <c r="G35" s="30">
        <f t="shared" si="1"/>
        <v>2.4439923335034157E-3</v>
      </c>
      <c r="H35" s="47"/>
      <c r="I35" s="47"/>
      <c r="J35" s="47"/>
      <c r="P35" s="27">
        <v>7</v>
      </c>
      <c r="Q35" s="30">
        <v>-2.2137869731972435E-2</v>
      </c>
      <c r="R35" s="30">
        <v>665.24361099303542</v>
      </c>
      <c r="S35" s="30">
        <f>ABS(Q35)/'İtme Analizi'!$C$17</f>
        <v>1.6328690546138072E-2</v>
      </c>
      <c r="T35" s="30">
        <f>ABS(R35)/'İtme Analizi'!$C$14</f>
        <v>0.37363615665674565</v>
      </c>
      <c r="U35" s="30">
        <f t="shared" si="0"/>
        <v>3.0513257728521309E-3</v>
      </c>
    </row>
    <row r="36" spans="2:21" ht="13.9" customHeight="1" x14ac:dyDescent="0.2">
      <c r="B36" s="27">
        <v>30</v>
      </c>
      <c r="C36" s="30">
        <v>-2.0498108231972442E-2</v>
      </c>
      <c r="D36" s="30">
        <v>615.75091370634095</v>
      </c>
      <c r="E36" s="30">
        <f>ABS(C36)/'İtme Analizi'!$C$17</f>
        <v>1.51192174384207E-2</v>
      </c>
      <c r="F36" s="30">
        <f>ABS(D36)/'İtme Analizi'!$C$14</f>
        <v>0.34583842828897954</v>
      </c>
      <c r="G36" s="30">
        <f t="shared" si="1"/>
        <v>2.6153777255687582E-3</v>
      </c>
      <c r="H36" s="47"/>
      <c r="I36" s="47"/>
      <c r="J36" s="47"/>
      <c r="P36" s="27">
        <v>8</v>
      </c>
      <c r="Q36" s="30">
        <v>-2.2957750231972433E-2</v>
      </c>
      <c r="R36" s="30">
        <v>689.82165667043625</v>
      </c>
      <c r="S36" s="30">
        <f>ABS(Q36)/'İtme Analizi'!$C$17</f>
        <v>1.6933426915599042E-2</v>
      </c>
      <c r="T36" s="30">
        <f>ABS(R36)/'İtme Analizi'!$C$14</f>
        <v>0.38744049295293309</v>
      </c>
      <c r="U36" s="30">
        <f t="shared" si="0"/>
        <v>3.2814511378353689E-3</v>
      </c>
    </row>
    <row r="37" spans="2:21" ht="13.9" customHeight="1" x14ac:dyDescent="0.2">
      <c r="B37" s="27">
        <v>31</v>
      </c>
      <c r="C37" s="30">
        <v>-2.1181341965305776E-2</v>
      </c>
      <c r="D37" s="30">
        <v>636.23800971388891</v>
      </c>
      <c r="E37" s="30">
        <f>ABS(C37)/'İtme Analizi'!$C$17</f>
        <v>1.5623164400678329E-2</v>
      </c>
      <c r="F37" s="30">
        <f>ABS(D37)/'İtme Analizi'!$C$14</f>
        <v>0.35734506989639231</v>
      </c>
      <c r="G37" s="30">
        <f t="shared" si="1"/>
        <v>2.7925613194788638E-3</v>
      </c>
      <c r="H37" s="47"/>
      <c r="I37" s="47"/>
      <c r="J37" s="47"/>
      <c r="P37" s="27">
        <v>9</v>
      </c>
      <c r="Q37" s="30">
        <v>-2.3777630731972435E-2</v>
      </c>
      <c r="R37" s="30">
        <v>714.38270881147059</v>
      </c>
      <c r="S37" s="30">
        <f>ABS(Q37)/'İtme Analizi'!$C$17</f>
        <v>1.7538163285060016E-2</v>
      </c>
      <c r="T37" s="30">
        <f>ABS(R37)/'İtme Analizi'!$C$14</f>
        <v>0.40123528477622217</v>
      </c>
      <c r="U37" s="30">
        <f t="shared" si="0"/>
        <v>3.5199216010882387E-3</v>
      </c>
    </row>
    <row r="38" spans="2:21" ht="13.9" customHeight="1" x14ac:dyDescent="0.2">
      <c r="B38" s="27">
        <v>32</v>
      </c>
      <c r="C38" s="30">
        <v>-2.1864575698639113E-2</v>
      </c>
      <c r="D38" s="30">
        <v>656.72380953095922</v>
      </c>
      <c r="E38" s="30">
        <f>ABS(C38)/'İtme Analizi'!$C$17</f>
        <v>1.6127111362935962E-2</v>
      </c>
      <c r="F38" s="30">
        <f>ABS(D38)/'İtme Analizi'!$C$14</f>
        <v>0.36885098349436557</v>
      </c>
      <c r="G38" s="30">
        <f t="shared" si="1"/>
        <v>2.9755434670337409E-3</v>
      </c>
      <c r="H38" s="47"/>
      <c r="I38" s="47"/>
      <c r="J38" s="47"/>
      <c r="P38" s="27">
        <v>10</v>
      </c>
      <c r="Q38" s="30">
        <v>-2.4597511231972433E-2</v>
      </c>
      <c r="R38" s="30">
        <v>738.94949155748475</v>
      </c>
      <c r="S38" s="30">
        <f>ABS(Q38)/'İtme Analizi'!$C$17</f>
        <v>1.814289965452099E-2</v>
      </c>
      <c r="T38" s="30">
        <f>ABS(R38)/'İtme Analizi'!$C$14</f>
        <v>0.41503329521173776</v>
      </c>
      <c r="U38" s="30">
        <f t="shared" si="0"/>
        <v>3.7667352498717303E-3</v>
      </c>
    </row>
    <row r="39" spans="2:21" ht="13.9" customHeight="1" x14ac:dyDescent="0.2">
      <c r="B39" s="27">
        <v>33</v>
      </c>
      <c r="C39" s="30">
        <v>-2.2547809431972446E-2</v>
      </c>
      <c r="D39" s="30">
        <v>677.20833098226876</v>
      </c>
      <c r="E39" s="30">
        <f>ABS(C39)/'İtme Analizi'!$C$17</f>
        <v>1.6631058325193591E-2</v>
      </c>
      <c r="F39" s="30">
        <f>ABS(D39)/'İtme Analizi'!$C$14</f>
        <v>0.38035617909420738</v>
      </c>
      <c r="G39" s="30">
        <f t="shared" si="1"/>
        <v>3.1643238038778256E-3</v>
      </c>
      <c r="H39" s="47"/>
      <c r="I39" s="47"/>
      <c r="J39" s="47"/>
      <c r="P39" s="27">
        <v>0</v>
      </c>
      <c r="Q39" s="30">
        <v>-2.4597511231972433E-2</v>
      </c>
      <c r="R39" s="30">
        <v>738.94949155748475</v>
      </c>
      <c r="S39" s="30">
        <f>ABS(Q39)/'İtme Analizi'!$C$17</f>
        <v>1.814289965452099E-2</v>
      </c>
      <c r="T39" s="30">
        <f>ABS(R39)/'İtme Analizi'!$C$14</f>
        <v>0.41503329521173776</v>
      </c>
      <c r="U39" s="30">
        <f t="shared" si="0"/>
        <v>3.7667352498717303E-3</v>
      </c>
    </row>
    <row r="40" spans="2:21" ht="13.9" customHeight="1" x14ac:dyDescent="0.2">
      <c r="B40" s="27">
        <v>34</v>
      </c>
      <c r="C40" s="30">
        <v>-2.3231043165305783E-2</v>
      </c>
      <c r="D40" s="30">
        <v>697.65363305188646</v>
      </c>
      <c r="E40" s="30">
        <f>ABS(C40)/'İtme Analizi'!$C$17</f>
        <v>1.7135005287451221E-2</v>
      </c>
      <c r="F40" s="30">
        <f>ABS(D40)/'İtme Analizi'!$C$14</f>
        <v>0.3918393470055459</v>
      </c>
      <c r="G40" s="30">
        <f t="shared" si="1"/>
        <v>3.358896598701277E-3</v>
      </c>
      <c r="H40" s="47"/>
      <c r="I40" s="47"/>
      <c r="J40" s="47"/>
      <c r="P40" s="27">
        <v>1</v>
      </c>
      <c r="Q40" s="30">
        <v>-2.5417391731972435E-2</v>
      </c>
      <c r="R40" s="30">
        <v>763.46077805202788</v>
      </c>
      <c r="S40" s="30">
        <f>ABS(Q40)/'İtme Analizi'!$C$17</f>
        <v>1.874763602398196E-2</v>
      </c>
      <c r="T40" s="30">
        <f>ABS(R40)/'İtme Analizi'!$C$14</f>
        <v>0.42880013600388384</v>
      </c>
      <c r="U40" s="30">
        <f t="shared" si="0"/>
        <v>4.0218836326832942E-3</v>
      </c>
    </row>
    <row r="41" spans="2:21" ht="13.9" customHeight="1" x14ac:dyDescent="0.2">
      <c r="B41" s="27">
        <v>35</v>
      </c>
      <c r="C41" s="30">
        <v>-2.3914276898639116E-2</v>
      </c>
      <c r="D41" s="30">
        <v>718.11131797185828</v>
      </c>
      <c r="E41" s="30">
        <f>ABS(C41)/'İtme Analizi'!$C$17</f>
        <v>1.763895224970885E-2</v>
      </c>
      <c r="F41" s="30">
        <f>ABS(D41)/'İtme Analizi'!$C$14</f>
        <v>0.40332946978355022</v>
      </c>
      <c r="G41" s="30">
        <f t="shared" si="1"/>
        <v>3.5592580535527061E-3</v>
      </c>
      <c r="H41" s="47"/>
      <c r="I41" s="47"/>
      <c r="J41" s="47"/>
      <c r="P41" s="27">
        <v>2</v>
      </c>
      <c r="Q41" s="30">
        <v>-2.6237272231972433E-2</v>
      </c>
      <c r="R41" s="30">
        <v>787.99303589057638</v>
      </c>
      <c r="S41" s="30">
        <f>ABS(Q41)/'İtme Analizi'!$C$17</f>
        <v>1.9352372393442934E-2</v>
      </c>
      <c r="T41" s="30">
        <f>ABS(R41)/'İtme Analizi'!$C$14</f>
        <v>0.44257875541704128</v>
      </c>
      <c r="U41" s="30">
        <f t="shared" si="0"/>
        <v>4.2853608862947036E-3</v>
      </c>
    </row>
    <row r="42" spans="2:21" ht="13.9" customHeight="1" x14ac:dyDescent="0.2">
      <c r="B42" s="27">
        <v>36</v>
      </c>
      <c r="C42" s="30">
        <v>-2.4597510631972453E-2</v>
      </c>
      <c r="D42" s="30">
        <v>738.56969502400557</v>
      </c>
      <c r="E42" s="30">
        <f>ABS(C42)/'İtme Analizi'!$C$17</f>
        <v>1.8142899211966483E-2</v>
      </c>
      <c r="F42" s="30">
        <f>ABS(D42)/'İtme Analizi'!$C$14</f>
        <v>0.41481998129975761</v>
      </c>
      <c r="G42" s="30">
        <f t="shared" si="1"/>
        <v>3.7654100188257975E-3</v>
      </c>
      <c r="H42" s="47"/>
      <c r="I42" s="47"/>
      <c r="J42" s="47"/>
      <c r="P42" s="27">
        <v>3</v>
      </c>
      <c r="Q42" s="30">
        <v>-2.7057152731972435E-2</v>
      </c>
      <c r="R42" s="30">
        <v>812.44022841141441</v>
      </c>
      <c r="S42" s="30">
        <f>ABS(Q42)/'İtme Analizi'!$C$17</f>
        <v>1.9957108762903908E-2</v>
      </c>
      <c r="T42" s="30">
        <f>ABS(R42)/'İtme Analizi'!$C$14</f>
        <v>0.45630959762821</v>
      </c>
      <c r="U42" s="30">
        <f t="shared" si="0"/>
        <v>4.5571561258803735E-3</v>
      </c>
    </row>
    <row r="43" spans="2:21" ht="13.9" customHeight="1" x14ac:dyDescent="0.2">
      <c r="B43" s="27">
        <v>37</v>
      </c>
      <c r="C43" s="30">
        <v>-2.5280744365305786E-2</v>
      </c>
      <c r="D43" s="30">
        <v>758.89672044841996</v>
      </c>
      <c r="E43" s="30">
        <f>ABS(C43)/'İtme Analizi'!$C$17</f>
        <v>1.8646846174224112E-2</v>
      </c>
      <c r="F43" s="30">
        <f>ABS(D43)/'İtme Analizi'!$C$14</f>
        <v>0.42623671876305308</v>
      </c>
      <c r="G43" s="30">
        <f t="shared" si="1"/>
        <v>3.9773340033673376E-3</v>
      </c>
      <c r="H43" s="47"/>
      <c r="I43" s="47"/>
      <c r="J43" s="47"/>
      <c r="P43" s="27">
        <v>4</v>
      </c>
      <c r="Q43" s="30">
        <v>-2.7877033231972433E-2</v>
      </c>
      <c r="R43" s="30">
        <v>836.65980559109437</v>
      </c>
      <c r="S43" s="30">
        <f>ABS(Q43)/'İtme Analizi'!$C$17</f>
        <v>2.0561845132364878E-2</v>
      </c>
      <c r="T43" s="30">
        <f>ABS(R43)/'İtme Analizi'!$C$14</f>
        <v>0.46991259897046833</v>
      </c>
      <c r="U43" s="30">
        <f t="shared" si="0"/>
        <v>4.8372162501229988E-3</v>
      </c>
    </row>
    <row r="44" spans="2:21" ht="13.9" customHeight="1" x14ac:dyDescent="0.2">
      <c r="B44" s="27">
        <v>38</v>
      </c>
      <c r="C44" s="30">
        <v>-2.596397809863912E-2</v>
      </c>
      <c r="D44" s="30">
        <v>779.28801828420683</v>
      </c>
      <c r="E44" s="30">
        <f>ABS(C44)/'İtme Analizi'!$C$17</f>
        <v>1.9150793136481742E-2</v>
      </c>
      <c r="F44" s="30">
        <f>ABS(D44)/'İtme Analizi'!$C$14</f>
        <v>0.43768955502740042</v>
      </c>
      <c r="G44" s="30">
        <f t="shared" si="1"/>
        <v>4.195020514012964E-3</v>
      </c>
      <c r="H44" s="47"/>
      <c r="I44" s="47"/>
      <c r="J44" s="47"/>
      <c r="P44" s="27">
        <v>5</v>
      </c>
      <c r="Q44" s="30">
        <v>-2.8696913731972435E-2</v>
      </c>
      <c r="R44" s="30">
        <v>860.92265089605394</v>
      </c>
      <c r="S44" s="30">
        <f>ABS(Q44)/'İtme Analizi'!$C$17</f>
        <v>2.1166581501825852E-2</v>
      </c>
      <c r="T44" s="30">
        <f>ABS(R44)/'İtme Analizi'!$C$14</f>
        <v>0.48353990199074065</v>
      </c>
      <c r="U44" s="30">
        <f t="shared" si="0"/>
        <v>5.1255099520653826E-3</v>
      </c>
    </row>
    <row r="45" spans="2:21" ht="13.9" customHeight="1" x14ac:dyDescent="0.2">
      <c r="B45" s="27">
        <v>39</v>
      </c>
      <c r="C45" s="30">
        <v>-2.6647211831972457E-2</v>
      </c>
      <c r="D45" s="30">
        <v>799.66339768018906</v>
      </c>
      <c r="E45" s="30">
        <f>ABS(C45)/'İtme Analizi'!$C$17</f>
        <v>1.9654740098739371E-2</v>
      </c>
      <c r="F45" s="30">
        <f>ABS(D45)/'İtme Analizi'!$C$14</f>
        <v>0.44913345065019894</v>
      </c>
      <c r="G45" s="30">
        <f t="shared" si="1"/>
        <v>4.4184763938986673E-3</v>
      </c>
      <c r="H45" s="47"/>
      <c r="I45" s="47"/>
      <c r="J45" s="47"/>
      <c r="P45" s="27">
        <v>6</v>
      </c>
      <c r="Q45" s="30">
        <v>-2.9516794231972433E-2</v>
      </c>
      <c r="R45" s="30">
        <v>885.18342803464122</v>
      </c>
      <c r="S45" s="30">
        <f>ABS(Q45)/'İtme Analizi'!$C$17</f>
        <v>2.1771317871286822E-2</v>
      </c>
      <c r="T45" s="30">
        <f>ABS(R45)/'İtme Analizi'!$C$14</f>
        <v>0.49716604341889559</v>
      </c>
      <c r="U45" s="30">
        <f t="shared" si="0"/>
        <v>5.4220442285332886E-3</v>
      </c>
    </row>
    <row r="46" spans="2:21" ht="13.9" customHeight="1" x14ac:dyDescent="0.2">
      <c r="B46" s="27">
        <v>40</v>
      </c>
      <c r="C46" s="30">
        <v>-2.733044556530579E-2</v>
      </c>
      <c r="D46" s="30">
        <v>819.95695975601086</v>
      </c>
      <c r="E46" s="30">
        <f>ABS(C46)/'İtme Analizi'!$C$17</f>
        <v>2.0158687060997001E-2</v>
      </c>
      <c r="F46" s="30">
        <f>ABS(D46)/'İtme Analizi'!$C$14</f>
        <v>0.4605313933190005</v>
      </c>
      <c r="G46" s="30">
        <f t="shared" si="1"/>
        <v>4.6476878112940868E-3</v>
      </c>
      <c r="H46" s="47"/>
      <c r="I46" s="47"/>
      <c r="J46" s="47"/>
      <c r="P46" s="27">
        <v>7</v>
      </c>
      <c r="Q46" s="30">
        <v>-3.0336674731972435E-2</v>
      </c>
      <c r="R46" s="30">
        <v>908.52135020455523</v>
      </c>
      <c r="S46" s="30">
        <f>ABS(Q46)/'İtme Analizi'!$C$17</f>
        <v>2.2376054240747796E-2</v>
      </c>
      <c r="T46" s="30">
        <f>ABS(R46)/'İtme Analizi'!$C$14</f>
        <v>0.51027386046490131</v>
      </c>
      <c r="U46" s="30">
        <f t="shared" si="0"/>
        <v>5.7266620034956885E-3</v>
      </c>
    </row>
    <row r="47" spans="2:21" ht="13.9" customHeight="1" x14ac:dyDescent="0.2">
      <c r="B47" s="27">
        <v>41</v>
      </c>
      <c r="C47" s="30">
        <v>-2.8013679298639127E-2</v>
      </c>
      <c r="D47" s="30">
        <v>839.99870849666297</v>
      </c>
      <c r="E47" s="30">
        <f>ABS(C47)/'İtme Analizi'!$C$17</f>
        <v>2.0662634023254633E-2</v>
      </c>
      <c r="F47" s="30">
        <f>ABS(D47)/'İtme Analizi'!$C$14</f>
        <v>0.47178790423980332</v>
      </c>
      <c r="G47" s="30">
        <f t="shared" si="1"/>
        <v>4.8826075502235514E-3</v>
      </c>
      <c r="H47" s="47"/>
      <c r="I47" s="47"/>
      <c r="J47" s="47"/>
      <c r="P47" s="27">
        <v>8</v>
      </c>
      <c r="Q47" s="30">
        <v>-3.1156555231972433E-2</v>
      </c>
      <c r="R47" s="30">
        <v>932.21205322755975</v>
      </c>
      <c r="S47" s="30">
        <f>ABS(Q47)/'İtme Analizi'!$C$17</f>
        <v>2.2980790610208766E-2</v>
      </c>
      <c r="T47" s="30">
        <f>ABS(R47)/'İtme Analizi'!$C$14</f>
        <v>0.52357981798142439</v>
      </c>
      <c r="U47" s="30">
        <f t="shared" si="0"/>
        <v>6.039266463524439E-3</v>
      </c>
    </row>
    <row r="48" spans="2:21" ht="13.9" customHeight="1" x14ac:dyDescent="0.2">
      <c r="B48" s="27">
        <v>42</v>
      </c>
      <c r="C48" s="30">
        <v>-2.869691303197246E-2</v>
      </c>
      <c r="D48" s="30">
        <v>860.16753219259056</v>
      </c>
      <c r="E48" s="30">
        <f>ABS(C48)/'İtme Analizi'!$C$17</f>
        <v>2.1166580985512263E-2</v>
      </c>
      <c r="F48" s="30">
        <f>ABS(D48)/'İtme Analizi'!$C$14</f>
        <v>0.48311578720704429</v>
      </c>
      <c r="G48" s="30">
        <f t="shared" si="1"/>
        <v>5.1232179575001688E-3</v>
      </c>
      <c r="H48" s="47"/>
      <c r="I48" s="47"/>
      <c r="J48" s="47"/>
      <c r="P48" s="27">
        <v>9</v>
      </c>
      <c r="Q48" s="30">
        <v>-3.1976435731972432E-2</v>
      </c>
      <c r="R48" s="30">
        <v>955.90391992920172</v>
      </c>
      <c r="S48" s="30">
        <f>ABS(Q48)/'İtme Analizi'!$C$17</f>
        <v>2.3585526979669737E-2</v>
      </c>
      <c r="T48" s="30">
        <f>ABS(R48)/'İtme Analizi'!$C$14</f>
        <v>0.53688642908169715</v>
      </c>
      <c r="U48" s="30">
        <f t="shared" si="0"/>
        <v>6.3599177176168649E-3</v>
      </c>
    </row>
    <row r="49" spans="2:21" ht="13.9" customHeight="1" x14ac:dyDescent="0.2">
      <c r="B49" s="27">
        <v>43</v>
      </c>
      <c r="C49" s="30">
        <v>-2.9380146765305797E-2</v>
      </c>
      <c r="D49" s="30">
        <v>880.33397701572926</v>
      </c>
      <c r="E49" s="30">
        <f>ABS(C49)/'İtme Analizi'!$C$17</f>
        <v>2.1670527947769892E-2</v>
      </c>
      <c r="F49" s="30">
        <f>ABS(D49)/'İtme Analizi'!$C$14</f>
        <v>0.49444233407293636</v>
      </c>
      <c r="G49" s="30">
        <f t="shared" si="1"/>
        <v>5.3695366803248297E-3</v>
      </c>
      <c r="H49" s="47"/>
      <c r="I49" s="47"/>
      <c r="J49" s="47"/>
      <c r="P49" s="27">
        <v>10</v>
      </c>
      <c r="Q49" s="30">
        <v>-3.2796316231972433E-2</v>
      </c>
      <c r="R49" s="30">
        <v>979.59699600431156</v>
      </c>
      <c r="S49" s="30">
        <f>ABS(Q49)/'İtme Analizi'!$C$17</f>
        <v>2.419026334913071E-2</v>
      </c>
      <c r="T49" s="30">
        <f>ABS(R49)/'İtme Analizi'!$C$14</f>
        <v>0.5501937194303641</v>
      </c>
      <c r="U49" s="30">
        <f t="shared" si="0"/>
        <v>6.6886161687790052E-3</v>
      </c>
    </row>
    <row r="50" spans="2:21" ht="13.9" customHeight="1" x14ac:dyDescent="0.2">
      <c r="B50" s="27">
        <v>44</v>
      </c>
      <c r="C50" s="30">
        <v>-3.0063380498639131E-2</v>
      </c>
      <c r="D50" s="30">
        <v>899.78889070821674</v>
      </c>
      <c r="E50" s="30">
        <f>ABS(C50)/'İtme Analizi'!$C$17</f>
        <v>2.2174474910027522E-2</v>
      </c>
      <c r="F50" s="30">
        <f>ABS(D50)/'İtme Analizi'!$C$14</f>
        <v>0.50536924725185273</v>
      </c>
      <c r="G50" s="30">
        <f t="shared" si="1"/>
        <v>5.621462684944142E-3</v>
      </c>
      <c r="H50" s="47"/>
      <c r="I50" s="47"/>
      <c r="J50" s="47"/>
      <c r="P50" s="27">
        <v>0</v>
      </c>
      <c r="Q50" s="30">
        <v>-3.2796316231972433E-2</v>
      </c>
      <c r="R50" s="30">
        <v>979.59699600431156</v>
      </c>
      <c r="S50" s="30">
        <f>ABS(Q50)/'İtme Analizi'!$C$17</f>
        <v>2.419026334913071E-2</v>
      </c>
      <c r="T50" s="30">
        <f>ABS(R50)/'İtme Analizi'!$C$14</f>
        <v>0.5501937194303641</v>
      </c>
      <c r="U50" s="30">
        <f t="shared" si="0"/>
        <v>6.6886161687790052E-3</v>
      </c>
    </row>
    <row r="51" spans="2:21" ht="13.9" customHeight="1" x14ac:dyDescent="0.2">
      <c r="B51" s="27">
        <v>45</v>
      </c>
      <c r="C51" s="30">
        <v>-3.0746614231972468E-2</v>
      </c>
      <c r="D51" s="30">
        <v>919.43894960369619</v>
      </c>
      <c r="E51" s="30">
        <f>ABS(C51)/'İtme Analizi'!$C$17</f>
        <v>2.2678421872285155E-2</v>
      </c>
      <c r="F51" s="30">
        <f>ABS(D51)/'İtme Analizi'!$C$14</f>
        <v>0.5164057643449308</v>
      </c>
      <c r="G51" s="30">
        <f t="shared" si="1"/>
        <v>5.8789228915466204E-3</v>
      </c>
      <c r="H51" s="47"/>
      <c r="I51" s="47"/>
      <c r="J51" s="47"/>
      <c r="P51" s="27">
        <v>1</v>
      </c>
      <c r="Q51" s="30">
        <v>-3.3616196731972435E-2</v>
      </c>
      <c r="R51" s="30">
        <v>1003.4823245215667</v>
      </c>
      <c r="S51" s="30">
        <f>ABS(Q51)/'İtme Analizi'!$C$17</f>
        <v>2.4794999718591684E-2</v>
      </c>
      <c r="T51" s="30">
        <f>ABS(R51)/'İtme Analizi'!$C$14</f>
        <v>0.56360898896500744</v>
      </c>
      <c r="U51" s="30">
        <f t="shared" si="0"/>
        <v>7.0253946718644138E-3</v>
      </c>
    </row>
    <row r="52" spans="2:21" ht="13.9" customHeight="1" x14ac:dyDescent="0.2">
      <c r="B52" s="27">
        <v>46</v>
      </c>
      <c r="C52" s="30">
        <v>-3.1429847965305804E-2</v>
      </c>
      <c r="D52" s="30">
        <v>939.13264888071114</v>
      </c>
      <c r="E52" s="30">
        <f>ABS(C52)/'İtme Analizi'!$C$17</f>
        <v>2.3182368834542787E-2</v>
      </c>
      <c r="F52" s="30">
        <f>ABS(D52)/'İtme Analizi'!$C$14</f>
        <v>0.52746679219491444</v>
      </c>
      <c r="G52" s="30">
        <f t="shared" si="1"/>
        <v>6.1419510934728021E-3</v>
      </c>
      <c r="H52" s="47"/>
      <c r="I52" s="47"/>
      <c r="J52" s="47"/>
      <c r="P52" s="27">
        <v>2</v>
      </c>
      <c r="Q52" s="30">
        <v>-3.4436077231972437E-2</v>
      </c>
      <c r="R52" s="30">
        <v>1027.3673442462793</v>
      </c>
      <c r="S52" s="30">
        <f>ABS(Q52)/'İtme Analizi'!$C$17</f>
        <v>2.5399736088052658E-2</v>
      </c>
      <c r="T52" s="30">
        <f>ABS(R52)/'İtme Analizi'!$C$14</f>
        <v>0.57702408506535252</v>
      </c>
      <c r="U52" s="30">
        <f t="shared" si="0"/>
        <v>7.3702858239025285E-3</v>
      </c>
    </row>
    <row r="53" spans="2:21" ht="13.9" customHeight="1" x14ac:dyDescent="0.2">
      <c r="B53" s="27">
        <v>47</v>
      </c>
      <c r="C53" s="30">
        <v>-3.2113081698639134E-2</v>
      </c>
      <c r="D53" s="30">
        <v>958.8271985540315</v>
      </c>
      <c r="E53" s="30">
        <f>ABS(C53)/'İtme Analizi'!$C$17</f>
        <v>2.3686315796800413E-2</v>
      </c>
      <c r="F53" s="30">
        <f>ABS(D53)/'İtme Analizi'!$C$14</f>
        <v>0.53852829767264498</v>
      </c>
      <c r="G53" s="30">
        <f t="shared" si="1"/>
        <v>6.4105535871329528E-3</v>
      </c>
      <c r="H53" s="47"/>
      <c r="I53" s="47"/>
      <c r="J53" s="47"/>
      <c r="P53" s="27">
        <v>3</v>
      </c>
      <c r="Q53" s="30">
        <v>-3.5255957731972432E-2</v>
      </c>
      <c r="R53" s="30">
        <v>1051.2502489911801</v>
      </c>
      <c r="S53" s="30">
        <f>ABS(Q53)/'İtme Analizi'!$C$17</f>
        <v>2.6004472457513625E-2</v>
      </c>
      <c r="T53" s="30">
        <f>ABS(R53)/'İtme Analizi'!$C$14</f>
        <v>0.59043799328066537</v>
      </c>
      <c r="U53" s="30">
        <f t="shared" si="0"/>
        <v>7.7232892132736916E-3</v>
      </c>
    </row>
    <row r="54" spans="2:21" ht="13.9" customHeight="1" x14ac:dyDescent="0.2">
      <c r="B54" s="27">
        <v>48</v>
      </c>
      <c r="C54" s="30">
        <v>-3.2796315431972464E-2</v>
      </c>
      <c r="D54" s="30">
        <v>978.52255478227835</v>
      </c>
      <c r="E54" s="30">
        <f>ABS(C54)/'İtme Analizi'!$C$17</f>
        <v>2.4190262759058039E-2</v>
      </c>
      <c r="F54" s="30">
        <f>ABS(D54)/'İtme Analizi'!$C$14</f>
        <v>0.5495902561544751</v>
      </c>
      <c r="G54" s="30">
        <f t="shared" si="1"/>
        <v>6.684730607021622E-3</v>
      </c>
      <c r="H54" s="47"/>
      <c r="I54" s="47"/>
      <c r="J54" s="47"/>
      <c r="P54" s="27">
        <v>4</v>
      </c>
      <c r="Q54" s="30">
        <v>-3.6075838231972426E-2</v>
      </c>
      <c r="R54" s="30">
        <v>1073.7751746779463</v>
      </c>
      <c r="S54" s="30">
        <f>ABS(Q54)/'İtme Analizi'!$C$17</f>
        <v>2.6609208826974595E-2</v>
      </c>
      <c r="T54" s="30">
        <f>ABS(R54)/'İtme Analizi'!$C$14</f>
        <v>0.60308918830682889</v>
      </c>
      <c r="U54" s="30">
        <f t="shared" si="0"/>
        <v>8.0841738605967953E-3</v>
      </c>
    </row>
    <row r="55" spans="2:21" ht="13.9" customHeight="1" x14ac:dyDescent="0.2">
      <c r="B55" s="27">
        <v>49</v>
      </c>
      <c r="C55" s="30">
        <v>-3.3479549165305801E-2</v>
      </c>
      <c r="D55" s="30">
        <v>998.21388091559049</v>
      </c>
      <c r="E55" s="30">
        <f>ABS(C55)/'İtme Analizi'!$C$17</f>
        <v>2.4694209721315672E-2</v>
      </c>
      <c r="F55" s="30">
        <f>ABS(D55)/'İtme Analizi'!$C$14</f>
        <v>0.56064995112086879</v>
      </c>
      <c r="G55" s="30">
        <f t="shared" si="1"/>
        <v>6.9644816969379689E-3</v>
      </c>
      <c r="H55" s="47"/>
      <c r="I55" s="47"/>
      <c r="J55" s="47"/>
      <c r="P55" s="27">
        <v>5</v>
      </c>
      <c r="Q55" s="30">
        <v>-3.6895718731972421E-2</v>
      </c>
      <c r="R55" s="30">
        <v>1096.5222059726016</v>
      </c>
      <c r="S55" s="30">
        <f>ABS(Q55)/'İtme Analizi'!$C$17</f>
        <v>2.7213945196435562E-2</v>
      </c>
      <c r="T55" s="30">
        <f>ABS(R55)/'İtme Analizi'!$C$14</f>
        <v>0.61586512964296403</v>
      </c>
      <c r="U55" s="30">
        <f t="shared" si="0"/>
        <v>8.4527468649846591E-3</v>
      </c>
    </row>
    <row r="56" spans="2:21" ht="13.9" customHeight="1" x14ac:dyDescent="0.2">
      <c r="B56" s="27">
        <v>50</v>
      </c>
      <c r="C56" s="30">
        <v>-3.4162782898639131E-2</v>
      </c>
      <c r="D56" s="30">
        <v>1017.9058997038405</v>
      </c>
      <c r="E56" s="30">
        <f>ABS(C56)/'İtme Analizi'!$C$17</f>
        <v>2.5198156683573298E-2</v>
      </c>
      <c r="F56" s="30">
        <f>ABS(D56)/'İtme Analizi'!$C$14</f>
        <v>0.57171003511907681</v>
      </c>
      <c r="G56" s="30">
        <f t="shared" si="1"/>
        <v>7.2498063845618226E-3</v>
      </c>
      <c r="H56" s="47"/>
      <c r="I56" s="47"/>
      <c r="J56" s="47"/>
      <c r="P56" s="27">
        <v>6</v>
      </c>
      <c r="Q56" s="30">
        <v>-3.7715599231972423E-2</v>
      </c>
      <c r="R56" s="30">
        <v>1119.3121609943332</v>
      </c>
      <c r="S56" s="30">
        <f>ABS(Q56)/'İtme Analizi'!$C$17</f>
        <v>2.7818681565896536E-2</v>
      </c>
      <c r="T56" s="30">
        <f>ABS(R56)/'İtme Analizi'!$C$14</f>
        <v>0.62866517922478415</v>
      </c>
      <c r="U56" s="30">
        <f t="shared" si="0"/>
        <v>8.8290532353190732E-3</v>
      </c>
    </row>
    <row r="57" spans="2:21" ht="13.9" customHeight="1" x14ac:dyDescent="0.2">
      <c r="B57" s="27">
        <v>51</v>
      </c>
      <c r="C57" s="30">
        <v>-3.4846016631972461E-2</v>
      </c>
      <c r="D57" s="30">
        <v>1037.5969571834992</v>
      </c>
      <c r="E57" s="30">
        <f>ABS(C57)/'İtme Analizi'!$C$17</f>
        <v>2.5702103645830924E-2</v>
      </c>
      <c r="F57" s="30">
        <f>ABS(D57)/'İtme Analizi'!$C$14</f>
        <v>0.58276957919530503</v>
      </c>
      <c r="G57" s="30">
        <f t="shared" si="1"/>
        <v>7.540704631872867E-3</v>
      </c>
      <c r="H57" s="47"/>
      <c r="I57" s="47"/>
      <c r="J57" s="47"/>
      <c r="P57" s="27">
        <v>7</v>
      </c>
      <c r="Q57" s="30">
        <v>-3.8535479731972418E-2</v>
      </c>
      <c r="R57" s="30">
        <v>1142.1062393595221</v>
      </c>
      <c r="S57" s="30">
        <f>ABS(Q57)/'İtme Analizi'!$C$17</f>
        <v>2.8423417935357503E-2</v>
      </c>
      <c r="T57" s="30">
        <f>ABS(R57)/'İtme Analizi'!$C$14</f>
        <v>0.64146754469536504</v>
      </c>
      <c r="U57" s="30">
        <f t="shared" si="0"/>
        <v>9.2131009614175932E-3</v>
      </c>
    </row>
    <row r="58" spans="2:21" ht="13.9" customHeight="1" x14ac:dyDescent="0.2">
      <c r="B58" s="27">
        <v>52</v>
      </c>
      <c r="C58" s="30">
        <v>-3.5529250365305791E-2</v>
      </c>
      <c r="D58" s="30">
        <v>1057.2859665711426</v>
      </c>
      <c r="E58" s="30">
        <f>ABS(C58)/'İtme Analizi'!$C$17</f>
        <v>2.620605060808855E-2</v>
      </c>
      <c r="F58" s="30">
        <f>ABS(D58)/'İtme Analizi'!$C$14</f>
        <v>0.59382797295424139</v>
      </c>
      <c r="G58" s="30">
        <f t="shared" si="1"/>
        <v>7.8371760129756288E-3</v>
      </c>
      <c r="H58" s="47"/>
      <c r="I58" s="47"/>
      <c r="J58" s="47"/>
      <c r="P58" s="27">
        <v>8</v>
      </c>
      <c r="Q58" s="30">
        <v>-3.9355360231972419E-2</v>
      </c>
      <c r="R58" s="30">
        <v>1164.8847922965087</v>
      </c>
      <c r="S58" s="30">
        <f>ABS(Q58)/'İtme Analizi'!$C$17</f>
        <v>2.9028154304818476E-2</v>
      </c>
      <c r="T58" s="30">
        <f>ABS(R58)/'İtme Analizi'!$C$14</f>
        <v>0.65426119026059404</v>
      </c>
      <c r="U58" s="30">
        <f t="shared" si="0"/>
        <v>9.604888106909357E-3</v>
      </c>
    </row>
    <row r="59" spans="2:21" ht="13.9" customHeight="1" x14ac:dyDescent="0.2">
      <c r="B59" s="27">
        <v>53</v>
      </c>
      <c r="C59" s="30">
        <v>-3.6212484098639121E-2</v>
      </c>
      <c r="D59" s="30">
        <v>1075.5058442102636</v>
      </c>
      <c r="E59" s="30">
        <f>ABS(C59)/'İtme Analizi'!$C$17</f>
        <v>2.6709997570346176E-2</v>
      </c>
      <c r="F59" s="30">
        <f>ABS(D59)/'İtme Analizi'!$C$14</f>
        <v>0.60406122426750908</v>
      </c>
      <c r="G59" s="30">
        <f t="shared" si="1"/>
        <v>8.1390123240061927E-3</v>
      </c>
      <c r="H59" s="47"/>
      <c r="I59" s="47"/>
      <c r="J59" s="47"/>
      <c r="P59" s="27">
        <v>9</v>
      </c>
      <c r="Q59" s="30">
        <v>-4.0175240731972421E-2</v>
      </c>
      <c r="R59" s="30">
        <v>1187.6730630685468</v>
      </c>
      <c r="S59" s="30">
        <f>ABS(Q59)/'İtme Analizi'!$C$17</f>
        <v>2.963289067427945E-2</v>
      </c>
      <c r="T59" s="30">
        <f>ABS(R59)/'İtme Analizi'!$C$14</f>
        <v>0.66706029387830112</v>
      </c>
      <c r="U59" s="30">
        <f t="shared" si="0"/>
        <v>1.0004413685513828E-2</v>
      </c>
    </row>
    <row r="60" spans="2:21" ht="13.9" customHeight="1" x14ac:dyDescent="0.2">
      <c r="B60" s="27">
        <v>54</v>
      </c>
      <c r="C60" s="30">
        <v>-3.6895717831972458E-2</v>
      </c>
      <c r="D60" s="30">
        <v>1094.2516901911331</v>
      </c>
      <c r="E60" s="30">
        <f>ABS(C60)/'İtme Analizi'!$C$17</f>
        <v>2.7213944532603809E-2</v>
      </c>
      <c r="F60" s="30">
        <f>ABS(D60)/'İtme Analizi'!$C$14</f>
        <v>0.61458988734646147</v>
      </c>
      <c r="G60" s="30">
        <f t="shared" si="1"/>
        <v>8.4460800868810665E-3</v>
      </c>
      <c r="H60" s="47"/>
      <c r="I60" s="47"/>
      <c r="J60" s="47"/>
      <c r="P60" s="27">
        <v>10</v>
      </c>
      <c r="Q60" s="30">
        <v>-4.0995121231972423E-2</v>
      </c>
      <c r="R60" s="30">
        <v>1210.4142246899157</v>
      </c>
      <c r="S60" s="30">
        <f>ABS(Q60)/'İtme Analizi'!$C$17</f>
        <v>3.0237627043740424E-2</v>
      </c>
      <c r="T60" s="30">
        <f>ABS(R60)/'İtme Analizi'!$C$14</f>
        <v>0.67983293849406001</v>
      </c>
      <c r="U60" s="30">
        <f t="shared" si="0"/>
        <v>1.0411671347212038E-2</v>
      </c>
    </row>
    <row r="61" spans="2:21" ht="13.9" customHeight="1" x14ac:dyDescent="0.2">
      <c r="B61" s="27">
        <v>55</v>
      </c>
      <c r="C61" s="30">
        <v>-3.7578951565305788E-2</v>
      </c>
      <c r="D61" s="30">
        <v>1113.0470594420322</v>
      </c>
      <c r="E61" s="30">
        <f>ABS(C61)/'İtme Analizi'!$C$17</f>
        <v>2.7717891494861435E-2</v>
      </c>
      <c r="F61" s="30">
        <f>ABS(D61)/'İtme Analizi'!$C$14</f>
        <v>0.62514636532505841</v>
      </c>
      <c r="G61" s="30">
        <f t="shared" si="1"/>
        <v>8.7584607461482986E-3</v>
      </c>
      <c r="H61" s="47"/>
      <c r="I61" s="47"/>
      <c r="J61" s="47"/>
      <c r="P61" s="27"/>
      <c r="Q61" s="30"/>
      <c r="R61" s="30"/>
      <c r="S61" s="30">
        <f>ABS(Q61)/'İtme Analizi'!$C$17</f>
        <v>0</v>
      </c>
      <c r="T61" s="30">
        <f>ABS(R61)/'İtme Analizi'!$C$14</f>
        <v>0</v>
      </c>
      <c r="U61" s="30">
        <f t="shared" si="0"/>
        <v>1.3340392409528362E-4</v>
      </c>
    </row>
    <row r="62" spans="2:21" ht="13.9" customHeight="1" x14ac:dyDescent="0.2">
      <c r="B62" s="27">
        <v>56</v>
      </c>
      <c r="C62" s="30">
        <v>-3.8262185298639118E-2</v>
      </c>
      <c r="D62" s="30">
        <v>1131.8459926355058</v>
      </c>
      <c r="E62" s="30">
        <f>ABS(C62)/'İtme Analizi'!$C$17</f>
        <v>2.822183845711906E-2</v>
      </c>
      <c r="F62" s="30">
        <f>ABS(D62)/'İtme Analizi'!$C$14</f>
        <v>0.63570484500315938</v>
      </c>
      <c r="G62" s="30">
        <f t="shared" si="1"/>
        <v>9.0761618148001762E-3</v>
      </c>
      <c r="H62" s="47"/>
      <c r="I62" s="47"/>
      <c r="J62" s="47"/>
      <c r="P62" s="27"/>
      <c r="Q62" s="30"/>
      <c r="R62" s="30"/>
      <c r="S62" s="30">
        <f>ABS(Q62)/'İtme Analizi'!$C$17</f>
        <v>0</v>
      </c>
      <c r="T62" s="30">
        <f>ABS(R62)/'İtme Analizi'!$C$14</f>
        <v>0</v>
      </c>
      <c r="U62" s="30">
        <f t="shared" si="0"/>
        <v>1.3340392409528362E-4</v>
      </c>
    </row>
    <row r="63" spans="2:21" ht="13.9" customHeight="1" x14ac:dyDescent="0.2">
      <c r="B63" s="27">
        <v>57</v>
      </c>
      <c r="C63" s="30">
        <v>-3.8945419031972447E-2</v>
      </c>
      <c r="D63" s="30">
        <v>1150.6345202020598</v>
      </c>
      <c r="E63" s="30">
        <f>ABS(C63)/'İtme Analizi'!$C$17</f>
        <v>2.8725785419376686E-2</v>
      </c>
      <c r="F63" s="30">
        <f>ABS(D63)/'İtme Analizi'!$C$14</f>
        <v>0.64625748032832597</v>
      </c>
      <c r="G63" s="30">
        <f t="shared" si="1"/>
        <v>9.399182324589939E-3</v>
      </c>
      <c r="H63" s="47"/>
      <c r="I63" s="47"/>
      <c r="J63" s="47"/>
      <c r="P63" s="27"/>
      <c r="Q63" s="30"/>
      <c r="R63" s="30"/>
      <c r="S63" s="30">
        <f>ABS(Q63)/'İtme Analizi'!$C$17</f>
        <v>0</v>
      </c>
      <c r="T63" s="30">
        <f>ABS(R63)/'İtme Analizi'!$C$14</f>
        <v>0</v>
      </c>
      <c r="U63" s="30">
        <f t="shared" si="0"/>
        <v>1.3340392409528362E-4</v>
      </c>
    </row>
    <row r="64" spans="2:21" ht="13.9" customHeight="1" x14ac:dyDescent="0.2">
      <c r="B64" s="27">
        <v>58</v>
      </c>
      <c r="C64" s="30">
        <v>-3.9628652765305784E-2</v>
      </c>
      <c r="D64" s="30">
        <v>1169.4250035446444</v>
      </c>
      <c r="E64" s="30">
        <f>ABS(C64)/'İtme Analizi'!$C$17</f>
        <v>2.9229732381634319E-2</v>
      </c>
      <c r="F64" s="30">
        <f>ABS(D64)/'İtme Analizi'!$C$14</f>
        <v>0.65681121412122279</v>
      </c>
      <c r="G64" s="30">
        <f t="shared" si="1"/>
        <v>9.7275210796803745E-3</v>
      </c>
      <c r="H64" s="47"/>
      <c r="I64" s="47"/>
      <c r="J64" s="47"/>
      <c r="P64" s="27"/>
      <c r="Q64" s="30"/>
      <c r="R64" s="30"/>
      <c r="S64" s="30">
        <f>ABS(Q64)/'İtme Analizi'!$C$17</f>
        <v>0</v>
      </c>
      <c r="T64" s="30">
        <f>ABS(R64)/'İtme Analizi'!$C$14</f>
        <v>0</v>
      </c>
      <c r="U64" s="30">
        <f t="shared" si="0"/>
        <v>1.3340392409528362E-4</v>
      </c>
    </row>
    <row r="65" spans="2:21" ht="13.9" customHeight="1" x14ac:dyDescent="0.2">
      <c r="B65" s="27">
        <v>59</v>
      </c>
      <c r="C65" s="30">
        <v>-4.0311886498639114E-2</v>
      </c>
      <c r="D65" s="30">
        <v>1188.2191879275997</v>
      </c>
      <c r="E65" s="30">
        <f>ABS(C65)/'İtme Analizi'!$C$17</f>
        <v>2.9733679343891945E-2</v>
      </c>
      <c r="F65" s="30">
        <f>ABS(D65)/'İtme Analizi'!$C$14</f>
        <v>0.66736702661503</v>
      </c>
      <c r="G65" s="30">
        <f t="shared" si="1"/>
        <v>1.0061178880633716E-2</v>
      </c>
      <c r="H65" s="47"/>
      <c r="I65" s="47"/>
      <c r="J65" s="47"/>
      <c r="P65" s="27"/>
      <c r="Q65" s="30"/>
      <c r="R65" s="30"/>
      <c r="S65" s="30">
        <f>ABS(Q65)/'İtme Analizi'!$C$17</f>
        <v>0</v>
      </c>
      <c r="T65" s="30">
        <f>ABS(R65)/'İtme Analizi'!$C$14</f>
        <v>0</v>
      </c>
      <c r="U65" s="30">
        <f t="shared" si="0"/>
        <v>1.3340392409528362E-4</v>
      </c>
    </row>
    <row r="66" spans="2:21" ht="13.9" customHeight="1" x14ac:dyDescent="0.2">
      <c r="B66" s="27">
        <v>60</v>
      </c>
      <c r="C66" s="30">
        <v>-4.099512023197243E-2</v>
      </c>
      <c r="D66" s="30">
        <v>1206.9703409845717</v>
      </c>
      <c r="E66" s="30">
        <f>ABS(C66)/'İtme Analizi'!$C$17</f>
        <v>3.0237626306149564E-2</v>
      </c>
      <c r="F66" s="30">
        <f>ABS(D66)/'İtme Analizi'!$C$14</f>
        <v>0.67789867042988916</v>
      </c>
      <c r="G66" s="30">
        <f t="shared" si="1"/>
        <v>1.0400150161361298E-2</v>
      </c>
      <c r="H66" s="47"/>
      <c r="I66" s="47"/>
      <c r="J66" s="47"/>
      <c r="P66" s="27"/>
      <c r="Q66" s="30"/>
      <c r="R66" s="30"/>
      <c r="S66" s="30">
        <f>ABS(Q66)/'İtme Analizi'!$C$17</f>
        <v>0</v>
      </c>
      <c r="T66" s="30">
        <f>ABS(R66)/'İtme Analizi'!$C$14</f>
        <v>0</v>
      </c>
      <c r="U66" s="30">
        <f t="shared" si="0"/>
        <v>1.3340392409528362E-4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1.5112682641398208E-4</v>
      </c>
      <c r="H67" s="47"/>
      <c r="I67" s="47"/>
      <c r="J67" s="47"/>
      <c r="P67" s="27"/>
      <c r="Q67" s="30"/>
      <c r="R67" s="30"/>
      <c r="S67" s="30">
        <f>ABS(Q67)/'İtme Analizi'!$C$17</f>
        <v>0</v>
      </c>
      <c r="T67" s="30">
        <f>ABS(R67)/'İtme Analizi'!$C$14</f>
        <v>0</v>
      </c>
      <c r="U67" s="30">
        <f t="shared" si="0"/>
        <v>1.3340392409528362E-4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1.5112682641398208E-4</v>
      </c>
      <c r="H68" s="47"/>
      <c r="I68" s="47"/>
      <c r="J68" s="47"/>
      <c r="P68" s="27"/>
      <c r="Q68" s="30"/>
      <c r="R68" s="30"/>
      <c r="S68" s="30">
        <f>ABS(Q68)/'İtme Analizi'!$C$17</f>
        <v>0</v>
      </c>
      <c r="T68" s="30">
        <f>ABS(R68)/'İtme Analizi'!$C$14</f>
        <v>0</v>
      </c>
      <c r="U68" s="30">
        <f t="shared" si="0"/>
        <v>1.3340392409528362E-4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1.5112682641398208E-4</v>
      </c>
      <c r="H69" s="47"/>
      <c r="I69" s="47"/>
      <c r="J69" s="47"/>
      <c r="P69" s="27"/>
      <c r="Q69" s="30"/>
      <c r="R69" s="30"/>
      <c r="S69" s="30">
        <f>ABS(Q69)/'İtme Analizi'!$C$17</f>
        <v>0</v>
      </c>
      <c r="T69" s="30">
        <f>ABS(R69)/'İtme Analizi'!$C$14</f>
        <v>0</v>
      </c>
      <c r="U69" s="30">
        <f t="shared" si="0"/>
        <v>1.3340392409528362E-4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1.5112682641398208E-4</v>
      </c>
      <c r="H70" s="47"/>
      <c r="I70" s="47"/>
      <c r="J70" s="47"/>
      <c r="P70" s="27"/>
      <c r="Q70" s="30"/>
      <c r="R70" s="30"/>
      <c r="S70" s="30">
        <f>ABS(Q70)/'İtme Analizi'!$C$17</f>
        <v>0</v>
      </c>
      <c r="T70" s="30">
        <f>ABS(R70)/'İtme Analizi'!$C$14</f>
        <v>0</v>
      </c>
      <c r="U70" s="30">
        <f t="shared" si="0"/>
        <v>1.3340392409528362E-4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1.5112682641398208E-4</v>
      </c>
      <c r="H71" s="47"/>
      <c r="I71" s="47"/>
      <c r="J71" s="47"/>
      <c r="P71" s="27"/>
      <c r="Q71" s="30"/>
      <c r="R71" s="30"/>
      <c r="S71" s="30">
        <f>ABS(Q71)/'İtme Analizi'!$C$17</f>
        <v>0</v>
      </c>
      <c r="T71" s="30">
        <f>ABS(R71)/'İtme Analizi'!$C$14</f>
        <v>0</v>
      </c>
      <c r="U71" s="30">
        <f t="shared" si="0"/>
        <v>1.3340392409528362E-4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1.5112682641398208E-4</v>
      </c>
      <c r="H72" s="47"/>
      <c r="I72" s="47"/>
      <c r="J72" s="47"/>
      <c r="P72" s="27"/>
      <c r="Q72" s="30"/>
      <c r="R72" s="30"/>
      <c r="S72" s="30">
        <f>ABS(Q72)/'İtme Analizi'!$C$17</f>
        <v>0</v>
      </c>
      <c r="T72" s="30">
        <f>ABS(R72)/'İtme Analizi'!$C$14</f>
        <v>0</v>
      </c>
      <c r="U72" s="30">
        <f t="shared" si="0"/>
        <v>1.3340392409528362E-4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1.5112682641398208E-4</v>
      </c>
      <c r="H73" s="47"/>
      <c r="I73" s="47"/>
      <c r="J73" s="47"/>
      <c r="P73" s="27"/>
      <c r="Q73" s="30"/>
      <c r="R73" s="30"/>
      <c r="S73" s="30">
        <f>ABS(Q73)/'İtme Analizi'!$C$17</f>
        <v>0</v>
      </c>
      <c r="T73" s="30">
        <f>ABS(R73)/'İtme Analizi'!$C$14</f>
        <v>0</v>
      </c>
      <c r="U73" s="30">
        <f t="shared" ref="U73:U84" si="2">U72+(S73-S72)*((T73+T72)/2)</f>
        <v>1.3340392409528362E-4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1.5112682641398208E-4</v>
      </c>
      <c r="H74" s="47"/>
      <c r="I74" s="47"/>
      <c r="J74" s="47"/>
      <c r="P74" s="27"/>
      <c r="Q74" s="30"/>
      <c r="R74" s="30"/>
      <c r="S74" s="30">
        <f>ABS(Q74)/'İtme Analizi'!$C$17</f>
        <v>0</v>
      </c>
      <c r="T74" s="30">
        <f>ABS(R74)/'İtme Analizi'!$C$14</f>
        <v>0</v>
      </c>
      <c r="U74" s="30">
        <f t="shared" si="2"/>
        <v>1.3340392409528362E-4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1.5112682641398208E-4</v>
      </c>
      <c r="H75" s="47"/>
      <c r="I75" s="47"/>
      <c r="J75" s="47"/>
      <c r="P75" s="27"/>
      <c r="Q75" s="30"/>
      <c r="R75" s="30"/>
      <c r="S75" s="30">
        <f>ABS(Q75)/'İtme Analizi'!$C$17</f>
        <v>0</v>
      </c>
      <c r="T75" s="30">
        <f>ABS(R75)/'İtme Analizi'!$C$14</f>
        <v>0</v>
      </c>
      <c r="U75" s="30">
        <f t="shared" si="2"/>
        <v>1.3340392409528362E-4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1.5112682641398208E-4</v>
      </c>
      <c r="H76" s="47"/>
      <c r="I76" s="47"/>
      <c r="J76" s="47"/>
      <c r="P76" s="27"/>
      <c r="Q76" s="30"/>
      <c r="R76" s="30"/>
      <c r="S76" s="30">
        <f>ABS(Q76)/'İtme Analizi'!$C$17</f>
        <v>0</v>
      </c>
      <c r="T76" s="30">
        <f>ABS(R76)/'İtme Analizi'!$C$14</f>
        <v>0</v>
      </c>
      <c r="U76" s="30">
        <f t="shared" si="2"/>
        <v>1.3340392409528362E-4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1.5112682641398208E-4</v>
      </c>
      <c r="H77" s="47"/>
      <c r="I77" s="47"/>
      <c r="J77" s="47"/>
      <c r="P77" s="27"/>
      <c r="Q77" s="30"/>
      <c r="R77" s="30"/>
      <c r="S77" s="30">
        <f>ABS(Q77)/'İtme Analizi'!$C$17</f>
        <v>0</v>
      </c>
      <c r="T77" s="30">
        <f>ABS(R77)/'İtme Analizi'!$C$14</f>
        <v>0</v>
      </c>
      <c r="U77" s="30">
        <f t="shared" si="2"/>
        <v>1.3340392409528362E-4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1.5112682641398208E-4</v>
      </c>
      <c r="H78" s="47"/>
      <c r="I78" s="47"/>
      <c r="J78" s="47"/>
      <c r="P78" s="27"/>
      <c r="Q78" s="30"/>
      <c r="R78" s="30"/>
      <c r="S78" s="30">
        <f>ABS(Q78)/'İtme Analizi'!$C$17</f>
        <v>0</v>
      </c>
      <c r="T78" s="30">
        <f>ABS(R78)/'İtme Analizi'!$C$14</f>
        <v>0</v>
      </c>
      <c r="U78" s="30">
        <f t="shared" si="2"/>
        <v>1.3340392409528362E-4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1.5112682641398208E-4</v>
      </c>
      <c r="H79" s="47"/>
      <c r="I79" s="47"/>
      <c r="J79" s="47"/>
      <c r="P79" s="27"/>
      <c r="Q79" s="30"/>
      <c r="R79" s="30"/>
      <c r="S79" s="30">
        <f>ABS(Q79)/'İtme Analizi'!$C$17</f>
        <v>0</v>
      </c>
      <c r="T79" s="30">
        <f>ABS(R79)/'İtme Analizi'!$C$14</f>
        <v>0</v>
      </c>
      <c r="U79" s="30">
        <f t="shared" si="2"/>
        <v>1.3340392409528362E-4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1.5112682641398208E-4</v>
      </c>
      <c r="H80" s="47"/>
      <c r="I80" s="47"/>
      <c r="J80" s="47"/>
      <c r="P80" s="27"/>
      <c r="Q80" s="30"/>
      <c r="R80" s="30"/>
      <c r="S80" s="30">
        <f>ABS(Q80)/'İtme Analizi'!$C$17</f>
        <v>0</v>
      </c>
      <c r="T80" s="30">
        <f>ABS(R80)/'İtme Analizi'!$C$14</f>
        <v>0</v>
      </c>
      <c r="U80" s="30">
        <f t="shared" si="2"/>
        <v>1.3340392409528362E-4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1.5112682641398208E-4</v>
      </c>
      <c r="H81" s="47"/>
      <c r="I81" s="47"/>
      <c r="J81" s="47"/>
      <c r="P81" s="27"/>
      <c r="Q81" s="30"/>
      <c r="R81" s="30"/>
      <c r="S81" s="30">
        <f>ABS(Q81)/'İtme Analizi'!$C$17</f>
        <v>0</v>
      </c>
      <c r="T81" s="30">
        <f>ABS(R81)/'İtme Analizi'!$C$14</f>
        <v>0</v>
      </c>
      <c r="U81" s="30">
        <f t="shared" si="2"/>
        <v>1.3340392409528362E-4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1.5112682641398208E-4</v>
      </c>
      <c r="H82" s="47"/>
      <c r="I82" s="47"/>
      <c r="J82" s="47"/>
      <c r="P82" s="27"/>
      <c r="Q82" s="30"/>
      <c r="R82" s="30"/>
      <c r="S82" s="30">
        <f>ABS(Q82)/'İtme Analizi'!$C$17</f>
        <v>0</v>
      </c>
      <c r="T82" s="30">
        <f>ABS(R82)/'İtme Analizi'!$C$14</f>
        <v>0</v>
      </c>
      <c r="U82" s="30">
        <f t="shared" si="2"/>
        <v>1.3340392409528362E-4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1.5112682641398208E-4</v>
      </c>
      <c r="H83" s="47"/>
      <c r="I83" s="47"/>
      <c r="J83" s="47"/>
      <c r="P83" s="27"/>
      <c r="Q83" s="30"/>
      <c r="R83" s="30"/>
      <c r="S83" s="30">
        <f>ABS(Q83)/'İtme Analizi'!$C$17</f>
        <v>0</v>
      </c>
      <c r="T83" s="30">
        <f>ABS(R83)/'İtme Analizi'!$C$14</f>
        <v>0</v>
      </c>
      <c r="U83" s="30">
        <f t="shared" si="2"/>
        <v>1.3340392409528362E-4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1.5112682641398208E-4</v>
      </c>
      <c r="H84" s="47"/>
      <c r="I84" s="47"/>
      <c r="J84" s="48"/>
      <c r="P84" s="27"/>
      <c r="Q84" s="30"/>
      <c r="R84" s="30"/>
      <c r="S84" s="30">
        <f>ABS(Q84)/'İtme Analizi'!$C$17</f>
        <v>0</v>
      </c>
      <c r="T84" s="30">
        <f>ABS(R84)/'İtme Analizi'!$C$14</f>
        <v>0</v>
      </c>
      <c r="U84" s="30">
        <f t="shared" si="2"/>
        <v>1.3340392409528362E-4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1.5112682641398208E-4</v>
      </c>
      <c r="H85" s="47"/>
      <c r="I85" s="47"/>
      <c r="J85" s="47"/>
      <c r="P85" s="27"/>
      <c r="Q85" s="30"/>
      <c r="R85" s="30"/>
      <c r="S85" s="30">
        <f>ABS(Q85)/'İtme Analizi'!$C$17</f>
        <v>0</v>
      </c>
      <c r="T85" s="30">
        <f>ABS(R85)/'İtme Analizi'!$C$14</f>
        <v>0</v>
      </c>
      <c r="U85" s="30">
        <f t="shared" ref="U85:U106" si="4">U84+(S85-S84)*((T85+T84)/2)</f>
        <v>1.3340392409528362E-4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1.5112682641398208E-4</v>
      </c>
      <c r="H86" s="47"/>
      <c r="I86" s="47"/>
      <c r="J86" s="47"/>
      <c r="P86" s="27"/>
      <c r="Q86" s="30"/>
      <c r="R86" s="30"/>
      <c r="S86" s="30">
        <f>ABS(Q86)/'İtme Analizi'!$C$17</f>
        <v>0</v>
      </c>
      <c r="T86" s="30">
        <f>ABS(R86)/'İtme Analizi'!$C$14</f>
        <v>0</v>
      </c>
      <c r="U86" s="30">
        <f t="shared" si="4"/>
        <v>1.3340392409528362E-4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1.5112682641398208E-4</v>
      </c>
      <c r="P87" s="27"/>
      <c r="Q87" s="30"/>
      <c r="R87" s="30"/>
      <c r="S87" s="30">
        <f>ABS(Q87)/'İtme Analizi'!$C$17</f>
        <v>0</v>
      </c>
      <c r="T87" s="30">
        <f>ABS(R87)/'İtme Analizi'!$C$14</f>
        <v>0</v>
      </c>
      <c r="U87" s="30">
        <f t="shared" si="4"/>
        <v>1.3340392409528362E-4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1.5112682641398208E-4</v>
      </c>
      <c r="P88" s="27"/>
      <c r="Q88" s="30"/>
      <c r="R88" s="30"/>
      <c r="S88" s="30">
        <f>ABS(Q88)/'İtme Analizi'!$C$17</f>
        <v>0</v>
      </c>
      <c r="T88" s="30">
        <f>ABS(R88)/'İtme Analizi'!$C$14</f>
        <v>0</v>
      </c>
      <c r="U88" s="30">
        <f t="shared" si="4"/>
        <v>1.3340392409528362E-4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1.5112682641398208E-4</v>
      </c>
      <c r="P89" s="27"/>
      <c r="Q89" s="30"/>
      <c r="R89" s="30"/>
      <c r="S89" s="30">
        <f>ABS(Q89)/'İtme Analizi'!$C$17</f>
        <v>0</v>
      </c>
      <c r="T89" s="30">
        <f>ABS(R89)/'İtme Analizi'!$C$14</f>
        <v>0</v>
      </c>
      <c r="U89" s="30">
        <f t="shared" si="4"/>
        <v>1.3340392409528362E-4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1.5112682641398208E-4</v>
      </c>
      <c r="P90" s="27"/>
      <c r="Q90" s="30"/>
      <c r="R90" s="30"/>
      <c r="S90" s="30">
        <f>ABS(Q90)/'İtme Analizi'!$C$17</f>
        <v>0</v>
      </c>
      <c r="T90" s="30">
        <f>ABS(R90)/'İtme Analizi'!$C$14</f>
        <v>0</v>
      </c>
      <c r="U90" s="30">
        <f t="shared" si="4"/>
        <v>1.3340392409528362E-4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1.5112682641398208E-4</v>
      </c>
      <c r="P91" s="27"/>
      <c r="Q91" s="30"/>
      <c r="R91" s="30"/>
      <c r="S91" s="30">
        <f>ABS(Q91)/'İtme Analizi'!$C$17</f>
        <v>0</v>
      </c>
      <c r="T91" s="30">
        <f>ABS(R91)/'İtme Analizi'!$C$14</f>
        <v>0</v>
      </c>
      <c r="U91" s="30">
        <f t="shared" si="4"/>
        <v>1.3340392409528362E-4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1.5112682641398208E-4</v>
      </c>
      <c r="P92" s="27"/>
      <c r="Q92" s="30"/>
      <c r="R92" s="30"/>
      <c r="S92" s="30">
        <f>ABS(Q92)/'İtme Analizi'!$C$17</f>
        <v>0</v>
      </c>
      <c r="T92" s="30">
        <f>ABS(R92)/'İtme Analizi'!$C$14</f>
        <v>0</v>
      </c>
      <c r="U92" s="30">
        <f t="shared" si="4"/>
        <v>1.3340392409528362E-4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1.5112682641398208E-4</v>
      </c>
      <c r="P93" s="27"/>
      <c r="Q93" s="30"/>
      <c r="R93" s="30"/>
      <c r="S93" s="30">
        <f>ABS(Q93)/'İtme Analizi'!$C$17</f>
        <v>0</v>
      </c>
      <c r="T93" s="30">
        <f>ABS(R93)/'İtme Analizi'!$C$14</f>
        <v>0</v>
      </c>
      <c r="U93" s="30">
        <f t="shared" si="4"/>
        <v>1.3340392409528362E-4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1.5112682641398208E-4</v>
      </c>
      <c r="P94" s="27"/>
      <c r="Q94" s="30"/>
      <c r="R94" s="30"/>
      <c r="S94" s="30">
        <f>ABS(Q94)/'İtme Analizi'!$C$17</f>
        <v>0</v>
      </c>
      <c r="T94" s="30">
        <f>ABS(R94)/'İtme Analizi'!$C$14</f>
        <v>0</v>
      </c>
      <c r="U94" s="30">
        <f t="shared" si="4"/>
        <v>1.3340392409528362E-4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1.5112682641398208E-4</v>
      </c>
      <c r="P95" s="27"/>
      <c r="Q95" s="30"/>
      <c r="R95" s="30"/>
      <c r="S95" s="30">
        <f>ABS(Q95)/'İtme Analizi'!$C$17</f>
        <v>0</v>
      </c>
      <c r="T95" s="30">
        <f>ABS(R95)/'İtme Analizi'!$C$14</f>
        <v>0</v>
      </c>
      <c r="U95" s="30">
        <f t="shared" si="4"/>
        <v>1.3340392409528362E-4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1.5112682641398208E-4</v>
      </c>
      <c r="P96" s="27"/>
      <c r="Q96" s="30"/>
      <c r="R96" s="30"/>
      <c r="S96" s="30">
        <f>ABS(Q96)/'İtme Analizi'!$C$17</f>
        <v>0</v>
      </c>
      <c r="T96" s="30">
        <f>ABS(R96)/'İtme Analizi'!$C$14</f>
        <v>0</v>
      </c>
      <c r="U96" s="30">
        <f t="shared" si="4"/>
        <v>1.3340392409528362E-4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1.5112682641398208E-4</v>
      </c>
      <c r="P97" s="27"/>
      <c r="Q97" s="30"/>
      <c r="R97" s="30"/>
      <c r="S97" s="30">
        <f>ABS(Q97)/'İtme Analizi'!$C$17</f>
        <v>0</v>
      </c>
      <c r="T97" s="30">
        <f>ABS(R97)/'İtme Analizi'!$C$14</f>
        <v>0</v>
      </c>
      <c r="U97" s="30">
        <f t="shared" si="4"/>
        <v>1.3340392409528362E-4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1.5112682641398208E-4</v>
      </c>
      <c r="P98" s="27"/>
      <c r="Q98" s="30"/>
      <c r="R98" s="30"/>
      <c r="S98" s="30">
        <f>ABS(Q98)/'İtme Analizi'!$C$17</f>
        <v>0</v>
      </c>
      <c r="T98" s="30">
        <f>ABS(R98)/'İtme Analizi'!$C$14</f>
        <v>0</v>
      </c>
      <c r="U98" s="30">
        <f t="shared" si="4"/>
        <v>1.3340392409528362E-4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1.5112682641398208E-4</v>
      </c>
      <c r="P99" s="27"/>
      <c r="Q99" s="30"/>
      <c r="R99" s="30"/>
      <c r="S99" s="30">
        <f>ABS(Q99)/'İtme Analizi'!$C$17</f>
        <v>0</v>
      </c>
      <c r="T99" s="30">
        <f>ABS(R99)/'İtme Analizi'!$C$14</f>
        <v>0</v>
      </c>
      <c r="U99" s="30">
        <f t="shared" si="4"/>
        <v>1.3340392409528362E-4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1.5112682641398208E-4</v>
      </c>
      <c r="P100" s="27"/>
      <c r="Q100" s="30"/>
      <c r="R100" s="30"/>
      <c r="S100" s="30">
        <f>ABS(Q100)/'İtme Analizi'!$C$17</f>
        <v>0</v>
      </c>
      <c r="T100" s="30">
        <f>ABS(R100)/'İtme Analizi'!$C$14</f>
        <v>0</v>
      </c>
      <c r="U100" s="30">
        <f t="shared" si="4"/>
        <v>1.3340392409528362E-4</v>
      </c>
    </row>
    <row r="101" spans="2:21" ht="13.9" customHeight="1" x14ac:dyDescent="0.2">
      <c r="P101" s="27"/>
      <c r="Q101" s="30"/>
      <c r="R101" s="30"/>
      <c r="S101" s="30">
        <f>ABS(Q101)/'İtme Analizi'!$C$17</f>
        <v>0</v>
      </c>
      <c r="T101" s="30">
        <f>ABS(R101)/'İtme Analizi'!$C$14</f>
        <v>0</v>
      </c>
      <c r="U101" s="30">
        <f t="shared" si="4"/>
        <v>1.3340392409528362E-4</v>
      </c>
    </row>
    <row r="102" spans="2:21" ht="13.9" customHeight="1" x14ac:dyDescent="0.2">
      <c r="P102" s="27"/>
      <c r="Q102" s="30"/>
      <c r="R102" s="30"/>
      <c r="S102" s="30">
        <f>ABS(Q102)/'İtme Analizi'!$C$17</f>
        <v>0</v>
      </c>
      <c r="T102" s="30">
        <f>ABS(R102)/'İtme Analizi'!$C$14</f>
        <v>0</v>
      </c>
      <c r="U102" s="30">
        <f t="shared" si="4"/>
        <v>1.3340392409528362E-4</v>
      </c>
    </row>
    <row r="103" spans="2:21" ht="13.9" customHeight="1" x14ac:dyDescent="0.2">
      <c r="P103" s="27"/>
      <c r="Q103" s="30"/>
      <c r="R103" s="30"/>
      <c r="S103" s="30">
        <f>ABS(Q103)/'İtme Analizi'!$C$17</f>
        <v>0</v>
      </c>
      <c r="T103" s="30">
        <f>ABS(R103)/'İtme Analizi'!$C$14</f>
        <v>0</v>
      </c>
      <c r="U103" s="30">
        <f t="shared" si="4"/>
        <v>1.3340392409528362E-4</v>
      </c>
    </row>
    <row r="104" spans="2:21" ht="13.9" customHeight="1" x14ac:dyDescent="0.2">
      <c r="P104" s="27"/>
      <c r="Q104" s="30"/>
      <c r="R104" s="30"/>
      <c r="S104" s="30">
        <f>ABS(Q104)/'İtme Analizi'!$C$17</f>
        <v>0</v>
      </c>
      <c r="T104" s="30">
        <f>ABS(R104)/'İtme Analizi'!$C$14</f>
        <v>0</v>
      </c>
      <c r="U104" s="30">
        <f t="shared" si="4"/>
        <v>1.3340392409528362E-4</v>
      </c>
    </row>
    <row r="105" spans="2:21" ht="13.9" customHeight="1" x14ac:dyDescent="0.2">
      <c r="P105" s="27"/>
      <c r="Q105" s="30"/>
      <c r="R105" s="30"/>
      <c r="S105" s="30">
        <f>ABS(Q105)/'İtme Analizi'!$C$17</f>
        <v>0</v>
      </c>
      <c r="T105" s="30">
        <f>ABS(R105)/'İtme Analizi'!$C$14</f>
        <v>0</v>
      </c>
      <c r="U105" s="30">
        <f t="shared" si="4"/>
        <v>1.3340392409528362E-4</v>
      </c>
    </row>
    <row r="106" spans="2:21" ht="13.9" customHeight="1" x14ac:dyDescent="0.2">
      <c r="P106" s="27"/>
      <c r="Q106" s="30"/>
      <c r="R106" s="30"/>
      <c r="S106" s="30">
        <f>ABS(Q106)/'İtme Analizi'!$C$17</f>
        <v>0</v>
      </c>
      <c r="T106" s="30">
        <f>ABS(R106)/'İtme Analizi'!$C$14</f>
        <v>0</v>
      </c>
      <c r="U106" s="30">
        <f t="shared" si="4"/>
        <v>1.3340392409528362E-4</v>
      </c>
    </row>
    <row r="107" spans="2:21" ht="13.9" customHeight="1" x14ac:dyDescent="0.2">
      <c r="P107" s="27"/>
      <c r="Q107" s="30"/>
      <c r="R107" s="30"/>
      <c r="S107" s="30">
        <f>ABS(Q107)/'İtme Analizi'!$C$17</f>
        <v>0</v>
      </c>
      <c r="T107" s="30">
        <f>ABS(R107)/'İtme Analizi'!$C$14</f>
        <v>0</v>
      </c>
      <c r="U107" s="30">
        <f t="shared" ref="U107:U170" si="5">U106+(S107-S106)*((T107+T106)/2)</f>
        <v>1.3340392409528362E-4</v>
      </c>
    </row>
    <row r="108" spans="2:21" ht="13.9" customHeight="1" x14ac:dyDescent="0.2">
      <c r="P108" s="27"/>
      <c r="Q108" s="30"/>
      <c r="R108" s="30"/>
      <c r="S108" s="30">
        <f>ABS(Q108)/'İtme Analizi'!$C$17</f>
        <v>0</v>
      </c>
      <c r="T108" s="30">
        <f>ABS(R108)/'İtme Analizi'!$C$14</f>
        <v>0</v>
      </c>
      <c r="U108" s="30">
        <f t="shared" si="5"/>
        <v>1.3340392409528362E-4</v>
      </c>
    </row>
    <row r="109" spans="2:21" ht="13.9" customHeight="1" x14ac:dyDescent="0.2">
      <c r="P109" s="27"/>
      <c r="Q109" s="30"/>
      <c r="R109" s="30"/>
      <c r="S109" s="30">
        <f>ABS(Q109)/'İtme Analizi'!$C$17</f>
        <v>0</v>
      </c>
      <c r="T109" s="30">
        <f>ABS(R109)/'İtme Analizi'!$C$14</f>
        <v>0</v>
      </c>
      <c r="U109" s="30">
        <f t="shared" si="5"/>
        <v>1.3340392409528362E-4</v>
      </c>
    </row>
    <row r="110" spans="2:21" ht="13.9" customHeight="1" x14ac:dyDescent="0.2">
      <c r="P110" s="27"/>
      <c r="Q110" s="30"/>
      <c r="R110" s="30"/>
      <c r="S110" s="30">
        <f>ABS(Q110)/'İtme Analizi'!$C$17</f>
        <v>0</v>
      </c>
      <c r="T110" s="30">
        <f>ABS(R110)/'İtme Analizi'!$C$14</f>
        <v>0</v>
      </c>
      <c r="U110" s="30">
        <f t="shared" si="5"/>
        <v>1.3340392409528362E-4</v>
      </c>
    </row>
    <row r="111" spans="2:21" ht="13.9" customHeight="1" x14ac:dyDescent="0.2">
      <c r="P111" s="27"/>
      <c r="Q111" s="30"/>
      <c r="R111" s="30"/>
      <c r="S111" s="30">
        <f>ABS(Q111)/'İtme Analizi'!$C$17</f>
        <v>0</v>
      </c>
      <c r="T111" s="30">
        <f>ABS(R111)/'İtme Analizi'!$C$14</f>
        <v>0</v>
      </c>
      <c r="U111" s="30">
        <f t="shared" si="5"/>
        <v>1.3340392409528362E-4</v>
      </c>
    </row>
    <row r="112" spans="2:21" ht="13.9" customHeight="1" x14ac:dyDescent="0.2">
      <c r="P112" s="27"/>
      <c r="Q112" s="30"/>
      <c r="R112" s="30"/>
      <c r="S112" s="30">
        <f>ABS(Q112)/'İtme Analizi'!$C$17</f>
        <v>0</v>
      </c>
      <c r="T112" s="30">
        <f>ABS(R112)/'İtme Analizi'!$C$14</f>
        <v>0</v>
      </c>
      <c r="U112" s="30">
        <f t="shared" si="5"/>
        <v>1.3340392409528362E-4</v>
      </c>
    </row>
    <row r="113" spans="16:21" ht="13.9" customHeight="1" x14ac:dyDescent="0.2">
      <c r="P113" s="27"/>
      <c r="Q113" s="30"/>
      <c r="R113" s="30"/>
      <c r="S113" s="30">
        <f>ABS(Q113)/'İtme Analizi'!$C$17</f>
        <v>0</v>
      </c>
      <c r="T113" s="30">
        <f>ABS(R113)/'İtme Analizi'!$C$14</f>
        <v>0</v>
      </c>
      <c r="U113" s="30">
        <f t="shared" si="5"/>
        <v>1.3340392409528362E-4</v>
      </c>
    </row>
    <row r="114" spans="16:21" ht="13.9" customHeight="1" x14ac:dyDescent="0.2">
      <c r="P114" s="27"/>
      <c r="Q114" s="30"/>
      <c r="R114" s="30"/>
      <c r="S114" s="30">
        <f>ABS(Q114)/'İtme Analizi'!$C$17</f>
        <v>0</v>
      </c>
      <c r="T114" s="30">
        <f>ABS(R114)/'İtme Analizi'!$C$14</f>
        <v>0</v>
      </c>
      <c r="U114" s="30">
        <f t="shared" si="5"/>
        <v>1.3340392409528362E-4</v>
      </c>
    </row>
    <row r="115" spans="16:21" ht="13.9" customHeight="1" x14ac:dyDescent="0.2">
      <c r="P115" s="27"/>
      <c r="Q115" s="30"/>
      <c r="R115" s="30"/>
      <c r="S115" s="30">
        <f>ABS(Q115)/'İtme Analizi'!$C$17</f>
        <v>0</v>
      </c>
      <c r="T115" s="30">
        <f>ABS(R115)/'İtme Analizi'!$C$14</f>
        <v>0</v>
      </c>
      <c r="U115" s="30">
        <f t="shared" si="5"/>
        <v>1.3340392409528362E-4</v>
      </c>
    </row>
    <row r="116" spans="16:21" ht="13.9" customHeight="1" x14ac:dyDescent="0.2">
      <c r="P116" s="27"/>
      <c r="Q116" s="30"/>
      <c r="R116" s="30"/>
      <c r="S116" s="30">
        <f>ABS(Q116)/'İtme Analizi'!$C$17</f>
        <v>0</v>
      </c>
      <c r="T116" s="30">
        <f>ABS(R116)/'İtme Analizi'!$C$14</f>
        <v>0</v>
      </c>
      <c r="U116" s="30">
        <f t="shared" si="5"/>
        <v>1.3340392409528362E-4</v>
      </c>
    </row>
    <row r="117" spans="16:21" ht="13.9" customHeight="1" x14ac:dyDescent="0.2">
      <c r="P117" s="27"/>
      <c r="Q117" s="30"/>
      <c r="R117" s="30"/>
      <c r="S117" s="30">
        <f>ABS(Q117)/'İtme Analizi'!$C$17</f>
        <v>0</v>
      </c>
      <c r="T117" s="30">
        <f>ABS(R117)/'İtme Analizi'!$C$14</f>
        <v>0</v>
      </c>
      <c r="U117" s="30">
        <f t="shared" si="5"/>
        <v>1.3340392409528362E-4</v>
      </c>
    </row>
    <row r="118" spans="16:21" ht="13.9" customHeight="1" x14ac:dyDescent="0.2">
      <c r="P118" s="27"/>
      <c r="Q118" s="30"/>
      <c r="R118" s="30"/>
      <c r="S118" s="30">
        <f>ABS(Q118)/'İtme Analizi'!$C$17</f>
        <v>0</v>
      </c>
      <c r="T118" s="30">
        <f>ABS(R118)/'İtme Analizi'!$C$14</f>
        <v>0</v>
      </c>
      <c r="U118" s="30">
        <f t="shared" si="5"/>
        <v>1.3340392409528362E-4</v>
      </c>
    </row>
    <row r="119" spans="16:21" ht="13.9" customHeight="1" x14ac:dyDescent="0.2">
      <c r="P119" s="27"/>
      <c r="Q119" s="30"/>
      <c r="R119" s="30"/>
      <c r="S119" s="30">
        <f>ABS(Q119)/'İtme Analizi'!$C$17</f>
        <v>0</v>
      </c>
      <c r="T119" s="30">
        <f>ABS(R119)/'İtme Analizi'!$C$14</f>
        <v>0</v>
      </c>
      <c r="U119" s="30">
        <f t="shared" si="5"/>
        <v>1.3340392409528362E-4</v>
      </c>
    </row>
    <row r="120" spans="16:21" ht="13.9" customHeight="1" x14ac:dyDescent="0.2">
      <c r="P120" s="27"/>
      <c r="Q120" s="30"/>
      <c r="R120" s="30"/>
      <c r="S120" s="30">
        <f>ABS(Q120)/'İtme Analizi'!$C$17</f>
        <v>0</v>
      </c>
      <c r="T120" s="30">
        <f>ABS(R120)/'İtme Analizi'!$C$14</f>
        <v>0</v>
      </c>
      <c r="U120" s="30">
        <f t="shared" si="5"/>
        <v>1.3340392409528362E-4</v>
      </c>
    </row>
    <row r="121" spans="16:21" ht="13.9" customHeight="1" x14ac:dyDescent="0.2">
      <c r="P121" s="27"/>
      <c r="Q121" s="30"/>
      <c r="R121" s="30"/>
      <c r="S121" s="30">
        <f>ABS(Q121)/'İtme Analizi'!$C$17</f>
        <v>0</v>
      </c>
      <c r="T121" s="30">
        <f>ABS(R121)/'İtme Analizi'!$C$14</f>
        <v>0</v>
      </c>
      <c r="U121" s="30">
        <f t="shared" si="5"/>
        <v>1.3340392409528362E-4</v>
      </c>
    </row>
    <row r="122" spans="16:21" ht="13.9" customHeight="1" x14ac:dyDescent="0.2">
      <c r="P122" s="27"/>
      <c r="Q122" s="30"/>
      <c r="R122" s="30"/>
      <c r="S122" s="30">
        <f>ABS(Q122)/'İtme Analizi'!$C$17</f>
        <v>0</v>
      </c>
      <c r="T122" s="30">
        <f>ABS(R122)/'İtme Analizi'!$C$14</f>
        <v>0</v>
      </c>
      <c r="U122" s="30">
        <f t="shared" si="5"/>
        <v>1.3340392409528362E-4</v>
      </c>
    </row>
    <row r="123" spans="16:21" ht="13.9" customHeight="1" x14ac:dyDescent="0.2">
      <c r="P123" s="27"/>
      <c r="Q123" s="30"/>
      <c r="R123" s="30"/>
      <c r="S123" s="30">
        <f>ABS(Q123)/'İtme Analizi'!$C$17</f>
        <v>0</v>
      </c>
      <c r="T123" s="30">
        <f>ABS(R123)/'İtme Analizi'!$C$14</f>
        <v>0</v>
      </c>
      <c r="U123" s="30">
        <f t="shared" si="5"/>
        <v>1.3340392409528362E-4</v>
      </c>
    </row>
    <row r="124" spans="16:21" ht="13.9" customHeight="1" x14ac:dyDescent="0.2">
      <c r="P124" s="27"/>
      <c r="Q124" s="30"/>
      <c r="R124" s="30"/>
      <c r="S124" s="30">
        <f>ABS(Q124)/'İtme Analizi'!$C$17</f>
        <v>0</v>
      </c>
      <c r="T124" s="30">
        <f>ABS(R124)/'İtme Analizi'!$C$14</f>
        <v>0</v>
      </c>
      <c r="U124" s="30">
        <f t="shared" si="5"/>
        <v>1.3340392409528362E-4</v>
      </c>
    </row>
    <row r="125" spans="16:21" ht="13.9" customHeight="1" x14ac:dyDescent="0.2">
      <c r="P125" s="27"/>
      <c r="Q125" s="30"/>
      <c r="R125" s="30"/>
      <c r="S125" s="30">
        <f>ABS(Q125)/'İtme Analizi'!$C$17</f>
        <v>0</v>
      </c>
      <c r="T125" s="30">
        <f>ABS(R125)/'İtme Analizi'!$C$14</f>
        <v>0</v>
      </c>
      <c r="U125" s="30">
        <f t="shared" si="5"/>
        <v>1.3340392409528362E-4</v>
      </c>
    </row>
    <row r="126" spans="16:21" ht="13.9" customHeight="1" x14ac:dyDescent="0.2">
      <c r="P126" s="27"/>
      <c r="Q126" s="30"/>
      <c r="R126" s="30"/>
      <c r="S126" s="30">
        <f>ABS(Q126)/'İtme Analizi'!$C$17</f>
        <v>0</v>
      </c>
      <c r="T126" s="30">
        <f>ABS(R126)/'İtme Analizi'!$C$14</f>
        <v>0</v>
      </c>
      <c r="U126" s="30">
        <f t="shared" si="5"/>
        <v>1.3340392409528362E-4</v>
      </c>
    </row>
    <row r="127" spans="16:21" ht="13.9" customHeight="1" x14ac:dyDescent="0.2">
      <c r="P127" s="27"/>
      <c r="Q127" s="30"/>
      <c r="R127" s="30"/>
      <c r="S127" s="30">
        <f>ABS(Q127)/'İtme Analizi'!$C$17</f>
        <v>0</v>
      </c>
      <c r="T127" s="30">
        <f>ABS(R127)/'İtme Analizi'!$C$14</f>
        <v>0</v>
      </c>
      <c r="U127" s="30">
        <f t="shared" si="5"/>
        <v>1.3340392409528362E-4</v>
      </c>
    </row>
    <row r="128" spans="16:21" ht="13.9" customHeight="1" x14ac:dyDescent="0.2">
      <c r="P128" s="27"/>
      <c r="Q128" s="30"/>
      <c r="R128" s="30"/>
      <c r="S128" s="30">
        <f>ABS(Q128)/'İtme Analizi'!$C$17</f>
        <v>0</v>
      </c>
      <c r="T128" s="30">
        <f>ABS(R128)/'İtme Analizi'!$C$14</f>
        <v>0</v>
      </c>
      <c r="U128" s="30">
        <f t="shared" si="5"/>
        <v>1.3340392409528362E-4</v>
      </c>
    </row>
    <row r="129" spans="16:21" ht="13.9" customHeight="1" x14ac:dyDescent="0.2">
      <c r="P129" s="27"/>
      <c r="Q129" s="30"/>
      <c r="R129" s="30"/>
      <c r="S129" s="30">
        <f>ABS(Q129)/'İtme Analizi'!$C$17</f>
        <v>0</v>
      </c>
      <c r="T129" s="30">
        <f>ABS(R129)/'İtme Analizi'!$C$14</f>
        <v>0</v>
      </c>
      <c r="U129" s="30">
        <f t="shared" si="5"/>
        <v>1.3340392409528362E-4</v>
      </c>
    </row>
    <row r="130" spans="16:21" ht="13.9" customHeight="1" x14ac:dyDescent="0.2">
      <c r="P130" s="27"/>
      <c r="Q130" s="30"/>
      <c r="R130" s="30"/>
      <c r="S130" s="30">
        <f>ABS(Q130)/'İtme Analizi'!$C$17</f>
        <v>0</v>
      </c>
      <c r="T130" s="30">
        <f>ABS(R130)/'İtme Analizi'!$C$14</f>
        <v>0</v>
      </c>
      <c r="U130" s="30">
        <f t="shared" si="5"/>
        <v>1.3340392409528362E-4</v>
      </c>
    </row>
    <row r="131" spans="16:21" ht="13.9" customHeight="1" x14ac:dyDescent="0.2">
      <c r="P131" s="27"/>
      <c r="Q131" s="30"/>
      <c r="R131" s="30"/>
      <c r="S131" s="30">
        <f>ABS(Q131)/'İtme Analizi'!$C$17</f>
        <v>0</v>
      </c>
      <c r="T131" s="30">
        <f>ABS(R131)/'İtme Analizi'!$C$14</f>
        <v>0</v>
      </c>
      <c r="U131" s="30">
        <f t="shared" si="5"/>
        <v>1.3340392409528362E-4</v>
      </c>
    </row>
    <row r="132" spans="16:21" ht="13.9" customHeight="1" x14ac:dyDescent="0.2">
      <c r="P132" s="27"/>
      <c r="Q132" s="30"/>
      <c r="R132" s="30"/>
      <c r="S132" s="30">
        <f>ABS(Q132)/'İtme Analizi'!$C$17</f>
        <v>0</v>
      </c>
      <c r="T132" s="30">
        <f>ABS(R132)/'İtme Analizi'!$C$14</f>
        <v>0</v>
      </c>
      <c r="U132" s="30">
        <f t="shared" si="5"/>
        <v>1.3340392409528362E-4</v>
      </c>
    </row>
    <row r="133" spans="16:21" ht="13.9" customHeight="1" x14ac:dyDescent="0.2">
      <c r="P133" s="27"/>
      <c r="Q133" s="30"/>
      <c r="R133" s="30"/>
      <c r="S133" s="30">
        <f>ABS(Q133)/'İtme Analizi'!$C$17</f>
        <v>0</v>
      </c>
      <c r="T133" s="30">
        <f>ABS(R133)/'İtme Analizi'!$C$14</f>
        <v>0</v>
      </c>
      <c r="U133" s="30">
        <f t="shared" si="5"/>
        <v>1.3340392409528362E-4</v>
      </c>
    </row>
    <row r="134" spans="16:21" ht="13.9" customHeight="1" x14ac:dyDescent="0.2">
      <c r="P134" s="27"/>
      <c r="Q134" s="30"/>
      <c r="R134" s="30"/>
      <c r="S134" s="30">
        <f>ABS(Q134)/'İtme Analizi'!$C$17</f>
        <v>0</v>
      </c>
      <c r="T134" s="30">
        <f>ABS(R134)/'İtme Analizi'!$C$14</f>
        <v>0</v>
      </c>
      <c r="U134" s="30">
        <f t="shared" si="5"/>
        <v>1.3340392409528362E-4</v>
      </c>
    </row>
    <row r="135" spans="16:21" ht="13.9" customHeight="1" x14ac:dyDescent="0.2">
      <c r="P135" s="27"/>
      <c r="Q135" s="30"/>
      <c r="R135" s="30"/>
      <c r="S135" s="30">
        <f>ABS(Q135)/'İtme Analizi'!$C$17</f>
        <v>0</v>
      </c>
      <c r="T135" s="30">
        <f>ABS(R135)/'İtme Analizi'!$C$14</f>
        <v>0</v>
      </c>
      <c r="U135" s="30">
        <f t="shared" si="5"/>
        <v>1.3340392409528362E-4</v>
      </c>
    </row>
    <row r="136" spans="16:21" ht="13.9" customHeight="1" x14ac:dyDescent="0.2">
      <c r="P136" s="27"/>
      <c r="Q136" s="30"/>
      <c r="R136" s="30"/>
      <c r="S136" s="30">
        <f>ABS(Q136)/'İtme Analizi'!$C$17</f>
        <v>0</v>
      </c>
      <c r="T136" s="30">
        <f>ABS(R136)/'İtme Analizi'!$C$14</f>
        <v>0</v>
      </c>
      <c r="U136" s="30">
        <f t="shared" si="5"/>
        <v>1.3340392409528362E-4</v>
      </c>
    </row>
    <row r="137" spans="16:21" ht="13.9" customHeight="1" x14ac:dyDescent="0.2">
      <c r="P137" s="27"/>
      <c r="Q137" s="30"/>
      <c r="R137" s="30"/>
      <c r="S137" s="30">
        <f>ABS(Q137)/'İtme Analizi'!$C$17</f>
        <v>0</v>
      </c>
      <c r="T137" s="30">
        <f>ABS(R137)/'İtme Analizi'!$C$14</f>
        <v>0</v>
      </c>
      <c r="U137" s="30">
        <f t="shared" si="5"/>
        <v>1.3340392409528362E-4</v>
      </c>
    </row>
    <row r="138" spans="16:21" ht="13.9" customHeight="1" x14ac:dyDescent="0.2">
      <c r="P138" s="27"/>
      <c r="Q138" s="30"/>
      <c r="R138" s="30"/>
      <c r="S138" s="30">
        <f>ABS(Q138)/'İtme Analizi'!$C$17</f>
        <v>0</v>
      </c>
      <c r="T138" s="30">
        <f>ABS(R138)/'İtme Analizi'!$C$14</f>
        <v>0</v>
      </c>
      <c r="U138" s="30">
        <f t="shared" si="5"/>
        <v>1.3340392409528362E-4</v>
      </c>
    </row>
    <row r="139" spans="16:21" ht="13.9" customHeight="1" x14ac:dyDescent="0.2">
      <c r="P139" s="27"/>
      <c r="Q139" s="30"/>
      <c r="R139" s="30"/>
      <c r="S139" s="30">
        <f>ABS(Q139)/'İtme Analizi'!$C$17</f>
        <v>0</v>
      </c>
      <c r="T139" s="30">
        <f>ABS(R139)/'İtme Analizi'!$C$14</f>
        <v>0</v>
      </c>
      <c r="U139" s="30">
        <f t="shared" si="5"/>
        <v>1.3340392409528362E-4</v>
      </c>
    </row>
    <row r="140" spans="16:21" ht="13.9" customHeight="1" x14ac:dyDescent="0.2">
      <c r="P140" s="27"/>
      <c r="Q140" s="30"/>
      <c r="R140" s="30"/>
      <c r="S140" s="30">
        <f>ABS(Q140)/'İtme Analizi'!$C$17</f>
        <v>0</v>
      </c>
      <c r="T140" s="30">
        <f>ABS(R140)/'İtme Analizi'!$C$14</f>
        <v>0</v>
      </c>
      <c r="U140" s="30">
        <f t="shared" si="5"/>
        <v>1.3340392409528362E-4</v>
      </c>
    </row>
    <row r="141" spans="16:21" ht="13.9" customHeight="1" x14ac:dyDescent="0.2">
      <c r="P141" s="27"/>
      <c r="Q141" s="30"/>
      <c r="R141" s="30"/>
      <c r="S141" s="30">
        <f>ABS(Q141)/'İtme Analizi'!$C$17</f>
        <v>0</v>
      </c>
      <c r="T141" s="30">
        <f>ABS(R141)/'İtme Analizi'!$C$14</f>
        <v>0</v>
      </c>
      <c r="U141" s="30">
        <f t="shared" si="5"/>
        <v>1.3340392409528362E-4</v>
      </c>
    </row>
    <row r="142" spans="16:21" ht="13.9" customHeight="1" x14ac:dyDescent="0.2">
      <c r="P142" s="27"/>
      <c r="Q142" s="30"/>
      <c r="R142" s="30"/>
      <c r="S142" s="30">
        <f>ABS(Q142)/'İtme Analizi'!$C$17</f>
        <v>0</v>
      </c>
      <c r="T142" s="30">
        <f>ABS(R142)/'İtme Analizi'!$C$14</f>
        <v>0</v>
      </c>
      <c r="U142" s="30">
        <f t="shared" si="5"/>
        <v>1.3340392409528362E-4</v>
      </c>
    </row>
    <row r="143" spans="16:21" ht="13.9" customHeight="1" x14ac:dyDescent="0.2">
      <c r="P143" s="27"/>
      <c r="Q143" s="30"/>
      <c r="R143" s="30"/>
      <c r="S143" s="30">
        <f>ABS(Q143)/'İtme Analizi'!$C$17</f>
        <v>0</v>
      </c>
      <c r="T143" s="30">
        <f>ABS(R143)/'İtme Analizi'!$C$14</f>
        <v>0</v>
      </c>
      <c r="U143" s="30">
        <f t="shared" si="5"/>
        <v>1.3340392409528362E-4</v>
      </c>
    </row>
    <row r="144" spans="16:21" ht="13.9" customHeight="1" x14ac:dyDescent="0.2">
      <c r="P144" s="27"/>
      <c r="Q144" s="30"/>
      <c r="R144" s="30"/>
      <c r="S144" s="30">
        <f>ABS(Q144)/'İtme Analizi'!$C$17</f>
        <v>0</v>
      </c>
      <c r="T144" s="30">
        <f>ABS(R144)/'İtme Analizi'!$C$14</f>
        <v>0</v>
      </c>
      <c r="U144" s="30">
        <f t="shared" si="5"/>
        <v>1.3340392409528362E-4</v>
      </c>
    </row>
    <row r="145" spans="16:21" ht="13.9" customHeight="1" x14ac:dyDescent="0.2">
      <c r="P145" s="27"/>
      <c r="Q145" s="30"/>
      <c r="R145" s="30"/>
      <c r="S145" s="30">
        <f>ABS(Q145)/'İtme Analizi'!$C$17</f>
        <v>0</v>
      </c>
      <c r="T145" s="30">
        <f>ABS(R145)/'İtme Analizi'!$C$14</f>
        <v>0</v>
      </c>
      <c r="U145" s="30">
        <f t="shared" si="5"/>
        <v>1.3340392409528362E-4</v>
      </c>
    </row>
    <row r="146" spans="16:21" ht="13.9" customHeight="1" x14ac:dyDescent="0.2">
      <c r="P146" s="27"/>
      <c r="Q146" s="30"/>
      <c r="R146" s="30"/>
      <c r="S146" s="30">
        <f>ABS(Q146)/'İtme Analizi'!$C$17</f>
        <v>0</v>
      </c>
      <c r="T146" s="30">
        <f>ABS(R146)/'İtme Analizi'!$C$14</f>
        <v>0</v>
      </c>
      <c r="U146" s="30">
        <f t="shared" si="5"/>
        <v>1.3340392409528362E-4</v>
      </c>
    </row>
    <row r="147" spans="16:21" ht="13.9" customHeight="1" x14ac:dyDescent="0.2">
      <c r="P147" s="27"/>
      <c r="Q147" s="30"/>
      <c r="R147" s="30"/>
      <c r="S147" s="30">
        <f>ABS(Q147)/'İtme Analizi'!$C$17</f>
        <v>0</v>
      </c>
      <c r="T147" s="30">
        <f>ABS(R147)/'İtme Analizi'!$C$14</f>
        <v>0</v>
      </c>
      <c r="U147" s="30">
        <f t="shared" si="5"/>
        <v>1.3340392409528362E-4</v>
      </c>
    </row>
    <row r="148" spans="16:21" ht="13.9" customHeight="1" x14ac:dyDescent="0.2">
      <c r="P148" s="27"/>
      <c r="Q148" s="30"/>
      <c r="R148" s="30"/>
      <c r="S148" s="30">
        <f>ABS(Q148)/'İtme Analizi'!$C$17</f>
        <v>0</v>
      </c>
      <c r="T148" s="30">
        <f>ABS(R148)/'İtme Analizi'!$C$14</f>
        <v>0</v>
      </c>
      <c r="U148" s="30">
        <f t="shared" si="5"/>
        <v>1.3340392409528362E-4</v>
      </c>
    </row>
    <row r="149" spans="16:21" ht="13.9" customHeight="1" x14ac:dyDescent="0.2">
      <c r="P149" s="27"/>
      <c r="Q149" s="30"/>
      <c r="R149" s="30"/>
      <c r="S149" s="30">
        <f>ABS(Q149)/'İtme Analizi'!$C$17</f>
        <v>0</v>
      </c>
      <c r="T149" s="30">
        <f>ABS(R149)/'İtme Analizi'!$C$14</f>
        <v>0</v>
      </c>
      <c r="U149" s="30">
        <f t="shared" si="5"/>
        <v>1.3340392409528362E-4</v>
      </c>
    </row>
    <row r="150" spans="16:21" ht="13.9" customHeight="1" x14ac:dyDescent="0.2">
      <c r="P150" s="27"/>
      <c r="Q150" s="30"/>
      <c r="R150" s="30"/>
      <c r="S150" s="30">
        <f>ABS(Q150)/'İtme Analizi'!$C$17</f>
        <v>0</v>
      </c>
      <c r="T150" s="30">
        <f>ABS(R150)/'İtme Analizi'!$C$14</f>
        <v>0</v>
      </c>
      <c r="U150" s="30">
        <f t="shared" si="5"/>
        <v>1.3340392409528362E-4</v>
      </c>
    </row>
    <row r="151" spans="16:21" ht="13.9" customHeight="1" x14ac:dyDescent="0.2">
      <c r="P151" s="27"/>
      <c r="Q151" s="30"/>
      <c r="R151" s="30"/>
      <c r="S151" s="30">
        <f>ABS(Q151)/'İtme Analizi'!$C$17</f>
        <v>0</v>
      </c>
      <c r="T151" s="30">
        <f>ABS(R151)/'İtme Analizi'!$C$14</f>
        <v>0</v>
      </c>
      <c r="U151" s="30">
        <f t="shared" si="5"/>
        <v>1.3340392409528362E-4</v>
      </c>
    </row>
    <row r="152" spans="16:21" ht="13.9" customHeight="1" x14ac:dyDescent="0.2">
      <c r="P152" s="27"/>
      <c r="Q152" s="30"/>
      <c r="R152" s="30"/>
      <c r="S152" s="30">
        <f>ABS(Q152)/'İtme Analizi'!$C$17</f>
        <v>0</v>
      </c>
      <c r="T152" s="30">
        <f>ABS(R152)/'İtme Analizi'!$C$14</f>
        <v>0</v>
      </c>
      <c r="U152" s="30">
        <f t="shared" si="5"/>
        <v>1.3340392409528362E-4</v>
      </c>
    </row>
    <row r="153" spans="16:21" ht="13.9" customHeight="1" x14ac:dyDescent="0.2">
      <c r="P153" s="27"/>
      <c r="Q153" s="30"/>
      <c r="R153" s="30"/>
      <c r="S153" s="30">
        <f>ABS(Q153)/'İtme Analizi'!$C$17</f>
        <v>0</v>
      </c>
      <c r="T153" s="30">
        <f>ABS(R153)/'İtme Analizi'!$C$14</f>
        <v>0</v>
      </c>
      <c r="U153" s="30">
        <f t="shared" si="5"/>
        <v>1.3340392409528362E-4</v>
      </c>
    </row>
    <row r="154" spans="16:21" ht="13.9" customHeight="1" x14ac:dyDescent="0.2">
      <c r="P154" s="27"/>
      <c r="Q154" s="30"/>
      <c r="R154" s="30"/>
      <c r="S154" s="30">
        <f>ABS(Q154)/'İtme Analizi'!$C$17</f>
        <v>0</v>
      </c>
      <c r="T154" s="30">
        <f>ABS(R154)/'İtme Analizi'!$C$14</f>
        <v>0</v>
      </c>
      <c r="U154" s="30">
        <f t="shared" si="5"/>
        <v>1.3340392409528362E-4</v>
      </c>
    </row>
    <row r="155" spans="16:21" ht="13.9" customHeight="1" x14ac:dyDescent="0.2">
      <c r="P155" s="27"/>
      <c r="Q155" s="30"/>
      <c r="R155" s="30"/>
      <c r="S155" s="30">
        <f>ABS(Q155)/'İtme Analizi'!$C$17</f>
        <v>0</v>
      </c>
      <c r="T155" s="30">
        <f>ABS(R155)/'İtme Analizi'!$C$14</f>
        <v>0</v>
      </c>
      <c r="U155" s="30">
        <f t="shared" si="5"/>
        <v>1.3340392409528362E-4</v>
      </c>
    </row>
    <row r="156" spans="16:21" ht="13.9" customHeight="1" x14ac:dyDescent="0.2">
      <c r="P156" s="27"/>
      <c r="Q156" s="30"/>
      <c r="R156" s="30"/>
      <c r="S156" s="30">
        <f>ABS(Q156)/'İtme Analizi'!$C$17</f>
        <v>0</v>
      </c>
      <c r="T156" s="30">
        <f>ABS(R156)/'İtme Analizi'!$C$14</f>
        <v>0</v>
      </c>
      <c r="U156" s="30">
        <f t="shared" si="5"/>
        <v>1.3340392409528362E-4</v>
      </c>
    </row>
    <row r="157" spans="16:21" ht="13.9" customHeight="1" x14ac:dyDescent="0.2">
      <c r="P157" s="27"/>
      <c r="Q157" s="30"/>
      <c r="R157" s="30"/>
      <c r="S157" s="30">
        <f>ABS(Q157)/'İtme Analizi'!$C$17</f>
        <v>0</v>
      </c>
      <c r="T157" s="30">
        <f>ABS(R157)/'İtme Analizi'!$C$14</f>
        <v>0</v>
      </c>
      <c r="U157" s="30">
        <f t="shared" si="5"/>
        <v>1.3340392409528362E-4</v>
      </c>
    </row>
    <row r="158" spans="16:21" ht="13.9" customHeight="1" x14ac:dyDescent="0.2">
      <c r="P158" s="27"/>
      <c r="Q158" s="30"/>
      <c r="R158" s="30"/>
      <c r="S158" s="30">
        <f>ABS(Q158)/'İtme Analizi'!$C$17</f>
        <v>0</v>
      </c>
      <c r="T158" s="30">
        <f>ABS(R158)/'İtme Analizi'!$C$14</f>
        <v>0</v>
      </c>
      <c r="U158" s="30">
        <f t="shared" si="5"/>
        <v>1.3340392409528362E-4</v>
      </c>
    </row>
    <row r="159" spans="16:21" ht="13.9" customHeight="1" x14ac:dyDescent="0.2">
      <c r="P159" s="27"/>
      <c r="Q159" s="30"/>
      <c r="R159" s="30"/>
      <c r="S159" s="30">
        <f>ABS(Q159)/'İtme Analizi'!$C$17</f>
        <v>0</v>
      </c>
      <c r="T159" s="30">
        <f>ABS(R159)/'İtme Analizi'!$C$14</f>
        <v>0</v>
      </c>
      <c r="U159" s="30">
        <f t="shared" si="5"/>
        <v>1.3340392409528362E-4</v>
      </c>
    </row>
    <row r="160" spans="16:21" ht="13.9" customHeight="1" x14ac:dyDescent="0.2">
      <c r="P160" s="27"/>
      <c r="Q160" s="30"/>
      <c r="R160" s="30"/>
      <c r="S160" s="30">
        <f>ABS(Q160)/'İtme Analizi'!$C$17</f>
        <v>0</v>
      </c>
      <c r="T160" s="30">
        <f>ABS(R160)/'İtme Analizi'!$C$14</f>
        <v>0</v>
      </c>
      <c r="U160" s="30">
        <f t="shared" si="5"/>
        <v>1.3340392409528362E-4</v>
      </c>
    </row>
    <row r="161" spans="16:21" ht="13.9" customHeight="1" x14ac:dyDescent="0.2">
      <c r="P161" s="27"/>
      <c r="Q161" s="30"/>
      <c r="R161" s="30"/>
      <c r="S161" s="30">
        <f>ABS(Q161)/'İtme Analizi'!$C$17</f>
        <v>0</v>
      </c>
      <c r="T161" s="30">
        <f>ABS(R161)/'İtme Analizi'!$C$14</f>
        <v>0</v>
      </c>
      <c r="U161" s="30">
        <f t="shared" si="5"/>
        <v>1.3340392409528362E-4</v>
      </c>
    </row>
    <row r="162" spans="16:21" ht="13.9" customHeight="1" x14ac:dyDescent="0.2">
      <c r="P162" s="27"/>
      <c r="Q162" s="30"/>
      <c r="R162" s="30"/>
      <c r="S162" s="30">
        <f>ABS(Q162)/'İtme Analizi'!$C$17</f>
        <v>0</v>
      </c>
      <c r="T162" s="30">
        <f>ABS(R162)/'İtme Analizi'!$C$14</f>
        <v>0</v>
      </c>
      <c r="U162" s="30">
        <f t="shared" si="5"/>
        <v>1.3340392409528362E-4</v>
      </c>
    </row>
    <row r="163" spans="16:21" ht="13.9" customHeight="1" x14ac:dyDescent="0.2">
      <c r="P163" s="27"/>
      <c r="Q163" s="30"/>
      <c r="R163" s="30"/>
      <c r="S163" s="30">
        <f>ABS(Q163)/'İtme Analizi'!$C$17</f>
        <v>0</v>
      </c>
      <c r="T163" s="30">
        <f>ABS(R163)/'İtme Analizi'!$C$14</f>
        <v>0</v>
      </c>
      <c r="U163" s="30">
        <f t="shared" si="5"/>
        <v>1.3340392409528362E-4</v>
      </c>
    </row>
    <row r="164" spans="16:21" ht="13.9" customHeight="1" x14ac:dyDescent="0.2">
      <c r="P164" s="27"/>
      <c r="Q164" s="30"/>
      <c r="R164" s="30"/>
      <c r="S164" s="30">
        <f>ABS(Q164)/'İtme Analizi'!$C$17</f>
        <v>0</v>
      </c>
      <c r="T164" s="30">
        <f>ABS(R164)/'İtme Analizi'!$C$14</f>
        <v>0</v>
      </c>
      <c r="U164" s="30">
        <f t="shared" si="5"/>
        <v>1.3340392409528362E-4</v>
      </c>
    </row>
    <row r="165" spans="16:21" ht="13.9" customHeight="1" x14ac:dyDescent="0.2">
      <c r="P165" s="27"/>
      <c r="Q165" s="30"/>
      <c r="R165" s="30"/>
      <c r="S165" s="30">
        <f>ABS(Q165)/'İtme Analizi'!$C$17</f>
        <v>0</v>
      </c>
      <c r="T165" s="30">
        <f>ABS(R165)/'İtme Analizi'!$C$14</f>
        <v>0</v>
      </c>
      <c r="U165" s="30">
        <f t="shared" si="5"/>
        <v>1.3340392409528362E-4</v>
      </c>
    </row>
    <row r="166" spans="16:21" ht="13.9" customHeight="1" x14ac:dyDescent="0.2">
      <c r="P166" s="27"/>
      <c r="Q166" s="30"/>
      <c r="R166" s="30"/>
      <c r="S166" s="30">
        <f>ABS(Q166)/'İtme Analizi'!$C$17</f>
        <v>0</v>
      </c>
      <c r="T166" s="30">
        <f>ABS(R166)/'İtme Analizi'!$C$14</f>
        <v>0</v>
      </c>
      <c r="U166" s="30">
        <f t="shared" si="5"/>
        <v>1.3340392409528362E-4</v>
      </c>
    </row>
    <row r="167" spans="16:21" ht="13.9" customHeight="1" x14ac:dyDescent="0.2">
      <c r="P167" s="27"/>
      <c r="Q167" s="30"/>
      <c r="R167" s="30"/>
      <c r="S167" s="30">
        <f>ABS(Q167)/'İtme Analizi'!$C$17</f>
        <v>0</v>
      </c>
      <c r="T167" s="30">
        <f>ABS(R167)/'İtme Analizi'!$C$14</f>
        <v>0</v>
      </c>
      <c r="U167" s="30">
        <f t="shared" si="5"/>
        <v>1.3340392409528362E-4</v>
      </c>
    </row>
    <row r="168" spans="16:21" ht="13.9" customHeight="1" x14ac:dyDescent="0.2">
      <c r="P168" s="27"/>
      <c r="Q168" s="30"/>
      <c r="R168" s="30"/>
      <c r="S168" s="30">
        <f>ABS(Q168)/'İtme Analizi'!$C$17</f>
        <v>0</v>
      </c>
      <c r="T168" s="30">
        <f>ABS(R168)/'İtme Analizi'!$C$14</f>
        <v>0</v>
      </c>
      <c r="U168" s="30">
        <f t="shared" si="5"/>
        <v>1.3340392409528362E-4</v>
      </c>
    </row>
    <row r="169" spans="16:21" ht="13.9" customHeight="1" x14ac:dyDescent="0.2">
      <c r="P169" s="27"/>
      <c r="Q169" s="30"/>
      <c r="R169" s="30"/>
      <c r="S169" s="30">
        <f>ABS(Q169)/'İtme Analizi'!$C$17</f>
        <v>0</v>
      </c>
      <c r="T169" s="30">
        <f>ABS(R169)/'İtme Analizi'!$C$14</f>
        <v>0</v>
      </c>
      <c r="U169" s="30">
        <f t="shared" si="5"/>
        <v>1.3340392409528362E-4</v>
      </c>
    </row>
    <row r="170" spans="16:21" ht="13.9" customHeight="1" x14ac:dyDescent="0.2">
      <c r="P170" s="27"/>
      <c r="Q170" s="30"/>
      <c r="R170" s="30"/>
      <c r="S170" s="30">
        <f>ABS(Q170)/'İtme Analizi'!$C$17</f>
        <v>0</v>
      </c>
      <c r="T170" s="30">
        <f>ABS(R170)/'İtme Analizi'!$C$14</f>
        <v>0</v>
      </c>
      <c r="U170" s="30">
        <f t="shared" si="5"/>
        <v>1.3340392409528362E-4</v>
      </c>
    </row>
    <row r="171" spans="16:21" ht="13.9" customHeight="1" x14ac:dyDescent="0.2">
      <c r="P171" s="27"/>
      <c r="Q171" s="30"/>
      <c r="R171" s="30"/>
      <c r="S171" s="30">
        <f>ABS(Q171)/'İtme Analizi'!$C$17</f>
        <v>0</v>
      </c>
      <c r="T171" s="30">
        <f>ABS(R171)/'İtme Analizi'!$C$14</f>
        <v>0</v>
      </c>
      <c r="U171" s="30">
        <f t="shared" ref="U171:U234" si="6">U170+(S171-S170)*((T171+T170)/2)</f>
        <v>1.3340392409528362E-4</v>
      </c>
    </row>
    <row r="172" spans="16:21" ht="13.9" customHeight="1" x14ac:dyDescent="0.2">
      <c r="P172" s="27"/>
      <c r="Q172" s="30"/>
      <c r="R172" s="30"/>
      <c r="S172" s="30">
        <f>ABS(Q172)/'İtme Analizi'!$C$17</f>
        <v>0</v>
      </c>
      <c r="T172" s="30">
        <f>ABS(R172)/'İtme Analizi'!$C$14</f>
        <v>0</v>
      </c>
      <c r="U172" s="30">
        <f t="shared" si="6"/>
        <v>1.3340392409528362E-4</v>
      </c>
    </row>
    <row r="173" spans="16:21" ht="13.9" customHeight="1" x14ac:dyDescent="0.2">
      <c r="P173" s="27"/>
      <c r="Q173" s="30"/>
      <c r="R173" s="30"/>
      <c r="S173" s="30">
        <f>ABS(Q173)/'İtme Analizi'!$C$17</f>
        <v>0</v>
      </c>
      <c r="T173" s="30">
        <f>ABS(R173)/'İtme Analizi'!$C$14</f>
        <v>0</v>
      </c>
      <c r="U173" s="30">
        <f t="shared" si="6"/>
        <v>1.3340392409528362E-4</v>
      </c>
    </row>
    <row r="174" spans="16:21" ht="13.9" customHeight="1" x14ac:dyDescent="0.2">
      <c r="P174" s="27"/>
      <c r="Q174" s="30"/>
      <c r="R174" s="30"/>
      <c r="S174" s="30">
        <f>ABS(Q174)/'İtme Analizi'!$C$17</f>
        <v>0</v>
      </c>
      <c r="T174" s="30">
        <f>ABS(R174)/'İtme Analizi'!$C$14</f>
        <v>0</v>
      </c>
      <c r="U174" s="30">
        <f t="shared" si="6"/>
        <v>1.3340392409528362E-4</v>
      </c>
    </row>
    <row r="175" spans="16:21" ht="13.9" customHeight="1" x14ac:dyDescent="0.2">
      <c r="P175" s="27"/>
      <c r="Q175" s="30"/>
      <c r="R175" s="30"/>
      <c r="S175" s="30">
        <f>ABS(Q175)/'İtme Analizi'!$C$17</f>
        <v>0</v>
      </c>
      <c r="T175" s="30">
        <f>ABS(R175)/'İtme Analizi'!$C$14</f>
        <v>0</v>
      </c>
      <c r="U175" s="30">
        <f t="shared" si="6"/>
        <v>1.3340392409528362E-4</v>
      </c>
    </row>
    <row r="176" spans="16:21" ht="13.9" customHeight="1" x14ac:dyDescent="0.2">
      <c r="P176" s="27"/>
      <c r="Q176" s="30"/>
      <c r="R176" s="30"/>
      <c r="S176" s="30">
        <f>ABS(Q176)/'İtme Analizi'!$C$17</f>
        <v>0</v>
      </c>
      <c r="T176" s="30">
        <f>ABS(R176)/'İtme Analizi'!$C$14</f>
        <v>0</v>
      </c>
      <c r="U176" s="30">
        <f t="shared" si="6"/>
        <v>1.3340392409528362E-4</v>
      </c>
    </row>
    <row r="177" spans="16:21" ht="13.9" customHeight="1" x14ac:dyDescent="0.2">
      <c r="P177" s="27"/>
      <c r="Q177" s="30"/>
      <c r="R177" s="30"/>
      <c r="S177" s="30">
        <f>ABS(Q177)/'İtme Analizi'!$C$17</f>
        <v>0</v>
      </c>
      <c r="T177" s="30">
        <f>ABS(R177)/'İtme Analizi'!$C$14</f>
        <v>0</v>
      </c>
      <c r="U177" s="30">
        <f t="shared" si="6"/>
        <v>1.3340392409528362E-4</v>
      </c>
    </row>
    <row r="178" spans="16:21" ht="13.9" customHeight="1" x14ac:dyDescent="0.2">
      <c r="P178" s="27"/>
      <c r="Q178" s="30"/>
      <c r="R178" s="30"/>
      <c r="S178" s="30">
        <f>ABS(Q178)/'İtme Analizi'!$C$17</f>
        <v>0</v>
      </c>
      <c r="T178" s="30">
        <f>ABS(R178)/'İtme Analizi'!$C$14</f>
        <v>0</v>
      </c>
      <c r="U178" s="30">
        <f t="shared" si="6"/>
        <v>1.3340392409528362E-4</v>
      </c>
    </row>
    <row r="179" spans="16:21" ht="13.9" customHeight="1" x14ac:dyDescent="0.2">
      <c r="P179" s="27"/>
      <c r="Q179" s="30"/>
      <c r="R179" s="30"/>
      <c r="S179" s="30">
        <f>ABS(Q179)/'İtme Analizi'!$C$17</f>
        <v>0</v>
      </c>
      <c r="T179" s="30">
        <f>ABS(R179)/'İtme Analizi'!$C$14</f>
        <v>0</v>
      </c>
      <c r="U179" s="30">
        <f t="shared" si="6"/>
        <v>1.3340392409528362E-4</v>
      </c>
    </row>
    <row r="180" spans="16:21" ht="13.9" customHeight="1" x14ac:dyDescent="0.2">
      <c r="P180" s="27"/>
      <c r="Q180" s="30"/>
      <c r="R180" s="30"/>
      <c r="S180" s="30">
        <f>ABS(Q180)/'İtme Analizi'!$C$17</f>
        <v>0</v>
      </c>
      <c r="T180" s="30">
        <f>ABS(R180)/'İtme Analizi'!$C$14</f>
        <v>0</v>
      </c>
      <c r="U180" s="30">
        <f t="shared" si="6"/>
        <v>1.3340392409528362E-4</v>
      </c>
    </row>
    <row r="181" spans="16:21" ht="13.9" customHeight="1" x14ac:dyDescent="0.2">
      <c r="P181" s="27"/>
      <c r="Q181" s="30"/>
      <c r="R181" s="30"/>
      <c r="S181" s="30">
        <f>ABS(Q181)/'İtme Analizi'!$C$17</f>
        <v>0</v>
      </c>
      <c r="T181" s="30">
        <f>ABS(R181)/'İtme Analizi'!$C$14</f>
        <v>0</v>
      </c>
      <c r="U181" s="30">
        <f t="shared" si="6"/>
        <v>1.3340392409528362E-4</v>
      </c>
    </row>
    <row r="182" spans="16:21" ht="13.9" customHeight="1" x14ac:dyDescent="0.2">
      <c r="P182" s="27"/>
      <c r="Q182" s="30"/>
      <c r="R182" s="30"/>
      <c r="S182" s="30">
        <f>ABS(Q182)/'İtme Analizi'!$C$17</f>
        <v>0</v>
      </c>
      <c r="T182" s="30">
        <f>ABS(R182)/'İtme Analizi'!$C$14</f>
        <v>0</v>
      </c>
      <c r="U182" s="30">
        <f t="shared" si="6"/>
        <v>1.3340392409528362E-4</v>
      </c>
    </row>
    <row r="183" spans="16:21" ht="13.9" customHeight="1" x14ac:dyDescent="0.2">
      <c r="P183" s="27"/>
      <c r="Q183" s="30"/>
      <c r="R183" s="30"/>
      <c r="S183" s="30">
        <f>ABS(Q183)/'İtme Analizi'!$C$17</f>
        <v>0</v>
      </c>
      <c r="T183" s="30">
        <f>ABS(R183)/'İtme Analizi'!$C$14</f>
        <v>0</v>
      </c>
      <c r="U183" s="30">
        <f t="shared" si="6"/>
        <v>1.3340392409528362E-4</v>
      </c>
    </row>
    <row r="184" spans="16:21" ht="13.9" customHeight="1" x14ac:dyDescent="0.2">
      <c r="P184" s="27"/>
      <c r="Q184" s="30"/>
      <c r="R184" s="30"/>
      <c r="S184" s="30">
        <f>ABS(Q184)/'İtme Analizi'!$C$17</f>
        <v>0</v>
      </c>
      <c r="T184" s="30">
        <f>ABS(R184)/'İtme Analizi'!$C$14</f>
        <v>0</v>
      </c>
      <c r="U184" s="30">
        <f t="shared" si="6"/>
        <v>1.3340392409528362E-4</v>
      </c>
    </row>
    <row r="185" spans="16:21" ht="13.9" customHeight="1" x14ac:dyDescent="0.2">
      <c r="P185" s="27"/>
      <c r="Q185" s="30"/>
      <c r="R185" s="30"/>
      <c r="S185" s="30">
        <f>ABS(Q185)/'İtme Analizi'!$C$17</f>
        <v>0</v>
      </c>
      <c r="T185" s="30">
        <f>ABS(R185)/'İtme Analizi'!$C$14</f>
        <v>0</v>
      </c>
      <c r="U185" s="30">
        <f t="shared" si="6"/>
        <v>1.3340392409528362E-4</v>
      </c>
    </row>
    <row r="186" spans="16:21" ht="13.9" customHeight="1" x14ac:dyDescent="0.2">
      <c r="P186" s="27"/>
      <c r="Q186" s="30"/>
      <c r="R186" s="30"/>
      <c r="S186" s="30">
        <f>ABS(Q186)/'İtme Analizi'!$C$17</f>
        <v>0</v>
      </c>
      <c r="T186" s="30">
        <f>ABS(R186)/'İtme Analizi'!$C$14</f>
        <v>0</v>
      </c>
      <c r="U186" s="30">
        <f t="shared" si="6"/>
        <v>1.3340392409528362E-4</v>
      </c>
    </row>
    <row r="187" spans="16:21" ht="13.9" customHeight="1" x14ac:dyDescent="0.2">
      <c r="P187" s="27"/>
      <c r="Q187" s="30"/>
      <c r="R187" s="30"/>
      <c r="S187" s="30">
        <f>ABS(Q187)/'İtme Analizi'!$C$17</f>
        <v>0</v>
      </c>
      <c r="T187" s="30">
        <f>ABS(R187)/'İtme Analizi'!$C$14</f>
        <v>0</v>
      </c>
      <c r="U187" s="30">
        <f t="shared" si="6"/>
        <v>1.3340392409528362E-4</v>
      </c>
    </row>
    <row r="188" spans="16:21" ht="13.9" customHeight="1" x14ac:dyDescent="0.2">
      <c r="P188" s="27"/>
      <c r="Q188" s="30"/>
      <c r="R188" s="30"/>
      <c r="S188" s="30">
        <f>ABS(Q188)/'İtme Analizi'!$C$17</f>
        <v>0</v>
      </c>
      <c r="T188" s="30">
        <f>ABS(R188)/'İtme Analizi'!$C$14</f>
        <v>0</v>
      </c>
      <c r="U188" s="30">
        <f t="shared" si="6"/>
        <v>1.3340392409528362E-4</v>
      </c>
    </row>
    <row r="189" spans="16:21" ht="13.9" customHeight="1" x14ac:dyDescent="0.2">
      <c r="P189" s="27"/>
      <c r="Q189" s="30"/>
      <c r="R189" s="30"/>
      <c r="S189" s="30">
        <f>ABS(Q189)/'İtme Analizi'!$C$17</f>
        <v>0</v>
      </c>
      <c r="T189" s="30">
        <f>ABS(R189)/'İtme Analizi'!$C$14</f>
        <v>0</v>
      </c>
      <c r="U189" s="30">
        <f t="shared" si="6"/>
        <v>1.3340392409528362E-4</v>
      </c>
    </row>
    <row r="190" spans="16:21" ht="13.9" customHeight="1" x14ac:dyDescent="0.2">
      <c r="P190" s="27"/>
      <c r="Q190" s="30"/>
      <c r="R190" s="30"/>
      <c r="S190" s="30">
        <f>ABS(Q190)/'İtme Analizi'!$C$17</f>
        <v>0</v>
      </c>
      <c r="T190" s="30">
        <f>ABS(R190)/'İtme Analizi'!$C$14</f>
        <v>0</v>
      </c>
      <c r="U190" s="30">
        <f t="shared" si="6"/>
        <v>1.3340392409528362E-4</v>
      </c>
    </row>
    <row r="191" spans="16:21" ht="13.9" customHeight="1" x14ac:dyDescent="0.2">
      <c r="P191" s="27"/>
      <c r="Q191" s="30"/>
      <c r="R191" s="30"/>
      <c r="S191" s="30">
        <f>ABS(Q191)/'İtme Analizi'!$C$17</f>
        <v>0</v>
      </c>
      <c r="T191" s="30">
        <f>ABS(R191)/'İtme Analizi'!$C$14</f>
        <v>0</v>
      </c>
      <c r="U191" s="30">
        <f t="shared" si="6"/>
        <v>1.3340392409528362E-4</v>
      </c>
    </row>
    <row r="192" spans="16:21" ht="13.9" customHeight="1" x14ac:dyDescent="0.2">
      <c r="P192" s="27"/>
      <c r="Q192" s="30"/>
      <c r="R192" s="30"/>
      <c r="S192" s="30">
        <f>ABS(Q192)/'İtme Analizi'!$C$17</f>
        <v>0</v>
      </c>
      <c r="T192" s="30">
        <f>ABS(R192)/'İtme Analizi'!$C$14</f>
        <v>0</v>
      </c>
      <c r="U192" s="30">
        <f t="shared" si="6"/>
        <v>1.3340392409528362E-4</v>
      </c>
    </row>
    <row r="193" spans="16:21" ht="13.9" customHeight="1" x14ac:dyDescent="0.2">
      <c r="P193" s="27"/>
      <c r="Q193" s="30"/>
      <c r="R193" s="30"/>
      <c r="S193" s="30">
        <f>ABS(Q193)/'İtme Analizi'!$C$17</f>
        <v>0</v>
      </c>
      <c r="T193" s="30">
        <f>ABS(R193)/'İtme Analizi'!$C$14</f>
        <v>0</v>
      </c>
      <c r="U193" s="30">
        <f t="shared" si="6"/>
        <v>1.3340392409528362E-4</v>
      </c>
    </row>
    <row r="194" spans="16:21" ht="13.9" customHeight="1" x14ac:dyDescent="0.2">
      <c r="P194" s="27"/>
      <c r="Q194" s="30"/>
      <c r="R194" s="30"/>
      <c r="S194" s="30">
        <f>ABS(Q194)/'İtme Analizi'!$C$17</f>
        <v>0</v>
      </c>
      <c r="T194" s="30">
        <f>ABS(R194)/'İtme Analizi'!$C$14</f>
        <v>0</v>
      </c>
      <c r="U194" s="30">
        <f t="shared" si="6"/>
        <v>1.3340392409528362E-4</v>
      </c>
    </row>
    <row r="195" spans="16:21" ht="13.9" customHeight="1" x14ac:dyDescent="0.2">
      <c r="P195" s="27"/>
      <c r="Q195" s="30"/>
      <c r="R195" s="30"/>
      <c r="S195" s="30">
        <f>ABS(Q195)/'İtme Analizi'!$C$17</f>
        <v>0</v>
      </c>
      <c r="T195" s="30">
        <f>ABS(R195)/'İtme Analizi'!$C$14</f>
        <v>0</v>
      </c>
      <c r="U195" s="30">
        <f t="shared" si="6"/>
        <v>1.3340392409528362E-4</v>
      </c>
    </row>
    <row r="196" spans="16:21" ht="13.9" customHeight="1" x14ac:dyDescent="0.2">
      <c r="P196" s="27"/>
      <c r="Q196" s="30"/>
      <c r="R196" s="30"/>
      <c r="S196" s="30">
        <f>ABS(Q196)/'İtme Analizi'!$C$17</f>
        <v>0</v>
      </c>
      <c r="T196" s="30">
        <f>ABS(R196)/'İtme Analizi'!$C$14</f>
        <v>0</v>
      </c>
      <c r="U196" s="30">
        <f t="shared" si="6"/>
        <v>1.3340392409528362E-4</v>
      </c>
    </row>
    <row r="197" spans="16:21" ht="13.9" customHeight="1" x14ac:dyDescent="0.2">
      <c r="P197" s="27"/>
      <c r="Q197" s="30"/>
      <c r="R197" s="30"/>
      <c r="S197" s="30">
        <f>ABS(Q197)/'İtme Analizi'!$C$17</f>
        <v>0</v>
      </c>
      <c r="T197" s="30">
        <f>ABS(R197)/'İtme Analizi'!$C$14</f>
        <v>0</v>
      </c>
      <c r="U197" s="30">
        <f t="shared" si="6"/>
        <v>1.3340392409528362E-4</v>
      </c>
    </row>
    <row r="198" spans="16:21" ht="13.9" customHeight="1" x14ac:dyDescent="0.2">
      <c r="P198" s="27"/>
      <c r="Q198" s="30"/>
      <c r="R198" s="30"/>
      <c r="S198" s="30">
        <f>ABS(Q198)/'İtme Analizi'!$C$17</f>
        <v>0</v>
      </c>
      <c r="T198" s="30">
        <f>ABS(R198)/'İtme Analizi'!$C$14</f>
        <v>0</v>
      </c>
      <c r="U198" s="30">
        <f t="shared" si="6"/>
        <v>1.3340392409528362E-4</v>
      </c>
    </row>
    <row r="199" spans="16:21" ht="13.9" customHeight="1" x14ac:dyDescent="0.2">
      <c r="P199" s="27"/>
      <c r="Q199" s="30"/>
      <c r="R199" s="30"/>
      <c r="S199" s="30">
        <f>ABS(Q199)/'İtme Analizi'!$C$17</f>
        <v>0</v>
      </c>
      <c r="T199" s="30">
        <f>ABS(R199)/'İtme Analizi'!$C$14</f>
        <v>0</v>
      </c>
      <c r="U199" s="30">
        <f t="shared" si="6"/>
        <v>1.3340392409528362E-4</v>
      </c>
    </row>
    <row r="200" spans="16:21" ht="13.9" customHeight="1" x14ac:dyDescent="0.2">
      <c r="P200" s="27"/>
      <c r="Q200" s="30"/>
      <c r="R200" s="30"/>
      <c r="S200" s="30">
        <f>ABS(Q200)/'İtme Analizi'!$C$17</f>
        <v>0</v>
      </c>
      <c r="T200" s="30">
        <f>ABS(R200)/'İtme Analizi'!$C$14</f>
        <v>0</v>
      </c>
      <c r="U200" s="30">
        <f t="shared" si="6"/>
        <v>1.3340392409528362E-4</v>
      </c>
    </row>
    <row r="201" spans="16:21" ht="13.9" customHeight="1" x14ac:dyDescent="0.2">
      <c r="P201" s="27"/>
      <c r="Q201" s="30"/>
      <c r="R201" s="30"/>
      <c r="S201" s="30">
        <f>ABS(Q201)/'İtme Analizi'!$C$17</f>
        <v>0</v>
      </c>
      <c r="T201" s="30">
        <f>ABS(R201)/'İtme Analizi'!$C$14</f>
        <v>0</v>
      </c>
      <c r="U201" s="30">
        <f t="shared" si="6"/>
        <v>1.3340392409528362E-4</v>
      </c>
    </row>
    <row r="202" spans="16:21" ht="13.9" customHeight="1" x14ac:dyDescent="0.2">
      <c r="P202" s="27"/>
      <c r="Q202" s="30"/>
      <c r="R202" s="30"/>
      <c r="S202" s="30">
        <f>ABS(Q202)/'İtme Analizi'!$C$17</f>
        <v>0</v>
      </c>
      <c r="T202" s="30">
        <f>ABS(R202)/'İtme Analizi'!$C$14</f>
        <v>0</v>
      </c>
      <c r="U202" s="30">
        <f t="shared" si="6"/>
        <v>1.3340392409528362E-4</v>
      </c>
    </row>
    <row r="203" spans="16:21" ht="13.9" customHeight="1" x14ac:dyDescent="0.2">
      <c r="P203" s="27"/>
      <c r="Q203" s="30"/>
      <c r="R203" s="30"/>
      <c r="S203" s="30">
        <f>ABS(Q203)/'İtme Analizi'!$C$17</f>
        <v>0</v>
      </c>
      <c r="T203" s="30">
        <f>ABS(R203)/'İtme Analizi'!$C$14</f>
        <v>0</v>
      </c>
      <c r="U203" s="30">
        <f t="shared" si="6"/>
        <v>1.3340392409528362E-4</v>
      </c>
    </row>
    <row r="204" spans="16:21" ht="13.9" customHeight="1" x14ac:dyDescent="0.2">
      <c r="P204" s="27"/>
      <c r="Q204" s="30"/>
      <c r="R204" s="30"/>
      <c r="S204" s="30">
        <f>ABS(Q204)/'İtme Analizi'!$C$17</f>
        <v>0</v>
      </c>
      <c r="T204" s="30">
        <f>ABS(R204)/'İtme Analizi'!$C$14</f>
        <v>0</v>
      </c>
      <c r="U204" s="30">
        <f t="shared" si="6"/>
        <v>1.3340392409528362E-4</v>
      </c>
    </row>
    <row r="205" spans="16:21" ht="13.9" customHeight="1" x14ac:dyDescent="0.2">
      <c r="P205" s="27"/>
      <c r="Q205" s="30"/>
      <c r="R205" s="30"/>
      <c r="S205" s="30">
        <f>ABS(Q205)/'İtme Analizi'!$C$17</f>
        <v>0</v>
      </c>
      <c r="T205" s="30">
        <f>ABS(R205)/'İtme Analizi'!$C$14</f>
        <v>0</v>
      </c>
      <c r="U205" s="30">
        <f t="shared" si="6"/>
        <v>1.3340392409528362E-4</v>
      </c>
    </row>
    <row r="206" spans="16:21" ht="13.9" customHeight="1" x14ac:dyDescent="0.2">
      <c r="P206" s="27"/>
      <c r="Q206" s="30"/>
      <c r="R206" s="30"/>
      <c r="S206" s="30">
        <f>ABS(Q206)/'İtme Analizi'!$C$17</f>
        <v>0</v>
      </c>
      <c r="T206" s="30">
        <f>ABS(R206)/'İtme Analizi'!$C$14</f>
        <v>0</v>
      </c>
      <c r="U206" s="30">
        <f t="shared" si="6"/>
        <v>1.3340392409528362E-4</v>
      </c>
    </row>
    <row r="207" spans="16:21" ht="13.9" customHeight="1" x14ac:dyDescent="0.2">
      <c r="P207" s="27"/>
      <c r="Q207" s="30"/>
      <c r="R207" s="30"/>
      <c r="S207" s="30">
        <f>ABS(Q207)/'İtme Analizi'!$C$17</f>
        <v>0</v>
      </c>
      <c r="T207" s="30">
        <f>ABS(R207)/'İtme Analizi'!$C$14</f>
        <v>0</v>
      </c>
      <c r="U207" s="30">
        <f t="shared" si="6"/>
        <v>1.3340392409528362E-4</v>
      </c>
    </row>
    <row r="208" spans="16:21" ht="13.9" customHeight="1" x14ac:dyDescent="0.2">
      <c r="P208" s="27"/>
      <c r="Q208" s="30"/>
      <c r="R208" s="30"/>
      <c r="S208" s="30">
        <f>ABS(Q208)/'İtme Analizi'!$C$17</f>
        <v>0</v>
      </c>
      <c r="T208" s="30">
        <f>ABS(R208)/'İtme Analizi'!$C$14</f>
        <v>0</v>
      </c>
      <c r="U208" s="30">
        <f t="shared" si="6"/>
        <v>1.3340392409528362E-4</v>
      </c>
    </row>
    <row r="209" spans="16:21" ht="13.9" customHeight="1" x14ac:dyDescent="0.2">
      <c r="P209" s="27"/>
      <c r="Q209" s="30"/>
      <c r="R209" s="30"/>
      <c r="S209" s="30">
        <f>ABS(Q209)/'İtme Analizi'!$C$17</f>
        <v>0</v>
      </c>
      <c r="T209" s="30">
        <f>ABS(R209)/'İtme Analizi'!$C$14</f>
        <v>0</v>
      </c>
      <c r="U209" s="30">
        <f t="shared" si="6"/>
        <v>1.3340392409528362E-4</v>
      </c>
    </row>
    <row r="210" spans="16:21" ht="13.9" customHeight="1" x14ac:dyDescent="0.2">
      <c r="P210" s="27"/>
      <c r="Q210" s="30"/>
      <c r="R210" s="30"/>
      <c r="S210" s="30">
        <f>ABS(Q210)/'İtme Analizi'!$C$17</f>
        <v>0</v>
      </c>
      <c r="T210" s="30">
        <f>ABS(R210)/'İtme Analizi'!$C$14</f>
        <v>0</v>
      </c>
      <c r="U210" s="30">
        <f t="shared" si="6"/>
        <v>1.3340392409528362E-4</v>
      </c>
    </row>
    <row r="211" spans="16:21" ht="13.9" customHeight="1" x14ac:dyDescent="0.2">
      <c r="P211" s="27"/>
      <c r="Q211" s="30"/>
      <c r="R211" s="30"/>
      <c r="S211" s="30">
        <f>ABS(Q211)/'İtme Analizi'!$C$17</f>
        <v>0</v>
      </c>
      <c r="T211" s="30">
        <f>ABS(R211)/'İtme Analizi'!$C$14</f>
        <v>0</v>
      </c>
      <c r="U211" s="30">
        <f t="shared" si="6"/>
        <v>1.3340392409528362E-4</v>
      </c>
    </row>
    <row r="212" spans="16:21" ht="13.9" customHeight="1" x14ac:dyDescent="0.2">
      <c r="P212" s="27"/>
      <c r="Q212" s="30"/>
      <c r="R212" s="30"/>
      <c r="S212" s="30">
        <f>ABS(Q212)/'İtme Analizi'!$C$17</f>
        <v>0</v>
      </c>
      <c r="T212" s="30">
        <f>ABS(R212)/'İtme Analizi'!$C$14</f>
        <v>0</v>
      </c>
      <c r="U212" s="30">
        <f t="shared" si="6"/>
        <v>1.3340392409528362E-4</v>
      </c>
    </row>
    <row r="213" spans="16:21" ht="13.9" customHeight="1" x14ac:dyDescent="0.2">
      <c r="P213" s="27"/>
      <c r="Q213" s="30"/>
      <c r="R213" s="30"/>
      <c r="S213" s="30">
        <f>ABS(Q213)/'İtme Analizi'!$C$17</f>
        <v>0</v>
      </c>
      <c r="T213" s="30">
        <f>ABS(R213)/'İtme Analizi'!$C$14</f>
        <v>0</v>
      </c>
      <c r="U213" s="30">
        <f t="shared" si="6"/>
        <v>1.3340392409528362E-4</v>
      </c>
    </row>
    <row r="214" spans="16:21" ht="13.9" customHeight="1" x14ac:dyDescent="0.2">
      <c r="P214" s="27"/>
      <c r="Q214" s="30"/>
      <c r="R214" s="30"/>
      <c r="S214" s="30">
        <f>ABS(Q214)/'İtme Analizi'!$C$17</f>
        <v>0</v>
      </c>
      <c r="T214" s="30">
        <f>ABS(R214)/'İtme Analizi'!$C$14</f>
        <v>0</v>
      </c>
      <c r="U214" s="30">
        <f t="shared" si="6"/>
        <v>1.3340392409528362E-4</v>
      </c>
    </row>
    <row r="215" spans="16:21" ht="13.9" customHeight="1" x14ac:dyDescent="0.2">
      <c r="P215" s="27"/>
      <c r="Q215" s="30"/>
      <c r="R215" s="30"/>
      <c r="S215" s="30">
        <f>ABS(Q215)/'İtme Analizi'!$C$17</f>
        <v>0</v>
      </c>
      <c r="T215" s="30">
        <f>ABS(R215)/'İtme Analizi'!$C$14</f>
        <v>0</v>
      </c>
      <c r="U215" s="30">
        <f t="shared" si="6"/>
        <v>1.3340392409528362E-4</v>
      </c>
    </row>
    <row r="216" spans="16:21" ht="13.9" customHeight="1" x14ac:dyDescent="0.2">
      <c r="P216" s="27"/>
      <c r="Q216" s="30"/>
      <c r="R216" s="30"/>
      <c r="S216" s="30">
        <f>ABS(Q216)/'İtme Analizi'!$C$17</f>
        <v>0</v>
      </c>
      <c r="T216" s="30">
        <f>ABS(R216)/'İtme Analizi'!$C$14</f>
        <v>0</v>
      </c>
      <c r="U216" s="30">
        <f t="shared" si="6"/>
        <v>1.3340392409528362E-4</v>
      </c>
    </row>
    <row r="217" spans="16:21" ht="13.9" customHeight="1" x14ac:dyDescent="0.2">
      <c r="P217" s="27"/>
      <c r="Q217" s="30"/>
      <c r="R217" s="30"/>
      <c r="S217" s="30">
        <f>ABS(Q217)/'İtme Analizi'!$C$17</f>
        <v>0</v>
      </c>
      <c r="T217" s="30">
        <f>ABS(R217)/'İtme Analizi'!$C$14</f>
        <v>0</v>
      </c>
      <c r="U217" s="30">
        <f t="shared" si="6"/>
        <v>1.3340392409528362E-4</v>
      </c>
    </row>
    <row r="218" spans="16:21" ht="13.9" customHeight="1" x14ac:dyDescent="0.2">
      <c r="P218" s="27"/>
      <c r="Q218" s="30"/>
      <c r="R218" s="30"/>
      <c r="S218" s="30">
        <f>ABS(Q218)/'İtme Analizi'!$C$17</f>
        <v>0</v>
      </c>
      <c r="T218" s="30">
        <f>ABS(R218)/'İtme Analizi'!$C$14</f>
        <v>0</v>
      </c>
      <c r="U218" s="30">
        <f t="shared" si="6"/>
        <v>1.3340392409528362E-4</v>
      </c>
    </row>
    <row r="219" spans="16:21" ht="13.9" customHeight="1" x14ac:dyDescent="0.2">
      <c r="P219" s="27"/>
      <c r="Q219" s="30"/>
      <c r="R219" s="30"/>
      <c r="S219" s="30">
        <f>ABS(Q219)/'İtme Analizi'!$C$17</f>
        <v>0</v>
      </c>
      <c r="T219" s="30">
        <f>ABS(R219)/'İtme Analizi'!$C$14</f>
        <v>0</v>
      </c>
      <c r="U219" s="30">
        <f t="shared" si="6"/>
        <v>1.3340392409528362E-4</v>
      </c>
    </row>
    <row r="220" spans="16:21" ht="13.9" customHeight="1" x14ac:dyDescent="0.2">
      <c r="P220" s="27"/>
      <c r="Q220" s="30"/>
      <c r="R220" s="30"/>
      <c r="S220" s="30">
        <f>ABS(Q220)/'İtme Analizi'!$C$17</f>
        <v>0</v>
      </c>
      <c r="T220" s="30">
        <f>ABS(R220)/'İtme Analizi'!$C$14</f>
        <v>0</v>
      </c>
      <c r="U220" s="30">
        <f t="shared" si="6"/>
        <v>1.3340392409528362E-4</v>
      </c>
    </row>
    <row r="221" spans="16:21" ht="13.9" customHeight="1" x14ac:dyDescent="0.2">
      <c r="P221" s="27"/>
      <c r="Q221" s="30"/>
      <c r="R221" s="30"/>
      <c r="S221" s="30">
        <f>ABS(Q221)/'İtme Analizi'!$C$17</f>
        <v>0</v>
      </c>
      <c r="T221" s="30">
        <f>ABS(R221)/'İtme Analizi'!$C$14</f>
        <v>0</v>
      </c>
      <c r="U221" s="30">
        <f t="shared" si="6"/>
        <v>1.3340392409528362E-4</v>
      </c>
    </row>
    <row r="222" spans="16:21" ht="13.9" customHeight="1" x14ac:dyDescent="0.2">
      <c r="P222" s="27"/>
      <c r="Q222" s="30"/>
      <c r="R222" s="30"/>
      <c r="S222" s="30">
        <f>ABS(Q222)/'İtme Analizi'!$C$17</f>
        <v>0</v>
      </c>
      <c r="T222" s="30">
        <f>ABS(R222)/'İtme Analizi'!$C$14</f>
        <v>0</v>
      </c>
      <c r="U222" s="30">
        <f t="shared" si="6"/>
        <v>1.3340392409528362E-4</v>
      </c>
    </row>
    <row r="223" spans="16:21" ht="13.9" customHeight="1" x14ac:dyDescent="0.2">
      <c r="P223" s="27"/>
      <c r="Q223" s="30"/>
      <c r="R223" s="30"/>
      <c r="S223" s="30">
        <f>ABS(Q223)/'İtme Analizi'!$C$17</f>
        <v>0</v>
      </c>
      <c r="T223" s="30">
        <f>ABS(R223)/'İtme Analizi'!$C$14</f>
        <v>0</v>
      </c>
      <c r="U223" s="30">
        <f t="shared" si="6"/>
        <v>1.3340392409528362E-4</v>
      </c>
    </row>
    <row r="224" spans="16:21" ht="13.9" customHeight="1" x14ac:dyDescent="0.2">
      <c r="P224" s="27"/>
      <c r="Q224" s="30"/>
      <c r="R224" s="30"/>
      <c r="S224" s="30">
        <f>ABS(Q224)/'İtme Analizi'!$C$17</f>
        <v>0</v>
      </c>
      <c r="T224" s="30">
        <f>ABS(R224)/'İtme Analizi'!$C$14</f>
        <v>0</v>
      </c>
      <c r="U224" s="30">
        <f t="shared" si="6"/>
        <v>1.3340392409528362E-4</v>
      </c>
    </row>
    <row r="225" spans="16:21" ht="13.9" customHeight="1" x14ac:dyDescent="0.2">
      <c r="P225" s="27"/>
      <c r="Q225" s="30"/>
      <c r="R225" s="30"/>
      <c r="S225" s="30">
        <f>ABS(Q225)/'İtme Analizi'!$C$17</f>
        <v>0</v>
      </c>
      <c r="T225" s="30">
        <f>ABS(R225)/'İtme Analizi'!$C$14</f>
        <v>0</v>
      </c>
      <c r="U225" s="30">
        <f t="shared" si="6"/>
        <v>1.3340392409528362E-4</v>
      </c>
    </row>
    <row r="226" spans="16:21" ht="13.9" customHeight="1" x14ac:dyDescent="0.2">
      <c r="P226" s="27"/>
      <c r="Q226" s="30"/>
      <c r="R226" s="30"/>
      <c r="S226" s="30">
        <f>ABS(Q226)/'İtme Analizi'!$C$17</f>
        <v>0</v>
      </c>
      <c r="T226" s="30">
        <f>ABS(R226)/'İtme Analizi'!$C$14</f>
        <v>0</v>
      </c>
      <c r="U226" s="30">
        <f t="shared" si="6"/>
        <v>1.3340392409528362E-4</v>
      </c>
    </row>
    <row r="227" spans="16:21" ht="13.9" customHeight="1" x14ac:dyDescent="0.2">
      <c r="P227" s="27"/>
      <c r="Q227" s="30"/>
      <c r="R227" s="30"/>
      <c r="S227" s="30">
        <f>ABS(Q227)/'İtme Analizi'!$C$17</f>
        <v>0</v>
      </c>
      <c r="T227" s="30">
        <f>ABS(R227)/'İtme Analizi'!$C$14</f>
        <v>0</v>
      </c>
      <c r="U227" s="30">
        <f t="shared" si="6"/>
        <v>1.3340392409528362E-4</v>
      </c>
    </row>
    <row r="228" spans="16:21" ht="13.9" customHeight="1" x14ac:dyDescent="0.2">
      <c r="P228" s="27"/>
      <c r="Q228" s="30"/>
      <c r="R228" s="30"/>
      <c r="S228" s="30">
        <f>ABS(Q228)/'İtme Analizi'!$C$17</f>
        <v>0</v>
      </c>
      <c r="T228" s="30">
        <f>ABS(R228)/'İtme Analizi'!$C$14</f>
        <v>0</v>
      </c>
      <c r="U228" s="30">
        <f t="shared" si="6"/>
        <v>1.3340392409528362E-4</v>
      </c>
    </row>
    <row r="229" spans="16:21" ht="13.9" customHeight="1" x14ac:dyDescent="0.2">
      <c r="P229" s="27"/>
      <c r="Q229" s="30"/>
      <c r="R229" s="30"/>
      <c r="S229" s="30">
        <f>ABS(Q229)/'İtme Analizi'!$C$17</f>
        <v>0</v>
      </c>
      <c r="T229" s="30">
        <f>ABS(R229)/'İtme Analizi'!$C$14</f>
        <v>0</v>
      </c>
      <c r="U229" s="30">
        <f t="shared" si="6"/>
        <v>1.3340392409528362E-4</v>
      </c>
    </row>
    <row r="230" spans="16:21" ht="13.9" customHeight="1" x14ac:dyDescent="0.2">
      <c r="P230" s="27"/>
      <c r="Q230" s="30"/>
      <c r="R230" s="30"/>
      <c r="S230" s="30">
        <f>ABS(Q230)/'İtme Analizi'!$C$17</f>
        <v>0</v>
      </c>
      <c r="T230" s="30">
        <f>ABS(R230)/'İtme Analizi'!$C$14</f>
        <v>0</v>
      </c>
      <c r="U230" s="30">
        <f t="shared" si="6"/>
        <v>1.3340392409528362E-4</v>
      </c>
    </row>
    <row r="231" spans="16:21" ht="13.9" customHeight="1" x14ac:dyDescent="0.2">
      <c r="P231" s="27"/>
      <c r="Q231" s="30"/>
      <c r="R231" s="30"/>
      <c r="S231" s="30">
        <f>ABS(Q231)/'İtme Analizi'!$C$17</f>
        <v>0</v>
      </c>
      <c r="T231" s="30">
        <f>ABS(R231)/'İtme Analizi'!$C$14</f>
        <v>0</v>
      </c>
      <c r="U231" s="30">
        <f t="shared" si="6"/>
        <v>1.3340392409528362E-4</v>
      </c>
    </row>
    <row r="232" spans="16:21" ht="13.9" customHeight="1" x14ac:dyDescent="0.2">
      <c r="P232" s="27"/>
      <c r="Q232" s="30"/>
      <c r="R232" s="30"/>
      <c r="S232" s="30">
        <f>ABS(Q232)/'İtme Analizi'!$C$17</f>
        <v>0</v>
      </c>
      <c r="T232" s="30">
        <f>ABS(R232)/'İtme Analizi'!$C$14</f>
        <v>0</v>
      </c>
      <c r="U232" s="30">
        <f t="shared" si="6"/>
        <v>1.3340392409528362E-4</v>
      </c>
    </row>
    <row r="233" spans="16:21" ht="13.9" customHeight="1" x14ac:dyDescent="0.2">
      <c r="P233" s="27"/>
      <c r="Q233" s="30"/>
      <c r="R233" s="30"/>
      <c r="S233" s="30">
        <f>ABS(Q233)/'İtme Analizi'!$C$17</f>
        <v>0</v>
      </c>
      <c r="T233" s="30">
        <f>ABS(R233)/'İtme Analizi'!$C$14</f>
        <v>0</v>
      </c>
      <c r="U233" s="30">
        <f t="shared" si="6"/>
        <v>1.3340392409528362E-4</v>
      </c>
    </row>
    <row r="234" spans="16:21" ht="13.9" customHeight="1" x14ac:dyDescent="0.2">
      <c r="P234" s="27"/>
      <c r="Q234" s="30"/>
      <c r="R234" s="30"/>
      <c r="S234" s="30">
        <f>ABS(Q234)/'İtme Analizi'!$C$17</f>
        <v>0</v>
      </c>
      <c r="T234" s="30">
        <f>ABS(R234)/'İtme Analizi'!$C$14</f>
        <v>0</v>
      </c>
      <c r="U234" s="30">
        <f t="shared" si="6"/>
        <v>1.3340392409528362E-4</v>
      </c>
    </row>
    <row r="235" spans="16:21" ht="13.9" customHeight="1" x14ac:dyDescent="0.2">
      <c r="P235" s="27"/>
      <c r="Q235" s="30"/>
      <c r="R235" s="30"/>
      <c r="S235" s="30">
        <f>ABS(Q235)/'İtme Analizi'!$C$17</f>
        <v>0</v>
      </c>
      <c r="T235" s="30">
        <f>ABS(R235)/'İtme Analizi'!$C$14</f>
        <v>0</v>
      </c>
      <c r="U235" s="30">
        <f t="shared" ref="U235:U298" si="7">U234+(S235-S234)*((T235+T234)/2)</f>
        <v>1.3340392409528362E-4</v>
      </c>
    </row>
    <row r="236" spans="16:21" ht="13.9" customHeight="1" x14ac:dyDescent="0.2">
      <c r="P236" s="27"/>
      <c r="Q236" s="30"/>
      <c r="R236" s="30"/>
      <c r="S236" s="30">
        <f>ABS(Q236)/'İtme Analizi'!$C$17</f>
        <v>0</v>
      </c>
      <c r="T236" s="30">
        <f>ABS(R236)/'İtme Analizi'!$C$14</f>
        <v>0</v>
      </c>
      <c r="U236" s="30">
        <f t="shared" si="7"/>
        <v>1.3340392409528362E-4</v>
      </c>
    </row>
    <row r="237" spans="16:21" ht="13.9" customHeight="1" x14ac:dyDescent="0.2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1.3340392409528362E-4</v>
      </c>
    </row>
    <row r="238" spans="16:21" ht="13.9" customHeight="1" x14ac:dyDescent="0.2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1.3340392409528362E-4</v>
      </c>
    </row>
    <row r="239" spans="16:21" ht="13.9" customHeight="1" x14ac:dyDescent="0.2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1.3340392409528362E-4</v>
      </c>
    </row>
    <row r="240" spans="16:21" ht="13.9" customHeight="1" x14ac:dyDescent="0.2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1.3340392409528362E-4</v>
      </c>
    </row>
    <row r="241" spans="16:21" ht="13.9" customHeight="1" x14ac:dyDescent="0.2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1.3340392409528362E-4</v>
      </c>
    </row>
    <row r="242" spans="16:21" ht="13.9" customHeight="1" x14ac:dyDescent="0.2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1.3340392409528362E-4</v>
      </c>
    </row>
    <row r="243" spans="16:21" ht="13.9" customHeight="1" x14ac:dyDescent="0.2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1.3340392409528362E-4</v>
      </c>
    </row>
    <row r="244" spans="16:21" ht="13.9" customHeight="1" x14ac:dyDescent="0.2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1.3340392409528362E-4</v>
      </c>
    </row>
    <row r="245" spans="16:21" ht="13.9" customHeight="1" x14ac:dyDescent="0.2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1.3340392409528362E-4</v>
      </c>
    </row>
    <row r="246" spans="16:21" ht="13.9" customHeight="1" x14ac:dyDescent="0.2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1.3340392409528362E-4</v>
      </c>
    </row>
    <row r="247" spans="16:21" ht="13.9" customHeight="1" x14ac:dyDescent="0.2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1.3340392409528362E-4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1.3340392409528362E-4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1.3340392409528362E-4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1.3340392409528362E-4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1.3340392409528362E-4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1.3340392409528362E-4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1.3340392409528362E-4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1.3340392409528362E-4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1.3340392409528362E-4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1.3340392409528362E-4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1.3340392409528362E-4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1.3340392409528362E-4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1.3340392409528362E-4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1.3340392409528362E-4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1.3340392409528362E-4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1.3340392409528362E-4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1.3340392409528362E-4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1.3340392409528362E-4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1.3340392409528362E-4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1.3340392409528362E-4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1.3340392409528362E-4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1.3340392409528362E-4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1.3340392409528362E-4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1.3340392409528362E-4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1.3340392409528362E-4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1.3340392409528362E-4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1.3340392409528362E-4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1.3340392409528362E-4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1.3340392409528362E-4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1.3340392409528362E-4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1.3340392409528362E-4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1.3340392409528362E-4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1.3340392409528362E-4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1.3340392409528362E-4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1.3340392409528362E-4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1.3340392409528362E-4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1.3340392409528362E-4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1.3340392409528362E-4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1.3340392409528362E-4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1.3340392409528362E-4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1.3340392409528362E-4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1.3340392409528362E-4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1.3340392409528362E-4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1.3340392409528362E-4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1.3340392409528362E-4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1.3340392409528362E-4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1.3340392409528362E-4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1.3340392409528362E-4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1.3340392409528362E-4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1.3340392409528362E-4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1.3340392409528362E-4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1.3340392409528362E-4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1.3340392409528362E-4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1.3340392409528362E-4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1.3340392409528362E-4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1.3340392409528362E-4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1.3340392409528362E-4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1.3340392409528362E-4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1.3340392409528362E-4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1.3340392409528362E-4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1.3340392409528362E-4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1.3340392409528362E-4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1.3340392409528362E-4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1.3340392409528362E-4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1.3340392409528362E-4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1.3340392409528362E-4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1.3340392409528362E-4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1.3340392409528362E-4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1.3340392409528362E-4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1.3340392409528362E-4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1.3340392409528362E-4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1.3340392409528362E-4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1.3340392409528362E-4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1.3340392409528362E-4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1.3340392409528362E-4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1.3340392409528362E-4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1.3340392409528362E-4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1.3340392409528362E-4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1.3340392409528362E-4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1.3340392409528362E-4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1.3340392409528362E-4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1.3340392409528362E-4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1.3340392409528362E-4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1.3340392409528362E-4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1.3340392409528362E-4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1.3340392409528362E-4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1.3340392409528362E-4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1.3340392409528362E-4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1.3340392409528362E-4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1.3340392409528362E-4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1.3340392409528362E-4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1.3340392409528362E-4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1.3340392409528362E-4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1.3340392409528362E-4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1.3340392409528362E-4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1.3340392409528362E-4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1.3340392409528362E-4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1.3340392409528362E-4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1.3340392409528362E-4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1.3340392409528362E-4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1.3340392409528362E-4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1.3340392409528362E-4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1.3340392409528362E-4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1.3340392409528362E-4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1.3340392409528362E-4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1.3340392409528362E-4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1.3340392409528362E-4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1.3340392409528362E-4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1.3340392409528362E-4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1.3340392409528362E-4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1.3340392409528362E-4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1.3340392409528362E-4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1.3340392409528362E-4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1.3340392409528362E-4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1.3340392409528362E-4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1.3340392409528362E-4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1.3340392409528362E-4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1.3340392409528362E-4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1.3340392409528362E-4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1.3340392409528362E-4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1.3340392409528362E-4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1.3340392409528362E-4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1.3340392409528362E-4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1.3340392409528362E-4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1.3340392409528362E-4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1.3340392409528362E-4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1.3340392409528362E-4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1.3340392409528362E-4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1.3340392409528362E-4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1.3340392409528362E-4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1.3340392409528362E-4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1.3340392409528362E-4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1.3340392409528362E-4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1.3340392409528362E-4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1.3340392409528362E-4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1.3340392409528362E-4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1.3340392409528362E-4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1.3340392409528362E-4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1.3340392409528362E-4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1.3340392409528362E-4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1.3340392409528362E-4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1.3340392409528362E-4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1.3340392409528362E-4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1.3340392409528362E-4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1.3340392409528362E-4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1.3340392409528362E-4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1.3340392409528362E-4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1.3340392409528362E-4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1.3340392409528362E-4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1.3340392409528362E-4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1.3340392409528362E-4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1.3340392409528362E-4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1.3340392409528362E-4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1.3340392409528362E-4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1.3340392409528362E-4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1.3340392409528362E-4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1.3340392409528362E-4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1.3340392409528362E-4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1.3340392409528362E-4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1.3340392409528362E-4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1.3340392409528362E-4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1.3340392409528362E-4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1.3340392409528362E-4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1.3340392409528362E-4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1.3340392409528362E-4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1.3340392409528362E-4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1.3340392409528362E-4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1.3340392409528362E-4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1.3340392409528362E-4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1.3340392409528362E-4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1.3340392409528362E-4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1.3340392409528362E-4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1.3340392409528362E-4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1.3340392409528362E-4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1.3340392409528362E-4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1.3340392409528362E-4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1.3340392409528362E-4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1.3340392409528362E-4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1.3340392409528362E-4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1.3340392409528362E-4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1.3340392409528362E-4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1.3340392409528362E-4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1.3340392409528362E-4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1.3340392409528362E-4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1.3340392409528362E-4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1.3340392409528362E-4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1.3340392409528362E-4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1.3340392409528362E-4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1.3340392409528362E-4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1.3340392409528362E-4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1.3340392409528362E-4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1.3340392409528362E-4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1.3340392409528362E-4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1.3340392409528362E-4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1.3340392409528362E-4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1.3340392409528362E-4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1.3340392409528362E-4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1.3340392409528362E-4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1.3340392409528362E-4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1.3340392409528362E-4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1.3340392409528362E-4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1.3340392409528362E-4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1.3340392409528362E-4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1.3340392409528362E-4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1.3340392409528362E-4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1.3340392409528362E-4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1.3340392409528362E-4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1.3340392409528362E-4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1.3340392409528362E-4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1.3340392409528362E-4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1.3340392409528362E-4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1.3340392409528362E-4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1.3340392409528362E-4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1.3340392409528362E-4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1.3340392409528362E-4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1.3340392409528362E-4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1.3340392409528362E-4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1.3340392409528362E-4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1.3340392409528362E-4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1.3340392409528362E-4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1.3340392409528362E-4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1.3340392409528362E-4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1.3340392409528362E-4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1.3340392409528362E-4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1.3340392409528362E-4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1.3340392409528362E-4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1.3340392409528362E-4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1.3340392409528362E-4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1.3340392409528362E-4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1.3340392409528362E-4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1.3340392409528362E-4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1.3340392409528362E-4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1.3340392409528362E-4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1.3340392409528362E-4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1.3340392409528362E-4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1.3340392409528362E-4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1.3340392409528362E-4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1.3340392409528362E-4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1.3340392409528362E-4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1.3340392409528362E-4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1.3340392409528362E-4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1.3340392409528362E-4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1.3340392409528362E-4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1.3340392409528362E-4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1.3340392409528362E-4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1.3340392409528362E-4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1.3340392409528362E-4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1.3340392409528362E-4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1.3340392409528362E-4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1.3340392409528362E-4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1.3340392409528362E-4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1.3340392409528362E-4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1.3340392409528362E-4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1.3340392409528362E-4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1.3340392409528362E-4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1.3340392409528362E-4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1.3340392409528362E-4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1.3340392409528362E-4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1.3340392409528362E-4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1.3340392409528362E-4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1.3340392409528362E-4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1.3340392409528362E-4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1.3340392409528362E-4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1.3340392409528362E-4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1.3340392409528362E-4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1.3340392409528362E-4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1.3340392409528362E-4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1.3340392409528362E-4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1.3340392409528362E-4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1.3340392409528362E-4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1.3340392409528362E-4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1.3340392409528362E-4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1.3340392409528362E-4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1.3340392409528362E-4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1.3340392409528362E-4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1.3340392409528362E-4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1.3340392409528362E-4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1.3340392409528362E-4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1.3340392409528362E-4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1.3340392409528362E-4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1.3340392409528362E-4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1.3340392409528362E-4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1.3340392409528362E-4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1.3340392409528362E-4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1.3340392409528362E-4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1.3340392409528362E-4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1.3340392409528362E-4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1.3340392409528362E-4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1.3340392409528362E-4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1.3340392409528362E-4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1.3340392409528362E-4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1.3340392409528362E-4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1.3340392409528362E-4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1.3340392409528362E-4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1.3340392409528362E-4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1.3340392409528362E-4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1.3340392409528362E-4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1.3340392409528362E-4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1.3340392409528362E-4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1.3340392409528362E-4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1.3340392409528362E-4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1.3340392409528362E-4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1.3340392409528362E-4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1.3340392409528362E-4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1.3340392409528362E-4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1.3340392409528362E-4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1.3340392409528362E-4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1.3340392409528362E-4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1.3340392409528362E-4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1.3340392409528362E-4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1.3340392409528362E-4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1.3340392409528362E-4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1.3340392409528362E-4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1.3340392409528362E-4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1.3340392409528362E-4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1.3340392409528362E-4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1.3340392409528362E-4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1.3340392409528362E-4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1.3340392409528362E-4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1.3340392409528362E-4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1.3340392409528362E-4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1.3340392409528362E-4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1.3340392409528362E-4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1.3340392409528362E-4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1.3340392409528362E-4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1.3340392409528362E-4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1.3340392409528362E-4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1.3340392409528362E-4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1.3340392409528362E-4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1.3340392409528362E-4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1.3340392409528362E-4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1.3340392409528362E-4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1.3340392409528362E-4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1.3340392409528362E-4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1.3340392409528362E-4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1.3340392409528362E-4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1.3340392409528362E-4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1.3340392409528362E-4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1.3340392409528362E-4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1.3340392409528362E-4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1.3340392409528362E-4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1.3340392409528362E-4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1.3340392409528362E-4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1.3340392409528362E-4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1.3340392409528362E-4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1.3340392409528362E-4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1.3340392409528362E-4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1.3340392409528362E-4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1.3340392409528362E-4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1.3340392409528362E-4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1.3340392409528362E-4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1.3340392409528362E-4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1.3340392409528362E-4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1.3340392409528362E-4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1.3340392409528362E-4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1.3340392409528362E-4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1.3340392409528362E-4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1.3340392409528362E-4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1.3340392409528362E-4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1.3340392409528362E-4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1.3340392409528362E-4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1.3340392409528362E-4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1.3340392409528362E-4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1.3340392409528362E-4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1.3340392409528362E-4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1.3340392409528362E-4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1.3340392409528362E-4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1.3340392409528362E-4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1.3340392409528362E-4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1.3340392409528362E-4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1.3340392409528362E-4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1.3340392409528362E-4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1.3340392409528362E-4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1.3340392409528362E-4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1.3340392409528362E-4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1.3340392409528362E-4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1.3340392409528362E-4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1.3340392409528362E-4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1.3340392409528362E-4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1.3340392409528362E-4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1.3340392409528362E-4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1.3340392409528362E-4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1.3340392409528362E-4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1.3340392409528362E-4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1.3340392409528362E-4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1.3340392409528362E-4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1.3340392409528362E-4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1.3340392409528362E-4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1.3340392409528362E-4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1.3340392409528362E-4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1.3340392409528362E-4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1.3340392409528362E-4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1.3340392409528362E-4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1.3340392409528362E-4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1.3340392409528362E-4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1.3340392409528362E-4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1.3340392409528362E-4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1.3340392409528362E-4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1.3340392409528362E-4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1.3340392409528362E-4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1.3340392409528362E-4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1.3340392409528362E-4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1.3340392409528362E-4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1.3340392409528362E-4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1.3340392409528362E-4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1.3340392409528362E-4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1.3340392409528362E-4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1.3340392409528362E-4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1.3340392409528362E-4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1.3340392409528362E-4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1.3340392409528362E-4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1.3340392409528362E-4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1.3340392409528362E-4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1.3340392409528362E-4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1.3340392409528362E-4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1.3340392409528362E-4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1.3340392409528362E-4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1.3340392409528362E-4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1.3340392409528362E-4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1.3340392409528362E-4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1.3340392409528362E-4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1.3340392409528362E-4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1.3340392409528362E-4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1.3340392409528362E-4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1.3340392409528362E-4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1.3340392409528362E-4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1.3340392409528362E-4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1.3340392409528362E-4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1.3340392409528362E-4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1.3340392409528362E-4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1.3340392409528362E-4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1.3340392409528362E-4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1.3340392409528362E-4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1.3340392409528362E-4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1.3340392409528362E-4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1.3340392409528362E-4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1.3340392409528362E-4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1.3340392409528362E-4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1.3340392409528362E-4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1.3340392409528362E-4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1.3340392409528362E-4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1.3340392409528362E-4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1.3340392409528362E-4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1.3340392409528362E-4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1.3340392409528362E-4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1.3340392409528362E-4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1.3340392409528362E-4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1.3340392409528362E-4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1.3340392409528362E-4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1.3340392409528362E-4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1.3340392409528362E-4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1.3340392409528362E-4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1.3340392409528362E-4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1.3340392409528362E-4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1.3340392409528362E-4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1.3340392409528362E-4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1.3340392409528362E-4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1.3340392409528362E-4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1.3340392409528362E-4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1.3340392409528362E-4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1.3340392409528362E-4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1.3340392409528362E-4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1.3340392409528362E-4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1.3340392409528362E-4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1.3340392409528362E-4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1.3340392409528362E-4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1.3340392409528362E-4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1.3340392409528362E-4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1.3340392409528362E-4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1.3340392409528362E-4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1.3340392409528362E-4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1.3340392409528362E-4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1.3340392409528362E-4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1.3340392409528362E-4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1.3340392409528362E-4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1.3340392409528362E-4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1.3340392409528362E-4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1.3340392409528362E-4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1.3340392409528362E-4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1.3340392409528362E-4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1.3340392409528362E-4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1.3340392409528362E-4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1.3340392409528362E-4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1.3340392409528362E-4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1.3340392409528362E-4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1.3340392409528362E-4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1.3340392409528362E-4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1.3340392409528362E-4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1.3340392409528362E-4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1.3340392409528362E-4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1.3340392409528362E-4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1.3340392409528362E-4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1.3340392409528362E-4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1.3340392409528362E-4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1.3340392409528362E-4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1.3340392409528362E-4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1.3340392409528362E-4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1.3340392409528362E-4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1.3340392409528362E-4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1.3340392409528362E-4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1.3340392409528362E-4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1.3340392409528362E-4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1.3340392409528362E-4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1.3340392409528362E-4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1.3340392409528362E-4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1.3340392409528362E-4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1.3340392409528362E-4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1.3340392409528362E-4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1.3340392409528362E-4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1.3340392409528362E-4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1.3340392409528362E-4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1.3340392409528362E-4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1.3340392409528362E-4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1.3340392409528362E-4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1.3340392409528362E-4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1.3340392409528362E-4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1.3340392409528362E-4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1.3340392409528362E-4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1.3340392409528362E-4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1.3340392409528362E-4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1.3340392409528362E-4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1.3340392409528362E-4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1.3340392409528362E-4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1.3340392409528362E-4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1.3340392409528362E-4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1.3340392409528362E-4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1.3340392409528362E-4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1.3340392409528362E-4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1.3340392409528362E-4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1.3340392409528362E-4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1.3340392409528362E-4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1.3340392409528362E-4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1.3340392409528362E-4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1.3340392409528362E-4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1.3340392409528362E-4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1.3340392409528362E-4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1.3340392409528362E-4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1.3340392409528362E-4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1.3340392409528362E-4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1.3340392409528362E-4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1.3340392409528362E-4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1.3340392409528362E-4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1.3340392409528362E-4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1.3340392409528362E-4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1.3340392409528362E-4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1.3340392409528362E-4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1.3340392409528362E-4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1.3340392409528362E-4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1.3340392409528362E-4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1.3340392409528362E-4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1.3340392409528362E-4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1.3340392409528362E-4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1.3340392409528362E-4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1.3340392409528362E-4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1.3340392409528362E-4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1.3340392409528362E-4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1.3340392409528362E-4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1.3340392409528362E-4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1.3340392409528362E-4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1.3340392409528362E-4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1.3340392409528362E-4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1.3340392409528362E-4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1.3340392409528362E-4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1.3340392409528362E-4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1.3340392409528362E-4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1.3340392409528362E-4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1.3340392409528362E-4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1.3340392409528362E-4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1.3340392409528362E-4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1.3340392409528362E-4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1.3340392409528362E-4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1.3340392409528362E-4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1.3340392409528362E-4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1.3340392409528362E-4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1.3340392409528362E-4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1.3340392409528362E-4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1.3340392409528362E-4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1.3340392409528362E-4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1.3340392409528362E-4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1.3340392409528362E-4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1.3340392409528362E-4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1.3340392409528362E-4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1.3340392409528362E-4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1.3340392409528362E-4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1.3340392409528362E-4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1.3340392409528362E-4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1.3340392409528362E-4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1.3340392409528362E-4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1.3340392409528362E-4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1.3340392409528362E-4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1.3340392409528362E-4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1.3340392409528362E-4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1.3340392409528362E-4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1.3340392409528362E-4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1.3340392409528362E-4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1.3340392409528362E-4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1.3340392409528362E-4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1.3340392409528362E-4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1.3340392409528362E-4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1.3340392409528362E-4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1.3340392409528362E-4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1.3340392409528362E-4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1.3340392409528362E-4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1.3340392409528362E-4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1.3340392409528362E-4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1.3340392409528362E-4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1.3340392409528362E-4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1.3340392409528362E-4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1.3340392409528362E-4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1.3340392409528362E-4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1.3340392409528362E-4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1.3340392409528362E-4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1.3340392409528362E-4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1.3340392409528362E-4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1.3340392409528362E-4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1.3340392409528362E-4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1.3340392409528362E-4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1.3340392409528362E-4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1.3340392409528362E-4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1.3340392409528362E-4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1.3340392409528362E-4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1.3340392409528362E-4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1.3340392409528362E-4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1.3340392409528362E-4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1.3340392409528362E-4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1.3340392409528362E-4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1.3340392409528362E-4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1.3340392409528362E-4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1.3340392409528362E-4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1.3340392409528362E-4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1.3340392409528362E-4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1.3340392409528362E-4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1.3340392409528362E-4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1.3340392409528362E-4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1.3340392409528362E-4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1.3340392409528362E-4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1.3340392409528362E-4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1.3340392409528362E-4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1.3340392409528362E-4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1.3340392409528362E-4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1.3340392409528362E-4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1.3340392409528362E-4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1.3340392409528362E-4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1.3340392409528362E-4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1.3340392409528362E-4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1.3340392409528362E-4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1.3340392409528362E-4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1.3340392409528362E-4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1.3340392409528362E-4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1.3340392409528362E-4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1.3340392409528362E-4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1.3340392409528362E-4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1.3340392409528362E-4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1.3340392409528362E-4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1.3340392409528362E-4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1.3340392409528362E-4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1.3340392409528362E-4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1.3340392409528362E-4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1.3340392409528362E-4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1.3340392409528362E-4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1.3340392409528362E-4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1.3340392409528362E-4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1.3340392409528362E-4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1.3340392409528362E-4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1.3340392409528362E-4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1.3340392409528362E-4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1.3340392409528362E-4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1.3340392409528362E-4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1.3340392409528362E-4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1.3340392409528362E-4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1.3340392409528362E-4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1.3340392409528362E-4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1.3340392409528362E-4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1.3340392409528362E-4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1.3340392409528362E-4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1.3340392409528362E-4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1.3340392409528362E-4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1.3340392409528362E-4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1.3340392409528362E-4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1.3340392409528362E-4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1.3340392409528362E-4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1.3340392409528362E-4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1.3340392409528362E-4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1.3340392409528362E-4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1.3340392409528362E-4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1.3340392409528362E-4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1.3340392409528362E-4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1.3340392409528362E-4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1.3340392409528362E-4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1.3340392409528362E-4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1.3340392409528362E-4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1.3340392409528362E-4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1.3340392409528362E-4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1.3340392409528362E-4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1.3340392409528362E-4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1.3340392409528362E-4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1.3340392409528362E-4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1.3340392409528362E-4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1.3340392409528362E-4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1.3340392409528362E-4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1.3340392409528362E-4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1.3340392409528362E-4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1.3340392409528362E-4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1.3340392409528362E-4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1.3340392409528362E-4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1.3340392409528362E-4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1.3340392409528362E-4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1.3340392409528362E-4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1.3340392409528362E-4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1.3340392409528362E-4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1.3340392409528362E-4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1.3340392409528362E-4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1.3340392409528362E-4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1.3340392409528362E-4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1.3340392409528362E-4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1.3340392409528362E-4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1.3340392409528362E-4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1.3340392409528362E-4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1.3340392409528362E-4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1.3340392409528362E-4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1.3340392409528362E-4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1.3340392409528362E-4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1.3340392409528362E-4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1.3340392409528362E-4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1.3340392409528362E-4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1.3340392409528362E-4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1.3340392409528362E-4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1.3340392409528362E-4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1.3340392409528362E-4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1.3340392409528362E-4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1.3340392409528362E-4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1.3340392409528362E-4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1.3340392409528362E-4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1.3340392409528362E-4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1.3340392409528362E-4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1.3340392409528362E-4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1.3340392409528362E-4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1.3340392409528362E-4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1.3340392409528362E-4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1.3340392409528362E-4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1.3340392409528362E-4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1.3340392409528362E-4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1.3340392409528362E-4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1.3340392409528362E-4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1.3340392409528362E-4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1.3340392409528362E-4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1.3340392409528362E-4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1.3340392409528362E-4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1.3340392409528362E-4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1.3340392409528362E-4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1.3340392409528362E-4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1.3340392409528362E-4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1.3340392409528362E-4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1.3340392409528362E-4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5.7109375" style="11" bestFit="1" customWidth="1"/>
    <col min="3" max="3" width="13" style="11" bestFit="1" customWidth="1"/>
    <col min="4" max="4" width="12" style="11" bestFit="1" customWidth="1"/>
    <col min="5" max="7" width="6" style="11" bestFit="1" customWidth="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8" style="11" bestFit="1" customWidth="1"/>
    <col min="13" max="13" width="9.140625" style="11"/>
    <col min="14" max="14" width="10.7109375" style="11" customWidth="1"/>
    <col min="15" max="15" width="5.7109375" style="11" customWidth="1"/>
    <col min="16" max="16" width="5.7109375" style="11" bestFit="1" customWidth="1"/>
    <col min="17" max="17" width="13" style="11" bestFit="1" customWidth="1"/>
    <col min="18" max="18" width="12" style="11" bestFit="1" customWidth="1"/>
    <col min="19" max="21" width="6" style="11" bestFit="1" customWidth="1"/>
    <col min="22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1" t="s">
        <v>7</v>
      </c>
      <c r="C4" s="34" t="s">
        <v>8</v>
      </c>
      <c r="D4" s="34" t="s">
        <v>9</v>
      </c>
      <c r="E4" s="34" t="s">
        <v>950</v>
      </c>
      <c r="F4" s="34" t="s">
        <v>951</v>
      </c>
      <c r="G4" s="51" t="s">
        <v>11</v>
      </c>
      <c r="K4" s="34" t="s">
        <v>950</v>
      </c>
      <c r="L4" s="34" t="s">
        <v>951</v>
      </c>
      <c r="P4" s="51" t="s">
        <v>7</v>
      </c>
      <c r="Q4" s="34" t="s">
        <v>8</v>
      </c>
      <c r="R4" s="34" t="s">
        <v>9</v>
      </c>
      <c r="S4" s="34" t="s">
        <v>950</v>
      </c>
      <c r="T4" s="34" t="s">
        <v>951</v>
      </c>
      <c r="U4" s="51" t="s">
        <v>11</v>
      </c>
    </row>
    <row r="5" spans="2:21" ht="13.9" customHeight="1" x14ac:dyDescent="0.2">
      <c r="B5" s="51"/>
      <c r="C5" s="25" t="s">
        <v>6</v>
      </c>
      <c r="D5" s="25" t="s">
        <v>10</v>
      </c>
      <c r="E5" s="25" t="s">
        <v>6</v>
      </c>
      <c r="F5" s="25" t="s">
        <v>952</v>
      </c>
      <c r="G5" s="51"/>
      <c r="K5" s="25" t="s">
        <v>6</v>
      </c>
      <c r="L5" s="25" t="s">
        <v>952</v>
      </c>
      <c r="P5" s="51"/>
      <c r="Q5" s="25" t="s">
        <v>6</v>
      </c>
      <c r="R5" s="25" t="s">
        <v>10</v>
      </c>
      <c r="S5" s="25" t="s">
        <v>6</v>
      </c>
      <c r="T5" s="25" t="s">
        <v>952</v>
      </c>
      <c r="U5" s="51"/>
    </row>
    <row r="6" spans="2:21" ht="13.9" customHeight="1" x14ac:dyDescent="0.2">
      <c r="B6" s="27">
        <v>0</v>
      </c>
      <c r="C6" s="30">
        <v>-3.9557299373688176E-7</v>
      </c>
      <c r="D6" s="30">
        <v>2.9973307391628619E-11</v>
      </c>
      <c r="E6" s="30">
        <f>ABS(C6)/'İtme Analizi'!$G$17</f>
        <v>2.8691630166360924E-7</v>
      </c>
      <c r="F6" s="30">
        <f>ABS(D6)/'İtme Analizi'!$G$14</f>
        <v>1.720326666767533E-14</v>
      </c>
      <c r="G6" s="30"/>
      <c r="K6" s="30">
        <v>0</v>
      </c>
      <c r="L6" s="30">
        <v>0</v>
      </c>
      <c r="P6" s="27">
        <v>0</v>
      </c>
      <c r="Q6" s="30">
        <v>-3.9557299373688176E-7</v>
      </c>
      <c r="R6" s="30">
        <v>2.9973307391628619E-11</v>
      </c>
      <c r="S6" s="30">
        <f>ABS(Q6)/'İtme Analizi'!$G$17</f>
        <v>2.8691630166360924E-7</v>
      </c>
      <c r="T6" s="30">
        <f>ABS(R6)/'İtme Analizi'!$G$14</f>
        <v>1.720326666767533E-14</v>
      </c>
      <c r="U6" s="30"/>
    </row>
    <row r="7" spans="2:21" ht="13.9" customHeight="1" x14ac:dyDescent="0.2">
      <c r="B7" s="27">
        <v>1</v>
      </c>
      <c r="C7" s="30">
        <v>-6.9657615632707029E-4</v>
      </c>
      <c r="D7" s="30">
        <v>20.040755235291037</v>
      </c>
      <c r="E7" s="30">
        <f>ABS(C7)/'İtme Analizi'!$G$17</f>
        <v>5.0523938126411337E-4</v>
      </c>
      <c r="F7" s="30">
        <f>ABS(D7)/'İtme Analizi'!$G$14</f>
        <v>1.1502449563861396E-2</v>
      </c>
      <c r="G7" s="30">
        <f>G6+(E7-E6)*((F7+F6)/2)</f>
        <v>2.904095130193377E-6</v>
      </c>
      <c r="K7" s="30">
        <f>'İtme Analizi'!$G$24</f>
        <v>3.0297148134698144E-2</v>
      </c>
      <c r="L7" s="30">
        <f>'İtme Analizi'!$G$21</f>
        <v>0.69542482475635059</v>
      </c>
      <c r="P7" s="27">
        <v>1</v>
      </c>
      <c r="Q7" s="30">
        <v>-8.358122729937369E-4</v>
      </c>
      <c r="R7" s="30">
        <v>24.048906282789826</v>
      </c>
      <c r="S7" s="30">
        <f>ABS(Q7)/'İtme Analizi'!$G$17</f>
        <v>6.0622987425660321E-4</v>
      </c>
      <c r="T7" s="30">
        <f>ABS(R7)/'İtme Analizi'!$G$14</f>
        <v>1.380293947688655E-2</v>
      </c>
      <c r="U7" s="30">
        <f>U6+(S7-S6)*((T7+T6)/2)</f>
        <v>4.1818969875540331E-6</v>
      </c>
    </row>
    <row r="8" spans="2:21" ht="13.9" customHeight="1" x14ac:dyDescent="0.2">
      <c r="B8" s="27">
        <v>2</v>
      </c>
      <c r="C8" s="30">
        <v>-1.3927567396604034E-3</v>
      </c>
      <c r="D8" s="30">
        <v>40.123649839101965</v>
      </c>
      <c r="E8" s="30">
        <f>ABS(C8)/'İtme Analizi'!$G$17</f>
        <v>1.0101918462265629E-3</v>
      </c>
      <c r="F8" s="30">
        <f>ABS(D8)/'İtme Analizi'!$G$14</f>
        <v>2.3029085140443484E-2</v>
      </c>
      <c r="G8" s="30">
        <f>G7+(E8-E7)*((F8+F7)/2)</f>
        <v>1.1622486914130938E-5</v>
      </c>
      <c r="H8" s="47"/>
      <c r="I8" s="47"/>
      <c r="J8" s="47"/>
      <c r="K8" s="30">
        <f>'İtme Analizi'!$G$24</f>
        <v>3.0297148134698144E-2</v>
      </c>
      <c r="L8" s="30">
        <v>0</v>
      </c>
      <c r="P8" s="27">
        <v>2</v>
      </c>
      <c r="Q8" s="30">
        <v>-1.6712289729937369E-3</v>
      </c>
      <c r="R8" s="30">
        <v>48.148153421459739</v>
      </c>
      <c r="S8" s="30">
        <f>ABS(Q8)/'İtme Analizi'!$G$17</f>
        <v>1.2121728322115428E-3</v>
      </c>
      <c r="T8" s="30">
        <f>ABS(R8)/'İtme Analizi'!$G$14</f>
        <v>2.7634772233939637E-2</v>
      </c>
      <c r="U8" s="30">
        <f>U7+(S8-S7)*((T8+T7)/2)</f>
        <v>1.6736341790025065E-5</v>
      </c>
    </row>
    <row r="9" spans="2:21" ht="13.9" customHeight="1" x14ac:dyDescent="0.2">
      <c r="B9" s="27">
        <v>3</v>
      </c>
      <c r="C9" s="30">
        <v>-2.0889373229937367E-3</v>
      </c>
      <c r="D9" s="30">
        <v>60.185363584563902</v>
      </c>
      <c r="E9" s="30">
        <f>ABS(C9)/'İtme Analizi'!$G$17</f>
        <v>1.5151443111890124E-3</v>
      </c>
      <c r="F9" s="30">
        <f>ABS(D9)/'İtme Analizi'!$G$14</f>
        <v>3.4543563901974536E-2</v>
      </c>
      <c r="G9" s="30">
        <f t="shared" ref="G9:G72" si="0">G8+(E9-E8)*((F9+F8)/2)</f>
        <v>2.6158212438324432E-5</v>
      </c>
      <c r="H9" s="47"/>
      <c r="I9" s="47"/>
      <c r="J9" s="47"/>
      <c r="P9" s="27">
        <v>3</v>
      </c>
      <c r="Q9" s="30">
        <v>-2.5066456729937372E-3</v>
      </c>
      <c r="R9" s="30">
        <v>72.222339502394917</v>
      </c>
      <c r="S9" s="30">
        <f>ABS(Q9)/'İtme Analizi'!$G$17</f>
        <v>1.8181157901664827E-3</v>
      </c>
      <c r="T9" s="30">
        <f>ABS(R9)/'İtme Analizi'!$G$14</f>
        <v>4.1452221124255846E-2</v>
      </c>
      <c r="U9" s="30">
        <f t="shared" ref="U9:U72" si="1">U8+(S9-S8)*((T9+T8)/2)</f>
        <v>3.7667730345864193E-5</v>
      </c>
    </row>
    <row r="10" spans="2:21" ht="13.9" customHeight="1" x14ac:dyDescent="0.2">
      <c r="B10" s="27">
        <v>4</v>
      </c>
      <c r="C10" s="30">
        <v>-2.78511790632707E-3</v>
      </c>
      <c r="D10" s="30">
        <v>80.247192221083012</v>
      </c>
      <c r="E10" s="30">
        <f>ABS(C10)/'İtme Analizi'!$G$17</f>
        <v>2.020096776151462E-3</v>
      </c>
      <c r="F10" s="30">
        <f>ABS(D10)/'İtme Analizi'!$G$14</f>
        <v>4.6058108605560907E-2</v>
      </c>
      <c r="G10" s="30">
        <f t="shared" si="0"/>
        <v>4.6508219044712493E-5</v>
      </c>
      <c r="H10" s="47"/>
      <c r="I10" s="47"/>
      <c r="J10" s="47"/>
      <c r="K10" s="82" t="s">
        <v>20</v>
      </c>
      <c r="L10" s="83"/>
      <c r="P10" s="27">
        <v>4</v>
      </c>
      <c r="Q10" s="30">
        <v>-3.3420623729937368E-3</v>
      </c>
      <c r="R10" s="30">
        <v>96.296762988479273</v>
      </c>
      <c r="S10" s="30">
        <f>ABS(Q10)/'İtme Analizi'!$G$17</f>
        <v>2.4240587481214222E-3</v>
      </c>
      <c r="T10" s="30">
        <f>ABS(R10)/'İtme Analizi'!$G$14</f>
        <v>5.5269806273945649E-2</v>
      </c>
      <c r="U10" s="30">
        <f t="shared" si="1"/>
        <v>6.6971746036396647E-5</v>
      </c>
    </row>
    <row r="11" spans="2:21" ht="13.9" customHeight="1" x14ac:dyDescent="0.2">
      <c r="B11" s="27">
        <v>5</v>
      </c>
      <c r="C11" s="30">
        <v>-3.4812984896604032E-3</v>
      </c>
      <c r="D11" s="30">
        <v>100.3093986536889</v>
      </c>
      <c r="E11" s="30">
        <f>ABS(C11)/'İtme Analizi'!$G$17</f>
        <v>2.525049241113912E-3</v>
      </c>
      <c r="F11" s="30">
        <f>ABS(D11)/'İtme Analizi'!$G$14</f>
        <v>5.7572870146306493E-2</v>
      </c>
      <c r="G11" s="30">
        <f t="shared" si="0"/>
        <v>7.267257812832585E-5</v>
      </c>
      <c r="H11" s="47"/>
      <c r="I11" s="47"/>
      <c r="J11" s="47"/>
      <c r="K11" s="84"/>
      <c r="L11" s="85"/>
      <c r="P11" s="27">
        <v>5</v>
      </c>
      <c r="Q11" s="30">
        <v>-4.1774790729937365E-3</v>
      </c>
      <c r="R11" s="30">
        <v>120.37054153277944</v>
      </c>
      <c r="S11" s="30">
        <f>ABS(Q11)/'İtme Analizi'!$G$17</f>
        <v>3.0300017060763615E-3</v>
      </c>
      <c r="T11" s="30">
        <f>ABS(R11)/'İtme Analizi'!$G$14</f>
        <v>6.9087021257428785E-2</v>
      </c>
      <c r="U11" s="30">
        <f t="shared" si="1"/>
        <v>1.0464831799452328E-4</v>
      </c>
    </row>
    <row r="12" spans="2:21" ht="13.9" customHeight="1" x14ac:dyDescent="0.2">
      <c r="B12" s="27">
        <v>6</v>
      </c>
      <c r="C12" s="30">
        <v>-4.1774790729937365E-3</v>
      </c>
      <c r="D12" s="30">
        <v>120.37036137643766</v>
      </c>
      <c r="E12" s="30">
        <f>ABS(C12)/'İtme Analizi'!$G$17</f>
        <v>3.0300017060763615E-3</v>
      </c>
      <c r="F12" s="30">
        <f>ABS(D12)/'İtme Analizi'!$G$14</f>
        <v>6.9086917856174157E-2</v>
      </c>
      <c r="G12" s="30">
        <f t="shared" si="0"/>
        <v>1.046511642100628E-4</v>
      </c>
      <c r="H12" s="47"/>
      <c r="I12" s="47"/>
      <c r="J12" s="47"/>
      <c r="K12" s="34" t="s">
        <v>950</v>
      </c>
      <c r="L12" s="34" t="s">
        <v>951</v>
      </c>
      <c r="P12" s="27">
        <v>6</v>
      </c>
      <c r="Q12" s="30">
        <v>-5.0128957729937357E-3</v>
      </c>
      <c r="R12" s="30">
        <v>144.43845626748396</v>
      </c>
      <c r="S12" s="30">
        <f>ABS(Q12)/'İtme Analizi'!$G$17</f>
        <v>3.6359446640313003E-3</v>
      </c>
      <c r="T12" s="30">
        <f>ABS(R12)/'İtme Analizi'!$G$14</f>
        <v>8.290087069039577E-2</v>
      </c>
      <c r="U12" s="30">
        <f t="shared" si="1"/>
        <v>1.5069631440462351E-4</v>
      </c>
    </row>
    <row r="13" spans="2:21" ht="13.9" customHeight="1" x14ac:dyDescent="0.2">
      <c r="B13" s="27">
        <v>7</v>
      </c>
      <c r="C13" s="30">
        <v>-4.8736596563270698E-3</v>
      </c>
      <c r="D13" s="30">
        <v>140.42701988175108</v>
      </c>
      <c r="E13" s="30">
        <f>ABS(C13)/'İtme Analizi'!$G$17</f>
        <v>3.534954171038811E-3</v>
      </c>
      <c r="F13" s="30">
        <f>ABS(D13)/'İtme Analizi'!$G$14</f>
        <v>8.0598495147967228E-2</v>
      </c>
      <c r="G13" s="30">
        <f t="shared" si="0"/>
        <v>1.4244317334274453E-4</v>
      </c>
      <c r="H13" s="47"/>
      <c r="I13" s="47"/>
      <c r="J13" s="47"/>
      <c r="K13" s="25" t="s">
        <v>6</v>
      </c>
      <c r="L13" s="25" t="s">
        <v>952</v>
      </c>
      <c r="P13" s="27">
        <v>7</v>
      </c>
      <c r="Q13" s="30">
        <v>-5.8483124729937358E-3</v>
      </c>
      <c r="R13" s="30">
        <v>168.505052728192</v>
      </c>
      <c r="S13" s="30">
        <f>ABS(Q13)/'İtme Analizi'!$G$17</f>
        <v>4.24188762198624E-3</v>
      </c>
      <c r="T13" s="30">
        <f>ABS(R13)/'İtme Analizi'!$G$14</f>
        <v>9.6713963496180902E-2</v>
      </c>
      <c r="U13" s="30">
        <f t="shared" si="1"/>
        <v>2.0511448636442364E-4</v>
      </c>
    </row>
    <row r="14" spans="2:21" ht="13.9" customHeight="1" x14ac:dyDescent="0.2">
      <c r="B14" s="27">
        <v>8</v>
      </c>
      <c r="C14" s="30">
        <v>-5.5698402396604039E-3</v>
      </c>
      <c r="D14" s="30">
        <v>160.48416209432509</v>
      </c>
      <c r="E14" s="30">
        <f>ABS(C14)/'İtme Analizi'!$G$17</f>
        <v>4.0399066360012614E-3</v>
      </c>
      <c r="F14" s="30">
        <f>ABS(D14)/'İtme Analizi'!$G$14</f>
        <v>9.2110350064944738E-2</v>
      </c>
      <c r="G14" s="30">
        <f t="shared" si="0"/>
        <v>1.8604805189828362E-4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-6.6837291729937359E-3</v>
      </c>
      <c r="R14" s="30">
        <v>192.56291366538701</v>
      </c>
      <c r="S14" s="30">
        <f>ABS(Q14)/'İtme Analizi'!$G$17</f>
        <v>4.8478305799411802E-3</v>
      </c>
      <c r="T14" s="30">
        <f>ABS(R14)/'İtme Analizi'!$G$14</f>
        <v>0.11052204252292215</v>
      </c>
      <c r="U14" s="30">
        <f t="shared" si="1"/>
        <v>2.6790108560541519E-4</v>
      </c>
    </row>
    <row r="15" spans="2:21" ht="13.9" customHeight="1" x14ac:dyDescent="0.2">
      <c r="B15" s="27">
        <v>9</v>
      </c>
      <c r="C15" s="30">
        <v>-6.2660208229937371E-3</v>
      </c>
      <c r="D15" s="30">
        <v>180.53266469266708</v>
      </c>
      <c r="E15" s="30">
        <f>ABS(C15)/'İtme Analizi'!$G$17</f>
        <v>4.5448591009637105E-3</v>
      </c>
      <c r="F15" s="30">
        <f>ABS(D15)/'İtme Analizi'!$G$14</f>
        <v>0.10361724625028822</v>
      </c>
      <c r="G15" s="30">
        <f t="shared" si="0"/>
        <v>2.3546461800855965E-4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-7.5191458729937351E-3</v>
      </c>
      <c r="R15" s="30">
        <v>216.61889605860111</v>
      </c>
      <c r="S15" s="30">
        <f>ABS(Q15)/'İtme Analizi'!$G$17</f>
        <v>5.4537735378961186E-3</v>
      </c>
      <c r="T15" s="30">
        <f>ABS(R15)/'İtme Analizi'!$G$14</f>
        <v>0.12432904335389978</v>
      </c>
      <c r="U15" s="30">
        <f t="shared" si="1"/>
        <v>3.3905426643298059E-4</v>
      </c>
    </row>
    <row r="16" spans="2:21" ht="13.9" customHeight="1" x14ac:dyDescent="0.2">
      <c r="B16" s="27">
        <v>10</v>
      </c>
      <c r="C16" s="30">
        <v>-6.9622014063270713E-3</v>
      </c>
      <c r="D16" s="30">
        <v>200.58267219799976</v>
      </c>
      <c r="E16" s="30">
        <f>ABS(C16)/'İtme Analizi'!$G$17</f>
        <v>5.0498115659261614E-3</v>
      </c>
      <c r="F16" s="30">
        <f>ABS(D16)/'İtme Analizi'!$G$14</f>
        <v>0.11512500618136161</v>
      </c>
      <c r="G16" s="30">
        <f t="shared" si="0"/>
        <v>2.9069183778695975E-4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-8.3545625729937352E-3</v>
      </c>
      <c r="R16" s="30">
        <v>240.66899580724686</v>
      </c>
      <c r="S16" s="30">
        <f>ABS(Q16)/'İtme Analizi'!$G$17</f>
        <v>6.0597164958510587E-3</v>
      </c>
      <c r="T16" s="30">
        <f>ABS(R16)/'İtme Analizi'!$G$14</f>
        <v>0.1381326678239741</v>
      </c>
      <c r="U16" s="30">
        <f t="shared" si="1"/>
        <v>4.1857267924349861E-4</v>
      </c>
    </row>
    <row r="17" spans="2:21" ht="13.9" customHeight="1" x14ac:dyDescent="0.2">
      <c r="B17" s="27">
        <v>11</v>
      </c>
      <c r="C17" s="30">
        <v>-7.6583819896604045E-3</v>
      </c>
      <c r="D17" s="30">
        <v>220.62641645382175</v>
      </c>
      <c r="E17" s="30">
        <f>ABS(C17)/'İtme Analizi'!$G$17</f>
        <v>5.5547640308886105E-3</v>
      </c>
      <c r="F17" s="30">
        <f>ABS(D17)/'İtme Analizi'!$G$14</f>
        <v>0.12662917130222168</v>
      </c>
      <c r="G17" s="30">
        <f t="shared" si="0"/>
        <v>3.5172902170461213E-4</v>
      </c>
      <c r="H17" s="47"/>
      <c r="I17" s="47"/>
      <c r="J17" s="47"/>
      <c r="P17" s="27">
        <v>0</v>
      </c>
      <c r="Q17" s="30">
        <v>-8.3545625729937352E-3</v>
      </c>
      <c r="R17" s="30">
        <v>240.66899580724686</v>
      </c>
      <c r="S17" s="30">
        <f>ABS(Q17)/'İtme Analizi'!$G$17</f>
        <v>6.0597164958510587E-3</v>
      </c>
      <c r="T17" s="30">
        <f>ABS(R17)/'İtme Analizi'!$G$14</f>
        <v>0.1381326678239741</v>
      </c>
      <c r="U17" s="30">
        <f t="shared" si="1"/>
        <v>4.1857267924349861E-4</v>
      </c>
    </row>
    <row r="18" spans="2:21" ht="13.9" customHeight="1" x14ac:dyDescent="0.2">
      <c r="B18" s="27">
        <v>12</v>
      </c>
      <c r="C18" s="30">
        <v>-8.3545625729937369E-3</v>
      </c>
      <c r="D18" s="30">
        <v>240.66862417740205</v>
      </c>
      <c r="E18" s="30">
        <f>ABS(C18)/'İtme Analizi'!$G$17</f>
        <v>6.0597164958510596E-3</v>
      </c>
      <c r="F18" s="30">
        <f>ABS(D18)/'İtme Analizi'!$G$14</f>
        <v>0.13813245452594736</v>
      </c>
      <c r="G18" s="30">
        <f t="shared" si="0"/>
        <v>4.1857503949931194E-4</v>
      </c>
      <c r="H18" s="47"/>
      <c r="I18" s="47"/>
      <c r="J18" s="47"/>
      <c r="K18" s="52" t="s">
        <v>13</v>
      </c>
      <c r="L18" s="54"/>
      <c r="P18" s="27">
        <v>1</v>
      </c>
      <c r="Q18" s="30">
        <v>-9.1899792729937362E-3</v>
      </c>
      <c r="R18" s="30">
        <v>264.73761083918782</v>
      </c>
      <c r="S18" s="30">
        <f>ABS(Q18)/'İtme Analizi'!$G$17</f>
        <v>6.6656594538059988E-3</v>
      </c>
      <c r="T18" s="30">
        <f>ABS(R18)/'İtme Analizi'!$G$14</f>
        <v>0.15194691919457007</v>
      </c>
      <c r="U18" s="30">
        <f t="shared" si="1"/>
        <v>5.064585207436807E-4</v>
      </c>
    </row>
    <row r="19" spans="2:21" ht="13.9" customHeight="1" x14ac:dyDescent="0.2">
      <c r="B19" s="27">
        <v>13</v>
      </c>
      <c r="C19" s="30">
        <v>-9.0507431563270711E-3</v>
      </c>
      <c r="D19" s="30">
        <v>260.71008685992797</v>
      </c>
      <c r="E19" s="30">
        <f>ABS(C19)/'İtme Analizi'!$G$17</f>
        <v>6.5646689608135104E-3</v>
      </c>
      <c r="F19" s="30">
        <f>ABS(D19)/'İtme Analizi'!$G$14</f>
        <v>0.14963531013120004</v>
      </c>
      <c r="G19" s="30">
        <f t="shared" si="0"/>
        <v>4.9122956054949238E-4</v>
      </c>
      <c r="H19" s="47"/>
      <c r="I19" s="47"/>
      <c r="J19" s="47"/>
      <c r="K19" s="30" t="s">
        <v>36</v>
      </c>
      <c r="L19" s="30">
        <f>VLOOKUP($L$16,$F$6:$G$100,2,FALSE)</f>
        <v>1.4135423010143248E-4</v>
      </c>
      <c r="P19" s="27">
        <v>2</v>
      </c>
      <c r="Q19" s="30">
        <v>-1.0025395972993735E-2</v>
      </c>
      <c r="R19" s="30">
        <v>288.80514390360304</v>
      </c>
      <c r="S19" s="30">
        <f>ABS(Q19)/'İtme Analizi'!$G$17</f>
        <v>7.2716024117609381E-3</v>
      </c>
      <c r="T19" s="30">
        <f>ABS(R19)/'İtme Analizi'!$G$14</f>
        <v>0.16576054956676806</v>
      </c>
      <c r="U19" s="30">
        <f t="shared" si="1"/>
        <v>6.0271482243649159E-4</v>
      </c>
    </row>
    <row r="20" spans="2:21" ht="13.9" customHeight="1" x14ac:dyDescent="0.2">
      <c r="B20" s="27">
        <v>14</v>
      </c>
      <c r="C20" s="30">
        <v>-9.7469237396604052E-3</v>
      </c>
      <c r="D20" s="30">
        <v>280.75063547424639</v>
      </c>
      <c r="E20" s="30">
        <f>ABS(C20)/'İtme Analizi'!$G$17</f>
        <v>7.0696214257759604E-3</v>
      </c>
      <c r="F20" s="30">
        <f>ABS(D20)/'İtme Analizi'!$G$14</f>
        <v>0.16113764110435524</v>
      </c>
      <c r="G20" s="30">
        <f t="shared" si="0"/>
        <v>5.6969234443451683E-4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-1.0860812672993735E-2</v>
      </c>
      <c r="R20" s="30">
        <v>312.86302933203757</v>
      </c>
      <c r="S20" s="30">
        <f>ABS(Q20)/'İtme Analizi'!$G$17</f>
        <v>7.8775453697158774E-3</v>
      </c>
      <c r="T20" s="30">
        <f>ABS(R20)/'İtme Analizi'!$G$14</f>
        <v>0.17956864265032724</v>
      </c>
      <c r="U20" s="30">
        <f t="shared" si="1"/>
        <v>7.0733971853659987E-4</v>
      </c>
    </row>
    <row r="21" spans="2:21" ht="13.9" customHeight="1" x14ac:dyDescent="0.2">
      <c r="B21" s="27">
        <v>15</v>
      </c>
      <c r="C21" s="30">
        <v>-1.0443104322993739E-2</v>
      </c>
      <c r="D21" s="30">
        <v>300.78828826757871</v>
      </c>
      <c r="E21" s="30">
        <f>ABS(C21)/'İtme Analizi'!$G$17</f>
        <v>7.5745738907384104E-3</v>
      </c>
      <c r="F21" s="30">
        <f>ABS(D21)/'İtme Analizi'!$G$14</f>
        <v>0.1726383100126607</v>
      </c>
      <c r="G21" s="30">
        <f t="shared" si="0"/>
        <v>6.5396283906537849E-4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-1.1696229372993734E-2</v>
      </c>
      <c r="R21" s="30">
        <v>336.91396981865449</v>
      </c>
      <c r="S21" s="30">
        <f>ABS(Q21)/'İtme Analizi'!$G$17</f>
        <v>8.4834883276708167E-3</v>
      </c>
      <c r="T21" s="30">
        <f>ABS(R21)/'İtme Analizi'!$G$14</f>
        <v>0.19337274966439733</v>
      </c>
      <c r="U21" s="30">
        <f t="shared" si="1"/>
        <v>8.2033032373810867E-4</v>
      </c>
    </row>
    <row r="22" spans="2:21" ht="13.9" customHeight="1" x14ac:dyDescent="0.2">
      <c r="B22" s="27">
        <v>16</v>
      </c>
      <c r="C22" s="30">
        <v>-1.1139284906327072E-2</v>
      </c>
      <c r="D22" s="30">
        <v>320.81908388534976</v>
      </c>
      <c r="E22" s="30">
        <f>ABS(C22)/'İtme Analizi'!$G$17</f>
        <v>8.0795263557008595E-3</v>
      </c>
      <c r="F22" s="30">
        <f>ABS(D22)/'İtme Analizi'!$G$14</f>
        <v>0.18413504322517435</v>
      </c>
      <c r="G22" s="30">
        <f t="shared" si="0"/>
        <v>7.4403963114056022E-4</v>
      </c>
      <c r="H22" s="47"/>
      <c r="I22" s="47"/>
      <c r="J22" s="47"/>
      <c r="P22" s="27">
        <v>5</v>
      </c>
      <c r="Q22" s="30">
        <v>-1.2531646072993735E-2</v>
      </c>
      <c r="R22" s="30">
        <v>360.96752529369485</v>
      </c>
      <c r="S22" s="30">
        <f>ABS(Q22)/'İtme Analizi'!$G$17</f>
        <v>9.0894312856257559E-3</v>
      </c>
      <c r="T22" s="30">
        <f>ABS(R22)/'İtme Analizi'!$G$14</f>
        <v>0.20717835755865371</v>
      </c>
      <c r="U22" s="30">
        <f t="shared" si="1"/>
        <v>9.416858850995395E-4</v>
      </c>
    </row>
    <row r="23" spans="2:21" ht="13.9" customHeight="1" x14ac:dyDescent="0.2">
      <c r="B23" s="27">
        <v>17</v>
      </c>
      <c r="C23" s="30">
        <v>-1.1835465489660406E-2</v>
      </c>
      <c r="D23" s="30">
        <v>340.84373621231305</v>
      </c>
      <c r="E23" s="30">
        <f>ABS(C23)/'İtme Analizi'!$G$17</f>
        <v>8.5844788206633094E-3</v>
      </c>
      <c r="F23" s="30">
        <f>ABS(D23)/'İtme Analizi'!$G$14</f>
        <v>0.19562825047811996</v>
      </c>
      <c r="G23" s="30">
        <f t="shared" si="0"/>
        <v>8.3992083676942889E-4</v>
      </c>
      <c r="H23" s="47"/>
      <c r="I23" s="47"/>
      <c r="J23" s="47"/>
      <c r="K23" s="7" t="s">
        <v>953</v>
      </c>
      <c r="L23" s="30" t="e">
        <f>Spektrum!$C$4*9.8067/$L$15</f>
        <v>#DIV/0!</v>
      </c>
      <c r="P23" s="27">
        <v>6</v>
      </c>
      <c r="Q23" s="30">
        <v>-1.3367062772993734E-2</v>
      </c>
      <c r="R23" s="30">
        <v>385.02090017789067</v>
      </c>
      <c r="S23" s="30">
        <f>ABS(Q23)/'İtme Analizi'!$G$17</f>
        <v>9.6953742435806952E-3</v>
      </c>
      <c r="T23" s="30">
        <f>ABS(R23)/'İtme Analizi'!$G$14</f>
        <v>0.22098386180227136</v>
      </c>
      <c r="U23" s="30">
        <f t="shared" si="1"/>
        <v>1.0714068259415946E-3</v>
      </c>
    </row>
    <row r="24" spans="2:21" ht="13.9" customHeight="1" x14ac:dyDescent="0.2">
      <c r="B24" s="27">
        <v>18</v>
      </c>
      <c r="C24" s="30">
        <v>-1.253164607299374E-2</v>
      </c>
      <c r="D24" s="30">
        <v>360.87255960852872</v>
      </c>
      <c r="E24" s="30">
        <f>ABS(C24)/'İtme Analizi'!$G$17</f>
        <v>9.0894312856257594E-3</v>
      </c>
      <c r="F24" s="30">
        <f>ABS(D24)/'İtme Analizi'!$G$14</f>
        <v>0.2071238517283546</v>
      </c>
      <c r="G24" s="30">
        <f t="shared" si="0"/>
        <v>9.4160617015841286E-4</v>
      </c>
      <c r="H24" s="47"/>
      <c r="I24" s="47"/>
      <c r="J24" s="47"/>
      <c r="K24" s="7" t="s">
        <v>954</v>
      </c>
      <c r="L24" s="30" t="e">
        <f>(1+($L$23-1)*'İtme Analizi'!$G$20/'İtme Analizi'!$G$18)/$L$23</f>
        <v>#DIV/0!</v>
      </c>
      <c r="P24" s="27">
        <v>7</v>
      </c>
      <c r="Q24" s="30">
        <v>-1.4202479472993733E-2</v>
      </c>
      <c r="R24" s="30">
        <v>409.07528973008039</v>
      </c>
      <c r="S24" s="30">
        <f>ABS(Q24)/'İtme Analizi'!$G$17</f>
        <v>1.0301317201535634E-2</v>
      </c>
      <c r="T24" s="30">
        <f>ABS(R24)/'İtme Analizi'!$G$14</f>
        <v>0.23478994841752554</v>
      </c>
      <c r="U24" s="30">
        <f t="shared" si="1"/>
        <v>1.2094932913030831E-3</v>
      </c>
    </row>
    <row r="25" spans="2:21" ht="13.9" customHeight="1" x14ac:dyDescent="0.2">
      <c r="B25" s="27">
        <v>19</v>
      </c>
      <c r="C25" s="30">
        <v>-1.3227826656327074E-2</v>
      </c>
      <c r="D25" s="30">
        <v>380.9012393516428</v>
      </c>
      <c r="E25" s="30">
        <f>ABS(C25)/'İtme Analizi'!$G$17</f>
        <v>9.5943837505882111E-3</v>
      </c>
      <c r="F25" s="30">
        <f>ABS(D25)/'İtme Analizi'!$G$14</f>
        <v>0.21861937052847513</v>
      </c>
      <c r="G25" s="30">
        <f t="shared" si="0"/>
        <v>1.0490962149182345E-3</v>
      </c>
      <c r="H25" s="47"/>
      <c r="I25" s="47"/>
      <c r="J25" s="47"/>
      <c r="P25" s="27">
        <v>8</v>
      </c>
      <c r="Q25" s="30">
        <v>-1.5037896172993734E-2</v>
      </c>
      <c r="R25" s="30">
        <v>433.12992913614232</v>
      </c>
      <c r="S25" s="30">
        <f>ABS(Q25)/'İtme Analizi'!$G$17</f>
        <v>1.0907260159490575E-2</v>
      </c>
      <c r="T25" s="30">
        <f>ABS(R25)/'İtme Analizi'!$G$14</f>
        <v>0.248596178437134</v>
      </c>
      <c r="U25" s="30">
        <f t="shared" si="1"/>
        <v>1.3559455010734305E-3</v>
      </c>
    </row>
    <row r="26" spans="2:21" ht="13.9" customHeight="1" x14ac:dyDescent="0.2">
      <c r="B26" s="27">
        <v>20</v>
      </c>
      <c r="C26" s="30">
        <v>-1.3924007239660407E-2</v>
      </c>
      <c r="D26" s="30">
        <v>400.93033218258995</v>
      </c>
      <c r="E26" s="30">
        <f>ABS(C26)/'İtme Analizi'!$G$17</f>
        <v>1.0099336215550659E-2</v>
      </c>
      <c r="F26" s="30">
        <f>ABS(D26)/'İtme Analizi'!$G$14</f>
        <v>0.23011512642155496</v>
      </c>
      <c r="G26" s="30">
        <f t="shared" si="0"/>
        <v>1.1623910100925353E-3</v>
      </c>
      <c r="H26" s="47"/>
      <c r="I26" s="47"/>
      <c r="J26" s="47"/>
      <c r="P26" s="27">
        <v>9</v>
      </c>
      <c r="Q26" s="30">
        <v>-1.5873312872993733E-2</v>
      </c>
      <c r="R26" s="30">
        <v>457.18551761380127</v>
      </c>
      <c r="S26" s="30">
        <f>ABS(Q26)/'İtme Analizi'!$G$17</f>
        <v>1.1513203117445513E-2</v>
      </c>
      <c r="T26" s="30">
        <f>ABS(R26)/'İtme Analizi'!$G$14</f>
        <v>0.26240295317913681</v>
      </c>
      <c r="U26" s="30">
        <f t="shared" si="1"/>
        <v>1.5107636637354143E-3</v>
      </c>
    </row>
    <row r="27" spans="2:21" ht="13.9" customHeight="1" x14ac:dyDescent="0.2">
      <c r="B27" s="27">
        <v>21</v>
      </c>
      <c r="C27" s="30">
        <v>-1.4620187822993741E-2</v>
      </c>
      <c r="D27" s="30">
        <v>420.96001328972113</v>
      </c>
      <c r="E27" s="30">
        <f>ABS(C27)/'İtme Analizi'!$G$17</f>
        <v>1.0604288680513109E-2</v>
      </c>
      <c r="F27" s="30">
        <f>ABS(D27)/'İtme Analizi'!$G$14</f>
        <v>0.24161121995745599</v>
      </c>
      <c r="G27" s="30">
        <f t="shared" si="0"/>
        <v>1.2814907007884413E-3</v>
      </c>
      <c r="H27" s="47"/>
      <c r="I27" s="47"/>
      <c r="J27" s="47"/>
      <c r="P27" s="27">
        <v>10</v>
      </c>
      <c r="Q27" s="30">
        <v>-1.6708729572993734E-2</v>
      </c>
      <c r="R27" s="30">
        <v>481.24090081829729</v>
      </c>
      <c r="S27" s="30">
        <f>ABS(Q27)/'İtme Analizi'!$G$17</f>
        <v>1.2119146075400454E-2</v>
      </c>
      <c r="T27" s="30">
        <f>ABS(R27)/'İtme Analizi'!$G$14</f>
        <v>0.27620961010401274</v>
      </c>
      <c r="U27" s="30">
        <f t="shared" si="1"/>
        <v>1.6739479086291566E-3</v>
      </c>
    </row>
    <row r="28" spans="2:21" ht="13.9" customHeight="1" x14ac:dyDescent="0.2">
      <c r="B28" s="27">
        <v>22</v>
      </c>
      <c r="C28" s="30">
        <v>-1.5316368406327075E-2</v>
      </c>
      <c r="D28" s="30">
        <v>440.99022462571321</v>
      </c>
      <c r="E28" s="30">
        <f>ABS(C28)/'İtme Analizi'!$G$17</f>
        <v>1.1109241145475559E-2</v>
      </c>
      <c r="F28" s="30">
        <f>ABS(D28)/'İtme Analizi'!$G$14</f>
        <v>0.25310761781974883</v>
      </c>
      <c r="G28" s="30">
        <f t="shared" si="0"/>
        <v>1.4063954490879202E-3</v>
      </c>
      <c r="H28" s="47"/>
      <c r="I28" s="47"/>
      <c r="J28" s="47"/>
      <c r="P28" s="27">
        <v>0</v>
      </c>
      <c r="Q28" s="30">
        <v>-1.6708729572993734E-2</v>
      </c>
      <c r="R28" s="30">
        <v>481.24090081829729</v>
      </c>
      <c r="S28" s="30">
        <f>ABS(Q28)/'İtme Analizi'!$G$17</f>
        <v>1.2119146075400454E-2</v>
      </c>
      <c r="T28" s="30">
        <f>ABS(R28)/'İtme Analizi'!$G$14</f>
        <v>0.27620961010401274</v>
      </c>
      <c r="U28" s="30">
        <f t="shared" si="1"/>
        <v>1.6739479086291566E-3</v>
      </c>
    </row>
    <row r="29" spans="2:21" ht="13.9" customHeight="1" x14ac:dyDescent="0.2">
      <c r="B29" s="27">
        <v>23</v>
      </c>
      <c r="C29" s="30">
        <v>-1.6012548989660407E-2</v>
      </c>
      <c r="D29" s="30">
        <v>461.02082163909887</v>
      </c>
      <c r="E29" s="30">
        <f>ABS(C29)/'İtme Analizi'!$G$17</f>
        <v>1.1614193610438009E-2</v>
      </c>
      <c r="F29" s="30">
        <f>ABS(D29)/'İtme Analizi'!$G$14</f>
        <v>0.26460423704269975</v>
      </c>
      <c r="G29" s="30">
        <f t="shared" si="0"/>
        <v>1.537105387714458E-3</v>
      </c>
      <c r="H29" s="47"/>
      <c r="I29" s="47"/>
      <c r="J29" s="47"/>
      <c r="P29" s="27">
        <v>1</v>
      </c>
      <c r="Q29" s="30">
        <v>-1.7544146272993732E-2</v>
      </c>
      <c r="R29" s="30">
        <v>505.29904554993783</v>
      </c>
      <c r="S29" s="30">
        <f>ABS(Q29)/'İtme Analizi'!$G$17</f>
        <v>1.2725089033355392E-2</v>
      </c>
      <c r="T29" s="30">
        <f>ABS(R29)/'İtme Analizi'!$G$14</f>
        <v>0.2900178520153987</v>
      </c>
      <c r="U29" s="30">
        <f t="shared" si="1"/>
        <v>1.8454986802651334E-3</v>
      </c>
    </row>
    <row r="30" spans="2:21" ht="13.9" customHeight="1" x14ac:dyDescent="0.2">
      <c r="B30" s="27">
        <v>24</v>
      </c>
      <c r="C30" s="30">
        <v>-1.6708729572993741E-2</v>
      </c>
      <c r="D30" s="30">
        <v>481.05115097662821</v>
      </c>
      <c r="E30" s="30">
        <f>ABS(C30)/'İtme Analizi'!$G$17</f>
        <v>1.2119146075400459E-2</v>
      </c>
      <c r="F30" s="30">
        <f>ABS(D30)/'İtme Analizi'!$G$14</f>
        <v>0.27610070263231695</v>
      </c>
      <c r="G30" s="30">
        <f t="shared" si="0"/>
        <v>1.6736205337675942E-3</v>
      </c>
      <c r="H30" s="47"/>
      <c r="I30" s="47"/>
      <c r="J30" s="47"/>
      <c r="P30" s="27">
        <v>2</v>
      </c>
      <c r="Q30" s="30">
        <v>-1.8379562972993733E-2</v>
      </c>
      <c r="R30" s="30">
        <v>529.36569853183062</v>
      </c>
      <c r="S30" s="30">
        <f>ABS(Q30)/'İtme Analizi'!$G$17</f>
        <v>1.3331031991310333E-2</v>
      </c>
      <c r="T30" s="30">
        <f>ABS(R30)/'İtme Analizi'!$G$14</f>
        <v>0.30383097726168168</v>
      </c>
      <c r="U30" s="30">
        <f t="shared" si="1"/>
        <v>2.0254179383602496E-3</v>
      </c>
    </row>
    <row r="31" spans="2:21" ht="13.9" customHeight="1" x14ac:dyDescent="0.2">
      <c r="B31" s="27">
        <v>25</v>
      </c>
      <c r="C31" s="30">
        <v>-1.7404910156327072E-2</v>
      </c>
      <c r="D31" s="30">
        <v>501.08424145604135</v>
      </c>
      <c r="E31" s="30">
        <f>ABS(C31)/'İtme Analizi'!$G$17</f>
        <v>1.2624098540362907E-2</v>
      </c>
      <c r="F31" s="30">
        <f>ABS(D31)/'İtme Analizi'!$G$14</f>
        <v>0.28759875298732274</v>
      </c>
      <c r="G31" s="30">
        <f t="shared" si="0"/>
        <v>1.8159412485741577E-3</v>
      </c>
      <c r="H31" s="47"/>
      <c r="I31" s="47"/>
      <c r="J31" s="47"/>
      <c r="P31" s="27">
        <v>3</v>
      </c>
      <c r="Q31" s="30">
        <v>-1.921497967299373E-2</v>
      </c>
      <c r="R31" s="30">
        <v>553.42733049169897</v>
      </c>
      <c r="S31" s="30">
        <f>ABS(Q31)/'İtme Analizi'!$G$17</f>
        <v>1.393697494926527E-2</v>
      </c>
      <c r="T31" s="30">
        <f>ABS(R31)/'İtme Analizi'!$G$14</f>
        <v>0.31764122067781814</v>
      </c>
      <c r="U31" s="30">
        <f t="shared" si="1"/>
        <v>2.2137062893133582E-3</v>
      </c>
    </row>
    <row r="32" spans="2:21" ht="13.9" customHeight="1" x14ac:dyDescent="0.2">
      <c r="B32" s="27">
        <v>26</v>
      </c>
      <c r="C32" s="30">
        <v>-1.8101090739660406E-2</v>
      </c>
      <c r="D32" s="30">
        <v>521.1232854366358</v>
      </c>
      <c r="E32" s="30">
        <f>ABS(C32)/'İtme Analizi'!$G$17</f>
        <v>1.3129051005325357E-2</v>
      </c>
      <c r="F32" s="30">
        <f>ABS(D32)/'İtme Analizi'!$G$14</f>
        <v>0.29910022037159023</v>
      </c>
      <c r="G32" s="30">
        <f t="shared" si="0"/>
        <v>1.9640687949684186E-3</v>
      </c>
      <c r="H32" s="47"/>
      <c r="I32" s="47"/>
      <c r="J32" s="47"/>
      <c r="P32" s="27">
        <v>4</v>
      </c>
      <c r="Q32" s="30">
        <v>-2.0050396372993731E-2</v>
      </c>
      <c r="R32" s="30">
        <v>577.49060303827673</v>
      </c>
      <c r="S32" s="30">
        <f>ABS(Q32)/'İtme Analizi'!$G$17</f>
        <v>1.4542917907220211E-2</v>
      </c>
      <c r="T32" s="30">
        <f>ABS(R32)/'İtme Analizi'!$G$14</f>
        <v>0.33145240571345247</v>
      </c>
      <c r="U32" s="30">
        <f t="shared" si="1"/>
        <v>2.410363145295971E-3</v>
      </c>
    </row>
    <row r="33" spans="2:21" ht="13.9" customHeight="1" x14ac:dyDescent="0.2">
      <c r="B33" s="27">
        <v>27</v>
      </c>
      <c r="C33" s="30">
        <v>-1.879727132299374E-2</v>
      </c>
      <c r="D33" s="30">
        <v>541.1591169219837</v>
      </c>
      <c r="E33" s="30">
        <f>ABS(C33)/'İtme Analizi'!$G$17</f>
        <v>1.3634003470287807E-2</v>
      </c>
      <c r="F33" s="30">
        <f>ABS(D33)/'İtme Analizi'!$G$14</f>
        <v>0.3105998439348982</v>
      </c>
      <c r="G33" s="30">
        <f t="shared" si="0"/>
        <v>2.1180035701480813E-3</v>
      </c>
      <c r="H33" s="47"/>
      <c r="I33" s="47"/>
      <c r="J33" s="47"/>
      <c r="P33" s="27">
        <v>5</v>
      </c>
      <c r="Q33" s="30">
        <v>-2.0885813072993732E-2</v>
      </c>
      <c r="R33" s="30">
        <v>601.56216307902787</v>
      </c>
      <c r="S33" s="30">
        <f>ABS(Q33)/'İtme Analizi'!$G$17</f>
        <v>1.514886086517515E-2</v>
      </c>
      <c r="T33" s="30">
        <f>ABS(R33)/'İtme Analizi'!$G$14</f>
        <v>0.34526834738039236</v>
      </c>
      <c r="U33" s="30">
        <f t="shared" si="1"/>
        <v>2.6153902327155604E-3</v>
      </c>
    </row>
    <row r="34" spans="2:21" ht="13.9" customHeight="1" x14ac:dyDescent="0.2">
      <c r="B34" s="27">
        <v>28</v>
      </c>
      <c r="C34" s="30">
        <v>-1.9493451906327074E-2</v>
      </c>
      <c r="D34" s="30">
        <v>561.19408270697602</v>
      </c>
      <c r="E34" s="30">
        <f>ABS(C34)/'İtme Analizi'!$G$17</f>
        <v>1.4138955935250257E-2</v>
      </c>
      <c r="F34" s="30">
        <f>ABS(D34)/'İtme Analizi'!$G$14</f>
        <v>0.32209897062697745</v>
      </c>
      <c r="G34" s="30">
        <f t="shared" si="0"/>
        <v>2.2777449831440011E-3</v>
      </c>
      <c r="H34" s="47"/>
      <c r="I34" s="47"/>
      <c r="J34" s="47"/>
      <c r="P34" s="27">
        <v>6</v>
      </c>
      <c r="Q34" s="30">
        <v>-2.172122977299373E-2</v>
      </c>
      <c r="R34" s="30">
        <v>625.63435447728784</v>
      </c>
      <c r="S34" s="30">
        <f>ABS(Q34)/'İtme Analizi'!$G$17</f>
        <v>1.575480382313009E-2</v>
      </c>
      <c r="T34" s="30">
        <f>ABS(R34)/'İtme Analizi'!$G$14</f>
        <v>0.35908465141680468</v>
      </c>
      <c r="U34" s="30">
        <f t="shared" si="1"/>
        <v>2.8287891024833629E-3</v>
      </c>
    </row>
    <row r="35" spans="2:21" ht="13.9" customHeight="1" x14ac:dyDescent="0.2">
      <c r="B35" s="27">
        <v>29</v>
      </c>
      <c r="C35" s="30">
        <v>-2.0189632489660408E-2</v>
      </c>
      <c r="D35" s="30">
        <v>581.23237244191864</v>
      </c>
      <c r="E35" s="30">
        <f>ABS(C35)/'İtme Analizi'!$G$17</f>
        <v>1.4643908400212707E-2</v>
      </c>
      <c r="F35" s="30">
        <f>ABS(D35)/'İtme Analizi'!$G$14</f>
        <v>0.33360000510976662</v>
      </c>
      <c r="G35" s="30">
        <f t="shared" si="0"/>
        <v>2.4432933901798125E-3</v>
      </c>
      <c r="H35" s="47"/>
      <c r="I35" s="47"/>
      <c r="J35" s="47"/>
      <c r="P35" s="27">
        <v>7</v>
      </c>
      <c r="Q35" s="30">
        <v>-2.2556646472993731E-2</v>
      </c>
      <c r="R35" s="30">
        <v>649.70530155645213</v>
      </c>
      <c r="S35" s="30">
        <f>ABS(Q35)/'İtme Analizi'!$G$17</f>
        <v>1.6360746781085029E-2</v>
      </c>
      <c r="T35" s="30">
        <f>ABS(R35)/'İtme Analizi'!$G$14</f>
        <v>0.37290024127266491</v>
      </c>
      <c r="U35" s="30">
        <f t="shared" si="1"/>
        <v>3.050559648010656E-3</v>
      </c>
    </row>
    <row r="36" spans="2:21" ht="13.9" customHeight="1" x14ac:dyDescent="0.2">
      <c r="B36" s="27">
        <v>30</v>
      </c>
      <c r="C36" s="30">
        <v>-2.0885813072993743E-2</v>
      </c>
      <c r="D36" s="30">
        <v>601.27701764250423</v>
      </c>
      <c r="E36" s="30">
        <f>ABS(C36)/'İtme Analizi'!$G$17</f>
        <v>1.5148860865175159E-2</v>
      </c>
      <c r="F36" s="30">
        <f>ABS(D36)/'İtme Analizi'!$G$14</f>
        <v>0.34510468733048549</v>
      </c>
      <c r="G36" s="30">
        <f t="shared" si="0"/>
        <v>2.6146501938944565E-3</v>
      </c>
      <c r="H36" s="47"/>
      <c r="I36" s="47"/>
      <c r="J36" s="47"/>
      <c r="P36" s="27">
        <v>8</v>
      </c>
      <c r="Q36" s="30">
        <v>-2.3392063172993732E-2</v>
      </c>
      <c r="R36" s="30">
        <v>673.76780059889529</v>
      </c>
      <c r="S36" s="30">
        <f>ABS(Q36)/'İtme Analizi'!$G$17</f>
        <v>1.6966689739039968E-2</v>
      </c>
      <c r="T36" s="30">
        <f>ABS(R36)/'İtme Analizi'!$G$14</f>
        <v>0.38671098235335882</v>
      </c>
      <c r="U36" s="30">
        <f t="shared" si="1"/>
        <v>3.2807001838805177E-3</v>
      </c>
    </row>
    <row r="37" spans="2:21" ht="13.9" customHeight="1" x14ac:dyDescent="0.2">
      <c r="B37" s="27">
        <v>31</v>
      </c>
      <c r="C37" s="30">
        <v>-2.1581993656327077E-2</v>
      </c>
      <c r="D37" s="30">
        <v>621.31953629713416</v>
      </c>
      <c r="E37" s="30">
        <f>ABS(C37)/'İtme Analizi'!$G$17</f>
        <v>1.5653813330137607E-2</v>
      </c>
      <c r="F37" s="30">
        <f>ABS(D37)/'İtme Analizi'!$G$14</f>
        <v>0.35660814901398846</v>
      </c>
      <c r="G37" s="30">
        <f t="shared" si="0"/>
        <v>2.7918160070984233E-3</v>
      </c>
      <c r="H37" s="47"/>
      <c r="I37" s="47"/>
      <c r="J37" s="47"/>
      <c r="P37" s="27">
        <v>9</v>
      </c>
      <c r="Q37" s="30">
        <v>-2.4227479872993729E-2</v>
      </c>
      <c r="R37" s="30">
        <v>697.81038334394782</v>
      </c>
      <c r="S37" s="30">
        <f>ABS(Q37)/'İtme Analizi'!$G$17</f>
        <v>1.7572632696994907E-2</v>
      </c>
      <c r="T37" s="30">
        <f>ABS(R37)/'İtme Analizi'!$G$14</f>
        <v>0.40051029241742958</v>
      </c>
      <c r="U37" s="30">
        <f t="shared" si="1"/>
        <v>3.5192057777803524E-3</v>
      </c>
    </row>
    <row r="38" spans="2:21" ht="13.9" customHeight="1" x14ac:dyDescent="0.2">
      <c r="B38" s="27">
        <v>32</v>
      </c>
      <c r="C38" s="30">
        <v>-2.2278174239660411E-2</v>
      </c>
      <c r="D38" s="30">
        <v>641.36249360132979</v>
      </c>
      <c r="E38" s="30">
        <f>ABS(C38)/'İtme Analizi'!$G$17</f>
        <v>1.6158765795100057E-2</v>
      </c>
      <c r="F38" s="30">
        <f>ABS(D38)/'İtme Analizi'!$G$14</f>
        <v>0.36811186246168132</v>
      </c>
      <c r="G38" s="30">
        <f t="shared" si="0"/>
        <v>2.9747905851995504E-3</v>
      </c>
      <c r="H38" s="47"/>
      <c r="I38" s="47"/>
      <c r="J38" s="47"/>
      <c r="P38" s="27">
        <v>10</v>
      </c>
      <c r="Q38" s="30">
        <v>-2.506289657299373E-2</v>
      </c>
      <c r="R38" s="30">
        <v>721.84551054335702</v>
      </c>
      <c r="S38" s="30">
        <f>ABS(Q38)/'İtme Analizi'!$G$17</f>
        <v>1.8178575654949847E-2</v>
      </c>
      <c r="T38" s="30">
        <f>ABS(R38)/'İtme Analizi'!$G$14</f>
        <v>0.41430532334946535</v>
      </c>
      <c r="U38" s="30">
        <f t="shared" si="1"/>
        <v>3.7660716699831863E-3</v>
      </c>
    </row>
    <row r="39" spans="2:21" ht="13.9" customHeight="1" x14ac:dyDescent="0.2">
      <c r="B39" s="27">
        <v>33</v>
      </c>
      <c r="C39" s="30">
        <v>-2.2974354822993742E-2</v>
      </c>
      <c r="D39" s="30">
        <v>661.38319484460681</v>
      </c>
      <c r="E39" s="30">
        <f>ABS(C39)/'İtme Analizi'!$G$17</f>
        <v>1.6663718260062507E-2</v>
      </c>
      <c r="F39" s="30">
        <f>ABS(D39)/'İtme Analizi'!$G$14</f>
        <v>0.37960280197869128</v>
      </c>
      <c r="G39" s="30">
        <f t="shared" si="0"/>
        <v>3.1635707666484189E-3</v>
      </c>
      <c r="H39" s="47"/>
      <c r="I39" s="47"/>
      <c r="J39" s="47"/>
      <c r="P39" s="27">
        <v>0</v>
      </c>
      <c r="Q39" s="30">
        <v>-2.506289657299373E-2</v>
      </c>
      <c r="R39" s="30">
        <v>721.84551054335702</v>
      </c>
      <c r="S39" s="30">
        <f>ABS(Q39)/'İtme Analizi'!$G$17</f>
        <v>1.8178575654949847E-2</v>
      </c>
      <c r="T39" s="30">
        <f>ABS(R39)/'İtme Analizi'!$G$14</f>
        <v>0.41430532334946535</v>
      </c>
      <c r="U39" s="30">
        <f t="shared" si="1"/>
        <v>3.7660716699831863E-3</v>
      </c>
    </row>
    <row r="40" spans="2:21" ht="13.9" customHeight="1" x14ac:dyDescent="0.2">
      <c r="B40" s="27">
        <v>34</v>
      </c>
      <c r="C40" s="30">
        <v>-2.3670535406327076E-2</v>
      </c>
      <c r="D40" s="30">
        <v>681.42291850979382</v>
      </c>
      <c r="E40" s="30">
        <f>ABS(C40)/'İtme Analizi'!$G$17</f>
        <v>1.7168670725024957E-2</v>
      </c>
      <c r="F40" s="30">
        <f>ABS(D40)/'İtme Analizi'!$G$14</f>
        <v>0.39110465946990103</v>
      </c>
      <c r="G40" s="30">
        <f t="shared" si="0"/>
        <v>3.3581560828601286E-3</v>
      </c>
      <c r="H40" s="47"/>
      <c r="I40" s="47"/>
      <c r="J40" s="47"/>
      <c r="P40" s="27">
        <v>1</v>
      </c>
      <c r="Q40" s="30">
        <v>-2.5898313272993731E-2</v>
      </c>
      <c r="R40" s="30">
        <v>745.8504145686768</v>
      </c>
      <c r="S40" s="30">
        <f>ABS(Q40)/'İtme Analizi'!$G$17</f>
        <v>1.8784518612904786E-2</v>
      </c>
      <c r="T40" s="30">
        <f>ABS(R40)/'İtme Analizi'!$G$14</f>
        <v>0.4280830076031179</v>
      </c>
      <c r="U40" s="30">
        <f t="shared" si="1"/>
        <v>4.0212913084852527E-3</v>
      </c>
    </row>
    <row r="41" spans="2:21" ht="13.9" customHeight="1" x14ac:dyDescent="0.2">
      <c r="B41" s="27">
        <v>35</v>
      </c>
      <c r="C41" s="30">
        <v>-2.436671598966041E-2</v>
      </c>
      <c r="D41" s="30">
        <v>701.45107962141151</v>
      </c>
      <c r="E41" s="30">
        <f>ABS(C41)/'İtme Analizi'!$G$17</f>
        <v>1.7673623189987407E-2</v>
      </c>
      <c r="F41" s="30">
        <f>ABS(D41)/'İtme Analizi'!$G$14</f>
        <v>0.40259988059997076</v>
      </c>
      <c r="G41" s="30">
        <f t="shared" si="0"/>
        <v>3.5585476148402135E-3</v>
      </c>
      <c r="H41" s="47"/>
      <c r="I41" s="47"/>
      <c r="J41" s="47"/>
      <c r="P41" s="27">
        <v>2</v>
      </c>
      <c r="Q41" s="30">
        <v>-2.6733729972993728E-2</v>
      </c>
      <c r="R41" s="30">
        <v>769.80582497390799</v>
      </c>
      <c r="S41" s="30">
        <f>ABS(Q41)/'İtme Analizi'!$G$17</f>
        <v>1.9390461570859725E-2</v>
      </c>
      <c r="T41" s="30">
        <f>ABS(R41)/'İtme Analizi'!$G$14</f>
        <v>0.4418322848500425</v>
      </c>
      <c r="U41" s="30">
        <f t="shared" si="1"/>
        <v>4.2848508312249046E-3</v>
      </c>
    </row>
    <row r="42" spans="2:21" ht="13.9" customHeight="1" x14ac:dyDescent="0.2">
      <c r="B42" s="27">
        <v>36</v>
      </c>
      <c r="C42" s="30">
        <v>-2.5062896572993744E-2</v>
      </c>
      <c r="D42" s="30">
        <v>721.45179509060858</v>
      </c>
      <c r="E42" s="30">
        <f>ABS(C42)/'İtme Analizi'!$G$17</f>
        <v>1.8178575654949857E-2</v>
      </c>
      <c r="F42" s="30">
        <f>ABS(D42)/'İtme Analizi'!$G$14</f>
        <v>0.41407934922401041</v>
      </c>
      <c r="G42" s="30">
        <f t="shared" si="0"/>
        <v>3.7647397099318408E-3</v>
      </c>
      <c r="H42" s="47"/>
      <c r="I42" s="47"/>
      <c r="J42" s="47"/>
      <c r="P42" s="27">
        <v>3</v>
      </c>
      <c r="Q42" s="30">
        <v>-2.7569146672993729E-2</v>
      </c>
      <c r="R42" s="30">
        <v>793.77331906802954</v>
      </c>
      <c r="S42" s="30">
        <f>ABS(Q42)/'İtme Analizi'!$G$17</f>
        <v>1.9996404528814665E-2</v>
      </c>
      <c r="T42" s="30">
        <f>ABS(R42)/'İtme Analizi'!$G$14</f>
        <v>0.4555884975652354</v>
      </c>
      <c r="U42" s="30">
        <f t="shared" si="1"/>
        <v>4.5567437329383795E-3</v>
      </c>
    </row>
    <row r="43" spans="2:21" ht="13.9" customHeight="1" x14ac:dyDescent="0.2">
      <c r="B43" s="27">
        <v>37</v>
      </c>
      <c r="C43" s="30">
        <v>-2.5759077156327078E-2</v>
      </c>
      <c r="D43" s="30">
        <v>741.42416843764715</v>
      </c>
      <c r="E43" s="30">
        <f>ABS(C43)/'İtme Analizi'!$G$17</f>
        <v>1.8683528119912307E-2</v>
      </c>
      <c r="F43" s="30">
        <f>ABS(D43)/'İtme Analizi'!$G$14</f>
        <v>0.42554255080487563</v>
      </c>
      <c r="G43" s="30">
        <f t="shared" si="0"/>
        <v>3.9767242839598618E-3</v>
      </c>
      <c r="H43" s="47"/>
      <c r="I43" s="47"/>
      <c r="J43" s="47"/>
      <c r="P43" s="27">
        <v>4</v>
      </c>
      <c r="Q43" s="30">
        <v>-2.8404563372993727E-2</v>
      </c>
      <c r="R43" s="30">
        <v>817.71814503216092</v>
      </c>
      <c r="S43" s="30">
        <f>ABS(Q43)/'İtme Analizi'!$G$17</f>
        <v>2.0602347486769604E-2</v>
      </c>
      <c r="T43" s="30">
        <f>ABS(R43)/'İtme Analizi'!$G$14</f>
        <v>0.46933169984150735</v>
      </c>
      <c r="U43" s="30">
        <f t="shared" si="1"/>
        <v>4.8369681730828333E-3</v>
      </c>
    </row>
    <row r="44" spans="2:21" ht="13.9" customHeight="1" x14ac:dyDescent="0.2">
      <c r="B44" s="27">
        <v>38</v>
      </c>
      <c r="C44" s="30">
        <v>-2.6455257739660412E-2</v>
      </c>
      <c r="D44" s="30">
        <v>761.3676776777362</v>
      </c>
      <c r="E44" s="30">
        <f>ABS(C44)/'İtme Analizi'!$G$17</f>
        <v>1.9188480584874757E-2</v>
      </c>
      <c r="F44" s="30">
        <f>ABS(D44)/'İtme Analizi'!$G$14</f>
        <v>0.43698918574788237</v>
      </c>
      <c r="G44" s="30">
        <f t="shared" si="0"/>
        <v>4.1944930472001905E-3</v>
      </c>
      <c r="H44" s="47"/>
      <c r="I44" s="47"/>
      <c r="J44" s="47"/>
      <c r="P44" s="27">
        <v>5</v>
      </c>
      <c r="Q44" s="30">
        <v>-2.9239980072993728E-2</v>
      </c>
      <c r="R44" s="30">
        <v>841.60178163274054</v>
      </c>
      <c r="S44" s="30">
        <f>ABS(Q44)/'İtme Analizi'!$G$17</f>
        <v>2.1208290444724543E-2</v>
      </c>
      <c r="T44" s="30">
        <f>ABS(R44)/'İtme Analizi'!$G$14</f>
        <v>0.48303978230518557</v>
      </c>
      <c r="U44" s="30">
        <f t="shared" si="1"/>
        <v>5.1255095695647819E-3</v>
      </c>
    </row>
    <row r="45" spans="2:21" ht="13.9" customHeight="1" x14ac:dyDescent="0.2">
      <c r="B45" s="27">
        <v>39</v>
      </c>
      <c r="C45" s="30">
        <v>-2.7151438322993746E-2</v>
      </c>
      <c r="D45" s="30">
        <v>781.32644290327562</v>
      </c>
      <c r="E45" s="30">
        <f>ABS(C45)/'İtme Analizi'!$G$17</f>
        <v>1.9693433049837207E-2</v>
      </c>
      <c r="F45" s="30">
        <f>ABS(D45)/'İtme Analizi'!$G$14</f>
        <v>0.44844457690796424</v>
      </c>
      <c r="G45" s="30">
        <f t="shared" si="0"/>
        <v>4.4180440277072136E-3</v>
      </c>
      <c r="H45" s="47"/>
      <c r="I45" s="47"/>
      <c r="J45" s="47"/>
      <c r="P45" s="27">
        <v>6</v>
      </c>
      <c r="Q45" s="30">
        <v>-3.0075396772993729E-2</v>
      </c>
      <c r="R45" s="30">
        <v>865.52225928911776</v>
      </c>
      <c r="S45" s="30">
        <f>ABS(Q45)/'İtme Analizi'!$G$17</f>
        <v>2.1814233402679482E-2</v>
      </c>
      <c r="T45" s="30">
        <f>ABS(R45)/'İtme Analizi'!$G$14</f>
        <v>0.49676900979963817</v>
      </c>
      <c r="U45" s="30">
        <f t="shared" si="1"/>
        <v>5.4223636884239085E-3</v>
      </c>
    </row>
    <row r="46" spans="2:21" ht="13.9" customHeight="1" x14ac:dyDescent="0.2">
      <c r="B46" s="27">
        <v>40</v>
      </c>
      <c r="C46" s="30">
        <v>-2.7847618906327077E-2</v>
      </c>
      <c r="D46" s="30">
        <v>801.26227499059064</v>
      </c>
      <c r="E46" s="30">
        <f>ABS(C46)/'İtme Analizi'!$G$17</f>
        <v>2.0198385514799657E-2</v>
      </c>
      <c r="F46" s="30">
        <f>ABS(D46)/'İtme Analizi'!$G$14</f>
        <v>0.45988680552688094</v>
      </c>
      <c r="G46" s="30">
        <f t="shared" si="0"/>
        <v>4.6473761129888257E-3</v>
      </c>
      <c r="H46" s="47"/>
      <c r="I46" s="47"/>
      <c r="J46" s="47"/>
      <c r="P46" s="27">
        <v>7</v>
      </c>
      <c r="Q46" s="30">
        <v>-3.0910813472993726E-2</v>
      </c>
      <c r="R46" s="30">
        <v>889.37592840430341</v>
      </c>
      <c r="S46" s="30">
        <f>ABS(Q46)/'İtme Analizi'!$G$17</f>
        <v>2.2420176360634422E-2</v>
      </c>
      <c r="T46" s="30">
        <f>ABS(R46)/'İtme Analizi'!$G$14</f>
        <v>0.51045989233820122</v>
      </c>
      <c r="U46" s="30">
        <f t="shared" si="1"/>
        <v>5.7275253185734626E-3</v>
      </c>
    </row>
    <row r="47" spans="2:21" ht="13.9" customHeight="1" x14ac:dyDescent="0.2">
      <c r="B47" s="27">
        <v>41</v>
      </c>
      <c r="C47" s="30">
        <v>-2.8543799489660411E-2</v>
      </c>
      <c r="D47" s="30">
        <v>821.2039490316738</v>
      </c>
      <c r="E47" s="30">
        <f>ABS(C47)/'İtme Analizi'!$G$17</f>
        <v>2.0703337979762107E-2</v>
      </c>
      <c r="F47" s="30">
        <f>ABS(D47)/'İtme Analizi'!$G$14</f>
        <v>0.47133238715209813</v>
      </c>
      <c r="G47" s="30">
        <f t="shared" si="0"/>
        <v>4.8824868263706222E-3</v>
      </c>
      <c r="H47" s="47"/>
      <c r="I47" s="47"/>
      <c r="J47" s="47"/>
      <c r="P47" s="27">
        <v>8</v>
      </c>
      <c r="Q47" s="30">
        <v>-3.1746230172993731E-2</v>
      </c>
      <c r="R47" s="30">
        <v>913.18885747932211</v>
      </c>
      <c r="S47" s="30">
        <f>ABS(Q47)/'İtme Analizi'!$G$17</f>
        <v>2.3026119318589364E-2</v>
      </c>
      <c r="T47" s="30">
        <f>ABS(R47)/'İtme Analizi'!$G$14</f>
        <v>0.52412739201260816</v>
      </c>
      <c r="U47" s="30">
        <f t="shared" si="1"/>
        <v>6.0409757582445128E-3</v>
      </c>
    </row>
    <row r="48" spans="2:21" ht="13.9" customHeight="1" x14ac:dyDescent="0.2">
      <c r="B48" s="27">
        <v>42</v>
      </c>
      <c r="C48" s="30">
        <v>-2.9239980072993745E-2</v>
      </c>
      <c r="D48" s="30">
        <v>841.07691548061007</v>
      </c>
      <c r="E48" s="30">
        <f>ABS(C48)/'İtme Analizi'!$G$17</f>
        <v>2.1208290444724557E-2</v>
      </c>
      <c r="F48" s="30">
        <f>ABS(D48)/'İtme Analizi'!$G$14</f>
        <v>0.48273853385562476</v>
      </c>
      <c r="G48" s="30">
        <f t="shared" si="0"/>
        <v>5.1233670580265447E-3</v>
      </c>
      <c r="H48" s="47"/>
      <c r="I48" s="47"/>
      <c r="J48" s="47"/>
      <c r="P48" s="27">
        <v>9</v>
      </c>
      <c r="Q48" s="30">
        <v>-3.2581646872993732E-2</v>
      </c>
      <c r="R48" s="30">
        <v>936.62751383485613</v>
      </c>
      <c r="S48" s="30">
        <f>ABS(Q48)/'İtme Analizi'!$G$17</f>
        <v>2.3632062276544304E-2</v>
      </c>
      <c r="T48" s="30">
        <f>ABS(R48)/'İtme Analizi'!$G$14</f>
        <v>0.53758007677468</v>
      </c>
      <c r="U48" s="30">
        <f t="shared" si="1"/>
        <v>6.3626428403044232E-3</v>
      </c>
    </row>
    <row r="49" spans="2:21" ht="13.9" customHeight="1" x14ac:dyDescent="0.2">
      <c r="B49" s="27">
        <v>43</v>
      </c>
      <c r="C49" s="30">
        <v>-2.9936160656327079E-2</v>
      </c>
      <c r="D49" s="30">
        <v>860.99079380625915</v>
      </c>
      <c r="E49" s="30">
        <f>ABS(C49)/'İtme Analizi'!$G$17</f>
        <v>2.1713242909687007E-2</v>
      </c>
      <c r="F49" s="30">
        <f>ABS(D49)/'İtme Analizi'!$G$14</f>
        <v>0.49416816204939107</v>
      </c>
      <c r="G49" s="30">
        <f t="shared" si="0"/>
        <v>5.3700127800943246E-3</v>
      </c>
      <c r="H49" s="47"/>
      <c r="I49" s="47"/>
      <c r="J49" s="47"/>
      <c r="P49" s="27">
        <v>10</v>
      </c>
      <c r="Q49" s="30">
        <v>-3.3417063572993726E-2</v>
      </c>
      <c r="R49" s="30">
        <v>960.05777269863495</v>
      </c>
      <c r="S49" s="30">
        <f>ABS(Q49)/'İtme Analizi'!$G$17</f>
        <v>2.4238005234499239E-2</v>
      </c>
      <c r="T49" s="30">
        <f>ABS(R49)/'İtme Analizi'!$G$14</f>
        <v>0.5510279417720152</v>
      </c>
      <c r="U49" s="30">
        <f t="shared" si="1"/>
        <v>6.6924600217102463E-3</v>
      </c>
    </row>
    <row r="50" spans="2:21" ht="13.9" customHeight="1" x14ac:dyDescent="0.2">
      <c r="B50" s="27">
        <v>44</v>
      </c>
      <c r="C50" s="30">
        <v>-3.0632341239660413E-2</v>
      </c>
      <c r="D50" s="30">
        <v>880.85797171228126</v>
      </c>
      <c r="E50" s="30">
        <f>ABS(C50)/'İtme Analizi'!$G$17</f>
        <v>2.2218195374649457E-2</v>
      </c>
      <c r="F50" s="30">
        <f>ABS(D50)/'İtme Analizi'!$G$14</f>
        <v>0.50557098640193154</v>
      </c>
      <c r="G50" s="30">
        <f t="shared" si="0"/>
        <v>5.6224231537593027E-3</v>
      </c>
      <c r="H50" s="47"/>
      <c r="I50" s="47"/>
      <c r="J50" s="47"/>
      <c r="P50" s="27">
        <v>0</v>
      </c>
      <c r="Q50" s="30">
        <v>-3.3417063572993726E-2</v>
      </c>
      <c r="R50" s="30">
        <v>960.05777269863495</v>
      </c>
      <c r="S50" s="30">
        <f>ABS(Q50)/'İtme Analizi'!$G$17</f>
        <v>2.4238005234499239E-2</v>
      </c>
      <c r="T50" s="30">
        <f>ABS(R50)/'İtme Analizi'!$G$14</f>
        <v>0.5510279417720152</v>
      </c>
      <c r="U50" s="30">
        <f t="shared" si="1"/>
        <v>6.6924600217102463E-3</v>
      </c>
    </row>
    <row r="51" spans="2:21" ht="13.9" customHeight="1" x14ac:dyDescent="0.2">
      <c r="B51" s="27">
        <v>45</v>
      </c>
      <c r="C51" s="30">
        <v>-3.1328521822993748E-2</v>
      </c>
      <c r="D51" s="30">
        <v>900.72388584847965</v>
      </c>
      <c r="E51" s="30">
        <f>ABS(C51)/'İtme Analizi'!$G$17</f>
        <v>2.2723147839611907E-2</v>
      </c>
      <c r="F51" s="30">
        <f>ABS(D51)/'İtme Analizi'!$G$14</f>
        <v>0.51697308541011822</v>
      </c>
      <c r="G51" s="30">
        <f t="shared" si="0"/>
        <v>5.8805912285564204E-3</v>
      </c>
      <c r="H51" s="47"/>
      <c r="I51" s="47"/>
      <c r="J51" s="47"/>
      <c r="P51" s="27">
        <v>1</v>
      </c>
      <c r="Q51" s="30">
        <v>-3.4252480272993727E-2</v>
      </c>
      <c r="R51" s="30">
        <v>983.3097368119586</v>
      </c>
      <c r="S51" s="30">
        <f>ABS(Q51)/'İtme Analizi'!$G$17</f>
        <v>2.4843948192454182E-2</v>
      </c>
      <c r="T51" s="30">
        <f>ABS(R51)/'İtme Analizi'!$G$14</f>
        <v>0.56437347398046422</v>
      </c>
      <c r="U51" s="30">
        <f t="shared" si="1"/>
        <v>7.0303948382943408E-3</v>
      </c>
    </row>
    <row r="52" spans="2:21" ht="13.9" customHeight="1" x14ac:dyDescent="0.2">
      <c r="B52" s="27">
        <v>46</v>
      </c>
      <c r="C52" s="30">
        <v>-3.2024702406327078E-2</v>
      </c>
      <c r="D52" s="30">
        <v>920.47555824108326</v>
      </c>
      <c r="E52" s="30">
        <f>ABS(C52)/'İtme Analizi'!$G$17</f>
        <v>2.3228100304574353E-2</v>
      </c>
      <c r="F52" s="30">
        <f>ABS(D52)/'İtme Analizi'!$G$14</f>
        <v>0.5283096150383908</v>
      </c>
      <c r="G52" s="30">
        <f t="shared" si="0"/>
        <v>6.1445002666434588E-3</v>
      </c>
      <c r="H52" s="47"/>
      <c r="I52" s="47"/>
      <c r="J52" s="47"/>
      <c r="P52" s="27">
        <v>2</v>
      </c>
      <c r="Q52" s="30">
        <v>-3.5087896972993735E-2</v>
      </c>
      <c r="R52" s="30">
        <v>1005.766496206067</v>
      </c>
      <c r="S52" s="30">
        <f>ABS(Q52)/'İtme Analizi'!$G$17</f>
        <v>2.5449891150409125E-2</v>
      </c>
      <c r="T52" s="30">
        <f>ABS(R52)/'İtme Analizi'!$G$14</f>
        <v>0.57726259613508402</v>
      </c>
      <c r="U52" s="30">
        <f t="shared" si="1"/>
        <v>7.3762780069112762E-3</v>
      </c>
    </row>
    <row r="53" spans="2:21" ht="13.9" customHeight="1" x14ac:dyDescent="0.2">
      <c r="B53" s="27">
        <v>47</v>
      </c>
      <c r="C53" s="30">
        <v>-3.2720882989660409E-2</v>
      </c>
      <c r="D53" s="30">
        <v>939.9162896227599</v>
      </c>
      <c r="E53" s="30">
        <f>ABS(C53)/'İtme Analizi'!$G$17</f>
        <v>2.3733052769536803E-2</v>
      </c>
      <c r="F53" s="30">
        <f>ABS(D53)/'İtme Analizi'!$G$14</f>
        <v>0.53946767917204852</v>
      </c>
      <c r="G53" s="30">
        <f t="shared" si="0"/>
        <v>6.4140886550147075E-3</v>
      </c>
      <c r="H53" s="47"/>
      <c r="I53" s="47"/>
      <c r="J53" s="47"/>
      <c r="P53" s="27">
        <v>3</v>
      </c>
      <c r="Q53" s="30">
        <v>-3.5923313672993736E-2</v>
      </c>
      <c r="R53" s="30">
        <v>1028.3302424349331</v>
      </c>
      <c r="S53" s="30">
        <f>ABS(Q53)/'İtme Analizi'!$G$17</f>
        <v>2.6055834108364068E-2</v>
      </c>
      <c r="T53" s="30">
        <f>ABS(R53)/'İtme Analizi'!$G$14</f>
        <v>0.59021312369365941</v>
      </c>
      <c r="U53" s="30">
        <f t="shared" si="1"/>
        <v>7.7299898524180784E-3</v>
      </c>
    </row>
    <row r="54" spans="2:21" ht="13.9" customHeight="1" x14ac:dyDescent="0.2">
      <c r="B54" s="27">
        <v>48</v>
      </c>
      <c r="C54" s="30">
        <v>-3.341706357299374E-2</v>
      </c>
      <c r="D54" s="30">
        <v>959.40932294640186</v>
      </c>
      <c r="E54" s="30">
        <f>ABS(C54)/'İtme Analizi'!$G$17</f>
        <v>2.423800523449925E-2</v>
      </c>
      <c r="F54" s="30">
        <f>ABS(D54)/'İtme Analizi'!$G$14</f>
        <v>0.55065576215691636</v>
      </c>
      <c r="G54" s="30">
        <f t="shared" si="0"/>
        <v>6.6893189144209102E-3</v>
      </c>
      <c r="H54" s="47"/>
      <c r="I54" s="47"/>
      <c r="J54" s="47"/>
      <c r="P54" s="27">
        <v>4</v>
      </c>
      <c r="Q54" s="30">
        <v>-3.6758730372993736E-2</v>
      </c>
      <c r="R54" s="30">
        <v>1050.9641119865148</v>
      </c>
      <c r="S54" s="30">
        <f>ABS(Q54)/'İtme Analizi'!$G$17</f>
        <v>2.6661777066319007E-2</v>
      </c>
      <c r="T54" s="30">
        <f>ABS(R54)/'İtme Analizi'!$G$14</f>
        <v>0.60320389873658931</v>
      </c>
      <c r="U54" s="30">
        <f t="shared" si="1"/>
        <v>8.0915611727406592E-3</v>
      </c>
    </row>
    <row r="55" spans="2:21" ht="13.9" customHeight="1" x14ac:dyDescent="0.2">
      <c r="B55" s="27">
        <v>49</v>
      </c>
      <c r="C55" s="30">
        <v>-3.411324415632707E-2</v>
      </c>
      <c r="D55" s="30">
        <v>978.63992755083359</v>
      </c>
      <c r="E55" s="30">
        <f>ABS(C55)/'İtme Analizi'!$G$17</f>
        <v>2.4742957699461696E-2</v>
      </c>
      <c r="F55" s="30">
        <f>ABS(D55)/'İtme Analizi'!$G$14</f>
        <v>0.56169322341763339</v>
      </c>
      <c r="G55" s="30">
        <f t="shared" si="0"/>
        <v>6.970160595503083E-3</v>
      </c>
      <c r="H55" s="47"/>
      <c r="I55" s="47"/>
      <c r="J55" s="47"/>
      <c r="P55" s="27">
        <v>5</v>
      </c>
      <c r="Q55" s="30">
        <v>-3.7594147072993744E-2</v>
      </c>
      <c r="R55" s="30">
        <v>1073.5983678461291</v>
      </c>
      <c r="S55" s="30">
        <f>ABS(Q55)/'İtme Analizi'!$G$17</f>
        <v>2.7267720024273953E-2</v>
      </c>
      <c r="T55" s="30">
        <f>ABS(R55)/'İtme Analizi'!$G$14</f>
        <v>0.61619489550213447</v>
      </c>
      <c r="U55" s="30">
        <f t="shared" si="1"/>
        <v>8.4610042288945121E-3</v>
      </c>
    </row>
    <row r="56" spans="2:21" ht="13.9" customHeight="1" x14ac:dyDescent="0.2">
      <c r="B56" s="27">
        <v>50</v>
      </c>
      <c r="C56" s="30">
        <v>-3.4809424739660401E-2</v>
      </c>
      <c r="D56" s="30">
        <v>997.13158076687205</v>
      </c>
      <c r="E56" s="30">
        <f>ABS(C56)/'İtme Analizi'!$G$17</f>
        <v>2.5247910164424146E-2</v>
      </c>
      <c r="F56" s="30">
        <f>ABS(D56)/'İtme Analizi'!$G$14</f>
        <v>0.57230656138682046</v>
      </c>
      <c r="G56" s="30">
        <f t="shared" si="0"/>
        <v>7.2564685888050311E-3</v>
      </c>
      <c r="H56" s="47"/>
      <c r="I56" s="47"/>
      <c r="J56" s="47"/>
      <c r="P56" s="27">
        <v>6</v>
      </c>
      <c r="Q56" s="30">
        <v>-3.8429563772993745E-2</v>
      </c>
      <c r="R56" s="30">
        <v>1096.2311856751244</v>
      </c>
      <c r="S56" s="30">
        <f>ABS(Q56)/'İtme Analizi'!$G$17</f>
        <v>2.7873662982228892E-2</v>
      </c>
      <c r="T56" s="30">
        <f>ABS(R56)/'İtme Analizi'!$G$14</f>
        <v>0.62918506690583709</v>
      </c>
      <c r="U56" s="30">
        <f t="shared" si="1"/>
        <v>8.8383188379941614E-3</v>
      </c>
    </row>
    <row r="57" spans="2:21" ht="13.9" customHeight="1" x14ac:dyDescent="0.2">
      <c r="B57" s="27">
        <v>51</v>
      </c>
      <c r="C57" s="30">
        <v>-3.5505605322993732E-2</v>
      </c>
      <c r="D57" s="30">
        <v>1015.7874886321879</v>
      </c>
      <c r="E57" s="30">
        <f>ABS(C57)/'İtme Analizi'!$G$17</f>
        <v>2.5752862629386593E-2</v>
      </c>
      <c r="F57" s="30">
        <f>ABS(D57)/'İtme Analizi'!$G$14</f>
        <v>0.58301417378812137</v>
      </c>
      <c r="G57" s="30">
        <f t="shared" si="0"/>
        <v>7.5481596153294372E-3</v>
      </c>
      <c r="H57" s="47"/>
      <c r="I57" s="47"/>
      <c r="J57" s="47"/>
      <c r="P57" s="27">
        <v>7</v>
      </c>
      <c r="Q57" s="30">
        <v>-3.9264980472993746E-2</v>
      </c>
      <c r="R57" s="30">
        <v>1118.8614476900239</v>
      </c>
      <c r="S57" s="30">
        <f>ABS(Q57)/'İtme Analizi'!$G$17</f>
        <v>2.8479605940183832E-2</v>
      </c>
      <c r="T57" s="30">
        <f>ABS(R57)/'İtme Analizi'!$G$14</f>
        <v>0.64217377139263032</v>
      </c>
      <c r="U57" s="30">
        <f t="shared" si="1"/>
        <v>9.2235043055445259E-3</v>
      </c>
    </row>
    <row r="58" spans="2:21" ht="13.9" customHeight="1" x14ac:dyDescent="0.2">
      <c r="B58" s="27">
        <v>52</v>
      </c>
      <c r="C58" s="30">
        <v>-3.6201785906327062E-2</v>
      </c>
      <c r="D58" s="30">
        <v>1034.5040314002074</v>
      </c>
      <c r="E58" s="30">
        <f>ABS(C58)/'İtme Analizi'!$G$17</f>
        <v>2.6257815094349043E-2</v>
      </c>
      <c r="F58" s="30">
        <f>ABS(D58)/'İtme Analizi'!$G$14</f>
        <v>0.59375658776760498</v>
      </c>
      <c r="G58" s="30">
        <f t="shared" si="0"/>
        <v>7.8452662637010888E-3</v>
      </c>
      <c r="H58" s="47"/>
      <c r="I58" s="47"/>
      <c r="J58" s="47"/>
      <c r="P58" s="27">
        <v>8</v>
      </c>
      <c r="Q58" s="30">
        <v>-4.0100397172993754E-2</v>
      </c>
      <c r="R58" s="30">
        <v>1141.4907366813688</v>
      </c>
      <c r="S58" s="30">
        <f>ABS(Q58)/'İtme Analizi'!$G$17</f>
        <v>2.9085548898138778E-2</v>
      </c>
      <c r="T58" s="30">
        <f>ABS(R58)/'İtme Analizi'!$G$14</f>
        <v>0.65516191740973373</v>
      </c>
      <c r="U58" s="30">
        <f t="shared" si="1"/>
        <v>9.6165600179112364E-3</v>
      </c>
    </row>
    <row r="59" spans="2:21" ht="13.9" customHeight="1" x14ac:dyDescent="0.2">
      <c r="B59" s="27">
        <v>53</v>
      </c>
      <c r="C59" s="30">
        <v>-3.6897966489660393E-2</v>
      </c>
      <c r="D59" s="30">
        <v>1053.2205156623093</v>
      </c>
      <c r="E59" s="30">
        <f>ABS(C59)/'İtme Analizi'!$G$17</f>
        <v>2.6762767559311489E-2</v>
      </c>
      <c r="F59" s="30">
        <f>ABS(D59)/'İtme Analizi'!$G$14</f>
        <v>0.60449896816744753</v>
      </c>
      <c r="G59" s="30">
        <f t="shared" si="0"/>
        <v>8.1477973120132642E-3</v>
      </c>
      <c r="H59" s="47"/>
      <c r="I59" s="47"/>
      <c r="J59" s="47"/>
      <c r="P59" s="27">
        <v>9</v>
      </c>
      <c r="Q59" s="30">
        <v>-4.0935813872993755E-2</v>
      </c>
      <c r="R59" s="30">
        <v>1162.7331748684221</v>
      </c>
      <c r="S59" s="30">
        <f>ABS(Q59)/'İtme Analizi'!$G$17</f>
        <v>2.9691491856093717E-2</v>
      </c>
      <c r="T59" s="30">
        <f>ABS(R59)/'İtme Analizi'!$G$14</f>
        <v>0.66735407638734301</v>
      </c>
      <c r="U59" s="30">
        <f t="shared" si="1"/>
        <v>1.0017244644523296E-2</v>
      </c>
    </row>
    <row r="60" spans="2:21" ht="13.9" customHeight="1" x14ac:dyDescent="0.2">
      <c r="B60" s="27">
        <v>54</v>
      </c>
      <c r="C60" s="30">
        <v>-3.7594147072993724E-2</v>
      </c>
      <c r="D60" s="30">
        <v>1071.9357589547276</v>
      </c>
      <c r="E60" s="30">
        <f>ABS(C60)/'İtme Analizi'!$G$17</f>
        <v>2.7267720024273936E-2</v>
      </c>
      <c r="F60" s="30">
        <f>ABS(D60)/'İtme Analizi'!$G$14</f>
        <v>0.61524063630914272</v>
      </c>
      <c r="G60" s="30">
        <f t="shared" si="0"/>
        <v>8.4557525719596519E-3</v>
      </c>
      <c r="H60" s="47"/>
      <c r="I60" s="47"/>
      <c r="J60" s="47"/>
      <c r="P60" s="27">
        <v>10</v>
      </c>
      <c r="Q60" s="30">
        <v>-4.1771230572993721E-2</v>
      </c>
      <c r="R60" s="30">
        <v>1184.2684455726464</v>
      </c>
      <c r="S60" s="30">
        <f>ABS(Q60)/'İtme Analizi'!$G$17</f>
        <v>3.0297434814048632E-2</v>
      </c>
      <c r="T60" s="30">
        <f>ABS(R60)/'İtme Analizi'!$G$14</f>
        <v>0.67971430743708094</v>
      </c>
      <c r="U60" s="30">
        <f t="shared" si="1"/>
        <v>1.0425367945054356E-2</v>
      </c>
    </row>
    <row r="61" spans="2:21" ht="13.9" customHeight="1" x14ac:dyDescent="0.2">
      <c r="B61" s="27">
        <v>55</v>
      </c>
      <c r="C61" s="30">
        <v>-3.8290327656327054E-2</v>
      </c>
      <c r="D61" s="30">
        <v>1090.6510376440378</v>
      </c>
      <c r="E61" s="30">
        <f>ABS(C61)/'İtme Analizi'!$G$17</f>
        <v>2.7772672489236386E-2</v>
      </c>
      <c r="F61" s="30">
        <f>ABS(D61)/'İtme Analizi'!$G$14</f>
        <v>0.62598232476698668</v>
      </c>
      <c r="G61" s="30">
        <f t="shared" si="0"/>
        <v>8.7691318688413438E-3</v>
      </c>
      <c r="H61" s="47"/>
      <c r="I61" s="47"/>
      <c r="J61" s="47"/>
      <c r="P61" s="27"/>
      <c r="Q61" s="30"/>
      <c r="R61" s="30"/>
      <c r="S61" s="30">
        <f>ABS(Q61)/'İtme Analizi'!$G$17</f>
        <v>0</v>
      </c>
      <c r="T61" s="30">
        <f>ABS(R61)/'İtme Analizi'!$G$14</f>
        <v>0</v>
      </c>
      <c r="U61" s="30">
        <f t="shared" si="1"/>
        <v>1.285679841787693E-4</v>
      </c>
    </row>
    <row r="62" spans="2:21" ht="13.9" customHeight="1" x14ac:dyDescent="0.2">
      <c r="B62" s="27">
        <v>56</v>
      </c>
      <c r="C62" s="30">
        <v>-3.8986508239660385E-2</v>
      </c>
      <c r="D62" s="30">
        <v>1109.3657907841139</v>
      </c>
      <c r="E62" s="30">
        <f>ABS(C62)/'İtme Analizi'!$G$17</f>
        <v>2.8277624954198832E-2</v>
      </c>
      <c r="F62" s="30">
        <f>ABS(D62)/'İtme Analizi'!$G$14</f>
        <v>0.63672371158432417</v>
      </c>
      <c r="G62" s="30">
        <f t="shared" si="0"/>
        <v>9.0879351316306214E-3</v>
      </c>
      <c r="H62" s="47"/>
      <c r="I62" s="47"/>
      <c r="J62" s="47"/>
      <c r="P62" s="27"/>
      <c r="Q62" s="30"/>
      <c r="R62" s="30"/>
      <c r="S62" s="30">
        <f>ABS(Q62)/'İtme Analizi'!$G$17</f>
        <v>0</v>
      </c>
      <c r="T62" s="30">
        <f>ABS(R62)/'İtme Analizi'!$G$14</f>
        <v>0</v>
      </c>
      <c r="U62" s="30">
        <f t="shared" si="1"/>
        <v>1.285679841787693E-4</v>
      </c>
    </row>
    <row r="63" spans="2:21" ht="13.9" customHeight="1" x14ac:dyDescent="0.2">
      <c r="B63" s="27">
        <v>57</v>
      </c>
      <c r="C63" s="30">
        <v>-3.9682688822993709E-2</v>
      </c>
      <c r="D63" s="30">
        <v>1128.0762076412932</v>
      </c>
      <c r="E63" s="30">
        <f>ABS(C63)/'İtme Analizi'!$G$17</f>
        <v>2.8782577419161275E-2</v>
      </c>
      <c r="F63" s="30">
        <f>ABS(D63)/'İtme Analizi'!$G$14</f>
        <v>0.6474626095795224</v>
      </c>
      <c r="G63" s="30">
        <f t="shared" si="0"/>
        <v>9.4121616558019896E-3</v>
      </c>
      <c r="H63" s="47"/>
      <c r="I63" s="47"/>
      <c r="J63" s="47"/>
      <c r="P63" s="27"/>
      <c r="Q63" s="30"/>
      <c r="R63" s="30"/>
      <c r="S63" s="30">
        <f>ABS(Q63)/'İtme Analizi'!$G$17</f>
        <v>0</v>
      </c>
      <c r="T63" s="30">
        <f>ABS(R63)/'İtme Analizi'!$G$14</f>
        <v>0</v>
      </c>
      <c r="U63" s="30">
        <f t="shared" si="1"/>
        <v>1.285679841787693E-4</v>
      </c>
    </row>
    <row r="64" spans="2:21" ht="13.9" customHeight="1" x14ac:dyDescent="0.2">
      <c r="B64" s="27">
        <v>58</v>
      </c>
      <c r="C64" s="30">
        <v>-4.0378869406327039E-2</v>
      </c>
      <c r="D64" s="30">
        <v>1146.6624663538203</v>
      </c>
      <c r="E64" s="30">
        <f>ABS(C64)/'İtme Analizi'!$G$17</f>
        <v>2.9287529884123722E-2</v>
      </c>
      <c r="F64" s="30">
        <f>ABS(D64)/'İtme Analizi'!$G$14</f>
        <v>0.65813024664767295</v>
      </c>
      <c r="G64" s="30">
        <f t="shared" si="0"/>
        <v>9.7417928212966305E-3</v>
      </c>
      <c r="H64" s="47"/>
      <c r="I64" s="47"/>
      <c r="J64" s="47"/>
      <c r="P64" s="27"/>
      <c r="Q64" s="30"/>
      <c r="R64" s="30"/>
      <c r="S64" s="30">
        <f>ABS(Q64)/'İtme Analizi'!$G$17</f>
        <v>0</v>
      </c>
      <c r="T64" s="30">
        <f>ABS(R64)/'İtme Analizi'!$G$14</f>
        <v>0</v>
      </c>
      <c r="U64" s="30">
        <f t="shared" si="1"/>
        <v>1.285679841787693E-4</v>
      </c>
    </row>
    <row r="65" spans="2:21" ht="13.9" customHeight="1" x14ac:dyDescent="0.2">
      <c r="B65" s="27">
        <v>59</v>
      </c>
      <c r="C65" s="30">
        <v>-4.107504998966037E-2</v>
      </c>
      <c r="D65" s="30">
        <v>1163.9410348726451</v>
      </c>
      <c r="E65" s="30">
        <f>ABS(C65)/'İtme Analizi'!$G$17</f>
        <v>2.9792482349086172E-2</v>
      </c>
      <c r="F65" s="30">
        <f>ABS(D65)/'İtme Analizi'!$G$14</f>
        <v>0.66804733113825754</v>
      </c>
      <c r="G65" s="30">
        <f t="shared" si="0"/>
        <v>1.00766211397371E-2</v>
      </c>
      <c r="H65" s="47"/>
      <c r="I65" s="47"/>
      <c r="J65" s="47"/>
      <c r="P65" s="27"/>
      <c r="Q65" s="30"/>
      <c r="R65" s="30"/>
      <c r="S65" s="30">
        <f>ABS(Q65)/'İtme Analizi'!$G$17</f>
        <v>0</v>
      </c>
      <c r="T65" s="30">
        <f>ABS(R65)/'İtme Analizi'!$G$14</f>
        <v>0</v>
      </c>
      <c r="U65" s="30">
        <f t="shared" si="1"/>
        <v>1.285679841787693E-4</v>
      </c>
    </row>
    <row r="66" spans="2:21" ht="13.9" customHeight="1" x14ac:dyDescent="0.2">
      <c r="B66" s="27">
        <v>60</v>
      </c>
      <c r="C66" s="30">
        <v>-4.1771230572993701E-2</v>
      </c>
      <c r="D66" s="30">
        <v>1181.7823736630892</v>
      </c>
      <c r="E66" s="30">
        <f>ABS(C66)/'İtme Analizi'!$G$17</f>
        <v>3.0297434814048618E-2</v>
      </c>
      <c r="F66" s="30">
        <f>ABS(D66)/'İtme Analizi'!$G$14</f>
        <v>0.67828741925766445</v>
      </c>
      <c r="G66" s="30">
        <f t="shared" si="0"/>
        <v>1.041653866517561E-2</v>
      </c>
      <c r="H66" s="47"/>
      <c r="I66" s="47"/>
      <c r="J66" s="47"/>
      <c r="P66" s="27"/>
      <c r="Q66" s="30"/>
      <c r="R66" s="30"/>
      <c r="S66" s="30">
        <f>ABS(Q66)/'İtme Analizi'!$G$17</f>
        <v>0</v>
      </c>
      <c r="T66" s="30">
        <f>ABS(R66)/'İtme Analizi'!$G$14</f>
        <v>0</v>
      </c>
      <c r="U66" s="30">
        <f t="shared" si="1"/>
        <v>1.285679841787693E-4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1.4135423010143248E-4</v>
      </c>
      <c r="H67" s="47"/>
      <c r="I67" s="47"/>
      <c r="J67" s="47"/>
      <c r="P67" s="27"/>
      <c r="Q67" s="30"/>
      <c r="R67" s="30"/>
      <c r="S67" s="30">
        <f>ABS(Q67)/'İtme Analizi'!$G$17</f>
        <v>0</v>
      </c>
      <c r="T67" s="30">
        <f>ABS(R67)/'İtme Analizi'!$G$14</f>
        <v>0</v>
      </c>
      <c r="U67" s="30">
        <f t="shared" si="1"/>
        <v>1.285679841787693E-4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1.4135423010143248E-4</v>
      </c>
      <c r="H68" s="47"/>
      <c r="I68" s="47"/>
      <c r="J68" s="47"/>
      <c r="P68" s="27"/>
      <c r="Q68" s="30"/>
      <c r="R68" s="30"/>
      <c r="S68" s="30">
        <f>ABS(Q68)/'İtme Analizi'!$G$17</f>
        <v>0</v>
      </c>
      <c r="T68" s="30">
        <f>ABS(R68)/'İtme Analizi'!$G$14</f>
        <v>0</v>
      </c>
      <c r="U68" s="30">
        <f t="shared" si="1"/>
        <v>1.285679841787693E-4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1.4135423010143248E-4</v>
      </c>
      <c r="H69" s="47"/>
      <c r="I69" s="47"/>
      <c r="J69" s="47"/>
      <c r="P69" s="27"/>
      <c r="Q69" s="30"/>
      <c r="R69" s="30"/>
      <c r="S69" s="30">
        <f>ABS(Q69)/'İtme Analizi'!$G$17</f>
        <v>0</v>
      </c>
      <c r="T69" s="30">
        <f>ABS(R69)/'İtme Analizi'!$G$14</f>
        <v>0</v>
      </c>
      <c r="U69" s="30">
        <f t="shared" si="1"/>
        <v>1.285679841787693E-4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1.4135423010143248E-4</v>
      </c>
      <c r="H70" s="47"/>
      <c r="I70" s="47"/>
      <c r="J70" s="47"/>
      <c r="P70" s="27"/>
      <c r="Q70" s="30"/>
      <c r="R70" s="30"/>
      <c r="S70" s="30">
        <f>ABS(Q70)/'İtme Analizi'!$G$17</f>
        <v>0</v>
      </c>
      <c r="T70" s="30">
        <f>ABS(R70)/'İtme Analizi'!$G$14</f>
        <v>0</v>
      </c>
      <c r="U70" s="30">
        <f t="shared" si="1"/>
        <v>1.285679841787693E-4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1.4135423010143248E-4</v>
      </c>
      <c r="H71" s="47"/>
      <c r="I71" s="47"/>
      <c r="J71" s="47"/>
      <c r="P71" s="27"/>
      <c r="Q71" s="30"/>
      <c r="R71" s="30"/>
      <c r="S71" s="30">
        <f>ABS(Q71)/'İtme Analizi'!$G$17</f>
        <v>0</v>
      </c>
      <c r="T71" s="30">
        <f>ABS(R71)/'İtme Analizi'!$G$14</f>
        <v>0</v>
      </c>
      <c r="U71" s="30">
        <f t="shared" si="1"/>
        <v>1.285679841787693E-4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1.4135423010143248E-4</v>
      </c>
      <c r="H72" s="47"/>
      <c r="I72" s="47"/>
      <c r="J72" s="47"/>
      <c r="P72" s="27"/>
      <c r="Q72" s="30"/>
      <c r="R72" s="30"/>
      <c r="S72" s="30">
        <f>ABS(Q72)/'İtme Analizi'!$G$17</f>
        <v>0</v>
      </c>
      <c r="T72" s="30">
        <f>ABS(R72)/'İtme Analizi'!$G$14</f>
        <v>0</v>
      </c>
      <c r="U72" s="30">
        <f t="shared" si="1"/>
        <v>1.285679841787693E-4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1.4135423010143248E-4</v>
      </c>
      <c r="H73" s="47"/>
      <c r="I73" s="47"/>
      <c r="J73" s="47"/>
      <c r="P73" s="27"/>
      <c r="Q73" s="30"/>
      <c r="R73" s="30"/>
      <c r="S73" s="30">
        <f>ABS(Q73)/'İtme Analizi'!$G$17</f>
        <v>0</v>
      </c>
      <c r="T73" s="30">
        <f>ABS(R73)/'İtme Analizi'!$G$14</f>
        <v>0</v>
      </c>
      <c r="U73" s="30">
        <f t="shared" ref="U73:U136" si="3">U72+(S73-S72)*((T73+T72)/2)</f>
        <v>1.285679841787693E-4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1.4135423010143248E-4</v>
      </c>
      <c r="H74" s="47"/>
      <c r="I74" s="47"/>
      <c r="J74" s="47"/>
      <c r="P74" s="27"/>
      <c r="Q74" s="30"/>
      <c r="R74" s="30"/>
      <c r="S74" s="30">
        <f>ABS(Q74)/'İtme Analizi'!$G$17</f>
        <v>0</v>
      </c>
      <c r="T74" s="30">
        <f>ABS(R74)/'İtme Analizi'!$G$14</f>
        <v>0</v>
      </c>
      <c r="U74" s="30">
        <f t="shared" si="3"/>
        <v>1.285679841787693E-4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1.4135423010143248E-4</v>
      </c>
      <c r="H75" s="47"/>
      <c r="I75" s="47"/>
      <c r="J75" s="47"/>
      <c r="P75" s="27"/>
      <c r="Q75" s="30"/>
      <c r="R75" s="30"/>
      <c r="S75" s="30">
        <f>ABS(Q75)/'İtme Analizi'!$G$17</f>
        <v>0</v>
      </c>
      <c r="T75" s="30">
        <f>ABS(R75)/'İtme Analizi'!$G$14</f>
        <v>0</v>
      </c>
      <c r="U75" s="30">
        <f t="shared" si="3"/>
        <v>1.285679841787693E-4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1.4135423010143248E-4</v>
      </c>
      <c r="H76" s="47"/>
      <c r="I76" s="47"/>
      <c r="J76" s="47"/>
      <c r="P76" s="27"/>
      <c r="Q76" s="30"/>
      <c r="R76" s="30"/>
      <c r="S76" s="30">
        <f>ABS(Q76)/'İtme Analizi'!$G$17</f>
        <v>0</v>
      </c>
      <c r="T76" s="30">
        <f>ABS(R76)/'İtme Analizi'!$G$14</f>
        <v>0</v>
      </c>
      <c r="U76" s="30">
        <f t="shared" si="3"/>
        <v>1.285679841787693E-4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1.4135423010143248E-4</v>
      </c>
      <c r="H77" s="47"/>
      <c r="I77" s="47"/>
      <c r="J77" s="47"/>
      <c r="P77" s="27"/>
      <c r="Q77" s="30"/>
      <c r="R77" s="30"/>
      <c r="S77" s="30">
        <f>ABS(Q77)/'İtme Analizi'!$G$17</f>
        <v>0</v>
      </c>
      <c r="T77" s="30">
        <f>ABS(R77)/'İtme Analizi'!$G$14</f>
        <v>0</v>
      </c>
      <c r="U77" s="30">
        <f t="shared" si="3"/>
        <v>1.285679841787693E-4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1.4135423010143248E-4</v>
      </c>
      <c r="H78" s="47"/>
      <c r="I78" s="47"/>
      <c r="J78" s="47"/>
      <c r="P78" s="27"/>
      <c r="Q78" s="30"/>
      <c r="R78" s="30"/>
      <c r="S78" s="30">
        <f>ABS(Q78)/'İtme Analizi'!$G$17</f>
        <v>0</v>
      </c>
      <c r="T78" s="30">
        <f>ABS(R78)/'İtme Analizi'!$G$14</f>
        <v>0</v>
      </c>
      <c r="U78" s="30">
        <f t="shared" si="3"/>
        <v>1.285679841787693E-4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1.4135423010143248E-4</v>
      </c>
      <c r="H79" s="47"/>
      <c r="I79" s="47"/>
      <c r="J79" s="47"/>
      <c r="P79" s="27"/>
      <c r="Q79" s="30"/>
      <c r="R79" s="30"/>
      <c r="S79" s="30">
        <f>ABS(Q79)/'İtme Analizi'!$G$17</f>
        <v>0</v>
      </c>
      <c r="T79" s="30">
        <f>ABS(R79)/'İtme Analizi'!$G$14</f>
        <v>0</v>
      </c>
      <c r="U79" s="30">
        <f t="shared" si="3"/>
        <v>1.285679841787693E-4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1.4135423010143248E-4</v>
      </c>
      <c r="H80" s="47"/>
      <c r="I80" s="47"/>
      <c r="J80" s="47"/>
      <c r="P80" s="27"/>
      <c r="Q80" s="30"/>
      <c r="R80" s="30"/>
      <c r="S80" s="30">
        <f>ABS(Q80)/'İtme Analizi'!$G$17</f>
        <v>0</v>
      </c>
      <c r="T80" s="30">
        <f>ABS(R80)/'İtme Analizi'!$G$14</f>
        <v>0</v>
      </c>
      <c r="U80" s="30">
        <f t="shared" si="3"/>
        <v>1.285679841787693E-4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1.4135423010143248E-4</v>
      </c>
      <c r="H81" s="47"/>
      <c r="I81" s="47"/>
      <c r="J81" s="47"/>
      <c r="P81" s="27"/>
      <c r="Q81" s="30"/>
      <c r="R81" s="30"/>
      <c r="S81" s="30">
        <f>ABS(Q81)/'İtme Analizi'!$G$17</f>
        <v>0</v>
      </c>
      <c r="T81" s="30">
        <f>ABS(R81)/'İtme Analizi'!$G$14</f>
        <v>0</v>
      </c>
      <c r="U81" s="30">
        <f t="shared" si="3"/>
        <v>1.285679841787693E-4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1.4135423010143248E-4</v>
      </c>
      <c r="H82" s="47"/>
      <c r="I82" s="47"/>
      <c r="J82" s="47"/>
      <c r="P82" s="27"/>
      <c r="Q82" s="30"/>
      <c r="R82" s="30"/>
      <c r="S82" s="30">
        <f>ABS(Q82)/'İtme Analizi'!$G$17</f>
        <v>0</v>
      </c>
      <c r="T82" s="30">
        <f>ABS(R82)/'İtme Analizi'!$G$14</f>
        <v>0</v>
      </c>
      <c r="U82" s="30">
        <f t="shared" si="3"/>
        <v>1.285679841787693E-4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1.4135423010143248E-4</v>
      </c>
      <c r="H83" s="47"/>
      <c r="I83" s="47"/>
      <c r="J83" s="47"/>
      <c r="P83" s="27"/>
      <c r="Q83" s="30"/>
      <c r="R83" s="30"/>
      <c r="S83" s="30">
        <f>ABS(Q83)/'İtme Analizi'!$G$17</f>
        <v>0</v>
      </c>
      <c r="T83" s="30">
        <f>ABS(R83)/'İtme Analizi'!$G$14</f>
        <v>0</v>
      </c>
      <c r="U83" s="30">
        <f t="shared" si="3"/>
        <v>1.285679841787693E-4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1.4135423010143248E-4</v>
      </c>
      <c r="H84" s="47"/>
      <c r="I84" s="47"/>
      <c r="J84" s="47"/>
      <c r="P84" s="27"/>
      <c r="Q84" s="30"/>
      <c r="R84" s="30"/>
      <c r="S84" s="30">
        <f>ABS(Q84)/'İtme Analizi'!$G$17</f>
        <v>0</v>
      </c>
      <c r="T84" s="30">
        <f>ABS(R84)/'İtme Analizi'!$G$14</f>
        <v>0</v>
      </c>
      <c r="U84" s="30">
        <f t="shared" si="3"/>
        <v>1.285679841787693E-4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1.4135423010143248E-4</v>
      </c>
      <c r="H85" s="47"/>
      <c r="I85" s="47"/>
      <c r="J85" s="47"/>
      <c r="P85" s="27"/>
      <c r="Q85" s="30"/>
      <c r="R85" s="30"/>
      <c r="S85" s="30">
        <f>ABS(Q85)/'İtme Analizi'!$G$17</f>
        <v>0</v>
      </c>
      <c r="T85" s="30">
        <f>ABS(R85)/'İtme Analizi'!$G$14</f>
        <v>0</v>
      </c>
      <c r="U85" s="30">
        <f t="shared" si="3"/>
        <v>1.285679841787693E-4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1.4135423010143248E-4</v>
      </c>
      <c r="H86" s="47"/>
      <c r="I86" s="47"/>
      <c r="J86" s="47"/>
      <c r="P86" s="27"/>
      <c r="Q86" s="30"/>
      <c r="R86" s="30"/>
      <c r="S86" s="30">
        <f>ABS(Q86)/'İtme Analizi'!$G$17</f>
        <v>0</v>
      </c>
      <c r="T86" s="30">
        <f>ABS(R86)/'İtme Analizi'!$G$14</f>
        <v>0</v>
      </c>
      <c r="U86" s="30">
        <f t="shared" si="3"/>
        <v>1.285679841787693E-4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1.4135423010143248E-4</v>
      </c>
      <c r="P87" s="27"/>
      <c r="Q87" s="30"/>
      <c r="R87" s="30"/>
      <c r="S87" s="30">
        <f>ABS(Q87)/'İtme Analizi'!$G$17</f>
        <v>0</v>
      </c>
      <c r="T87" s="30">
        <f>ABS(R87)/'İtme Analizi'!$G$14</f>
        <v>0</v>
      </c>
      <c r="U87" s="30">
        <f t="shared" si="3"/>
        <v>1.285679841787693E-4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1.4135423010143248E-4</v>
      </c>
      <c r="P88" s="27"/>
      <c r="Q88" s="30"/>
      <c r="R88" s="30"/>
      <c r="S88" s="30">
        <f>ABS(Q88)/'İtme Analizi'!$G$17</f>
        <v>0</v>
      </c>
      <c r="T88" s="30">
        <f>ABS(R88)/'İtme Analizi'!$G$14</f>
        <v>0</v>
      </c>
      <c r="U88" s="30">
        <f t="shared" si="3"/>
        <v>1.285679841787693E-4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1.4135423010143248E-4</v>
      </c>
      <c r="P89" s="27"/>
      <c r="Q89" s="30"/>
      <c r="R89" s="30"/>
      <c r="S89" s="30">
        <f>ABS(Q89)/'İtme Analizi'!$G$17</f>
        <v>0</v>
      </c>
      <c r="T89" s="30">
        <f>ABS(R89)/'İtme Analizi'!$G$14</f>
        <v>0</v>
      </c>
      <c r="U89" s="30">
        <f t="shared" si="3"/>
        <v>1.285679841787693E-4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1.4135423010143248E-4</v>
      </c>
      <c r="P90" s="27"/>
      <c r="Q90" s="30"/>
      <c r="R90" s="30"/>
      <c r="S90" s="30">
        <f>ABS(Q90)/'İtme Analizi'!$G$17</f>
        <v>0</v>
      </c>
      <c r="T90" s="30">
        <f>ABS(R90)/'İtme Analizi'!$G$14</f>
        <v>0</v>
      </c>
      <c r="U90" s="30">
        <f t="shared" si="3"/>
        <v>1.285679841787693E-4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1.4135423010143248E-4</v>
      </c>
      <c r="P91" s="27"/>
      <c r="Q91" s="30"/>
      <c r="R91" s="30"/>
      <c r="S91" s="30">
        <f>ABS(Q91)/'İtme Analizi'!$G$17</f>
        <v>0</v>
      </c>
      <c r="T91" s="30">
        <f>ABS(R91)/'İtme Analizi'!$G$14</f>
        <v>0</v>
      </c>
      <c r="U91" s="30">
        <f t="shared" si="3"/>
        <v>1.285679841787693E-4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1.4135423010143248E-4</v>
      </c>
      <c r="P92" s="27"/>
      <c r="Q92" s="30"/>
      <c r="R92" s="30"/>
      <c r="S92" s="30">
        <f>ABS(Q92)/'İtme Analizi'!$G$17</f>
        <v>0</v>
      </c>
      <c r="T92" s="30">
        <f>ABS(R92)/'İtme Analizi'!$G$14</f>
        <v>0</v>
      </c>
      <c r="U92" s="30">
        <f t="shared" si="3"/>
        <v>1.285679841787693E-4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1.4135423010143248E-4</v>
      </c>
      <c r="P93" s="27"/>
      <c r="Q93" s="30"/>
      <c r="R93" s="30"/>
      <c r="S93" s="30">
        <f>ABS(Q93)/'İtme Analizi'!$G$17</f>
        <v>0</v>
      </c>
      <c r="T93" s="30">
        <f>ABS(R93)/'İtme Analizi'!$G$14</f>
        <v>0</v>
      </c>
      <c r="U93" s="30">
        <f t="shared" si="3"/>
        <v>1.285679841787693E-4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1.4135423010143248E-4</v>
      </c>
      <c r="P94" s="27"/>
      <c r="Q94" s="30"/>
      <c r="R94" s="30"/>
      <c r="S94" s="30">
        <f>ABS(Q94)/'İtme Analizi'!$G$17</f>
        <v>0</v>
      </c>
      <c r="T94" s="30">
        <f>ABS(R94)/'İtme Analizi'!$G$14</f>
        <v>0</v>
      </c>
      <c r="U94" s="30">
        <f t="shared" si="3"/>
        <v>1.285679841787693E-4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1.4135423010143248E-4</v>
      </c>
      <c r="P95" s="27"/>
      <c r="Q95" s="30"/>
      <c r="R95" s="30"/>
      <c r="S95" s="30">
        <f>ABS(Q95)/'İtme Analizi'!$G$17</f>
        <v>0</v>
      </c>
      <c r="T95" s="30">
        <f>ABS(R95)/'İtme Analizi'!$G$14</f>
        <v>0</v>
      </c>
      <c r="U95" s="30">
        <f t="shared" si="3"/>
        <v>1.285679841787693E-4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1.4135423010143248E-4</v>
      </c>
      <c r="P96" s="27"/>
      <c r="Q96" s="30"/>
      <c r="R96" s="30"/>
      <c r="S96" s="30">
        <f>ABS(Q96)/'İtme Analizi'!$G$17</f>
        <v>0</v>
      </c>
      <c r="T96" s="30">
        <f>ABS(R96)/'İtme Analizi'!$G$14</f>
        <v>0</v>
      </c>
      <c r="U96" s="30">
        <f t="shared" si="3"/>
        <v>1.285679841787693E-4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1.4135423010143248E-4</v>
      </c>
      <c r="P97" s="27"/>
      <c r="Q97" s="30"/>
      <c r="R97" s="30"/>
      <c r="S97" s="30">
        <f>ABS(Q97)/'İtme Analizi'!$G$17</f>
        <v>0</v>
      </c>
      <c r="T97" s="30">
        <f>ABS(R97)/'İtme Analizi'!$G$14</f>
        <v>0</v>
      </c>
      <c r="U97" s="30">
        <f t="shared" si="3"/>
        <v>1.285679841787693E-4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1.4135423010143248E-4</v>
      </c>
      <c r="P98" s="27"/>
      <c r="Q98" s="30"/>
      <c r="R98" s="30"/>
      <c r="S98" s="30">
        <f>ABS(Q98)/'İtme Analizi'!$G$17</f>
        <v>0</v>
      </c>
      <c r="T98" s="30">
        <f>ABS(R98)/'İtme Analizi'!$G$14</f>
        <v>0</v>
      </c>
      <c r="U98" s="30">
        <f t="shared" si="3"/>
        <v>1.285679841787693E-4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1.4135423010143248E-4</v>
      </c>
      <c r="P99" s="27"/>
      <c r="Q99" s="30"/>
      <c r="R99" s="30"/>
      <c r="S99" s="30">
        <f>ABS(Q99)/'İtme Analizi'!$G$17</f>
        <v>0</v>
      </c>
      <c r="T99" s="30">
        <f>ABS(R99)/'İtme Analizi'!$G$14</f>
        <v>0</v>
      </c>
      <c r="U99" s="30">
        <f t="shared" si="3"/>
        <v>1.285679841787693E-4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1.4135423010143248E-4</v>
      </c>
      <c r="P100" s="27"/>
      <c r="Q100" s="30"/>
      <c r="R100" s="30"/>
      <c r="S100" s="30">
        <f>ABS(Q100)/'İtme Analizi'!$G$17</f>
        <v>0</v>
      </c>
      <c r="T100" s="30">
        <f>ABS(R100)/'İtme Analizi'!$G$14</f>
        <v>0</v>
      </c>
      <c r="U100" s="30">
        <f t="shared" si="3"/>
        <v>1.285679841787693E-4</v>
      </c>
    </row>
    <row r="101" spans="2:21" ht="13.9" customHeight="1" x14ac:dyDescent="0.2">
      <c r="P101" s="27"/>
      <c r="Q101" s="30"/>
      <c r="R101" s="30"/>
      <c r="S101" s="30">
        <f>ABS(Q101)/'İtme Analizi'!$G$17</f>
        <v>0</v>
      </c>
      <c r="T101" s="30">
        <f>ABS(R101)/'İtme Analizi'!$G$14</f>
        <v>0</v>
      </c>
      <c r="U101" s="30">
        <f t="shared" si="3"/>
        <v>1.285679841787693E-4</v>
      </c>
    </row>
    <row r="102" spans="2:21" ht="13.9" customHeight="1" x14ac:dyDescent="0.2">
      <c r="P102" s="27"/>
      <c r="Q102" s="30"/>
      <c r="R102" s="30"/>
      <c r="S102" s="30">
        <f>ABS(Q102)/'İtme Analizi'!$G$17</f>
        <v>0</v>
      </c>
      <c r="T102" s="30">
        <f>ABS(R102)/'İtme Analizi'!$G$14</f>
        <v>0</v>
      </c>
      <c r="U102" s="30">
        <f t="shared" si="3"/>
        <v>1.285679841787693E-4</v>
      </c>
    </row>
    <row r="103" spans="2:21" ht="13.9" customHeight="1" x14ac:dyDescent="0.2">
      <c r="P103" s="27"/>
      <c r="Q103" s="30"/>
      <c r="R103" s="30"/>
      <c r="S103" s="30">
        <f>ABS(Q103)/'İtme Analizi'!$G$17</f>
        <v>0</v>
      </c>
      <c r="T103" s="30">
        <f>ABS(R103)/'İtme Analizi'!$G$14</f>
        <v>0</v>
      </c>
      <c r="U103" s="30">
        <f t="shared" si="3"/>
        <v>1.285679841787693E-4</v>
      </c>
    </row>
    <row r="104" spans="2:21" ht="13.9" customHeight="1" x14ac:dyDescent="0.2">
      <c r="P104" s="27"/>
      <c r="Q104" s="30"/>
      <c r="R104" s="30"/>
      <c r="S104" s="30">
        <f>ABS(Q104)/'İtme Analizi'!$G$17</f>
        <v>0</v>
      </c>
      <c r="T104" s="30">
        <f>ABS(R104)/'İtme Analizi'!$G$14</f>
        <v>0</v>
      </c>
      <c r="U104" s="30">
        <f t="shared" si="3"/>
        <v>1.285679841787693E-4</v>
      </c>
    </row>
    <row r="105" spans="2:21" ht="13.9" customHeight="1" x14ac:dyDescent="0.2">
      <c r="P105" s="27"/>
      <c r="Q105" s="30"/>
      <c r="R105" s="30"/>
      <c r="S105" s="30">
        <f>ABS(Q105)/'İtme Analizi'!$G$17</f>
        <v>0</v>
      </c>
      <c r="T105" s="30">
        <f>ABS(R105)/'İtme Analizi'!$G$14</f>
        <v>0</v>
      </c>
      <c r="U105" s="30">
        <f t="shared" si="3"/>
        <v>1.285679841787693E-4</v>
      </c>
    </row>
    <row r="106" spans="2:21" ht="13.9" customHeight="1" x14ac:dyDescent="0.2">
      <c r="P106" s="27"/>
      <c r="Q106" s="30"/>
      <c r="R106" s="30"/>
      <c r="S106" s="30">
        <f>ABS(Q106)/'İtme Analizi'!$G$17</f>
        <v>0</v>
      </c>
      <c r="T106" s="30">
        <f>ABS(R106)/'İtme Analizi'!$G$14</f>
        <v>0</v>
      </c>
      <c r="U106" s="30">
        <f t="shared" si="3"/>
        <v>1.285679841787693E-4</v>
      </c>
    </row>
    <row r="107" spans="2:21" ht="13.9" customHeight="1" x14ac:dyDescent="0.2">
      <c r="P107" s="27"/>
      <c r="Q107" s="30"/>
      <c r="R107" s="30"/>
      <c r="S107" s="30">
        <f>ABS(Q107)/'İtme Analizi'!$G$17</f>
        <v>0</v>
      </c>
      <c r="T107" s="30">
        <f>ABS(R107)/'İtme Analizi'!$G$14</f>
        <v>0</v>
      </c>
      <c r="U107" s="30">
        <f t="shared" si="3"/>
        <v>1.285679841787693E-4</v>
      </c>
    </row>
    <row r="108" spans="2:21" ht="13.9" customHeight="1" x14ac:dyDescent="0.2">
      <c r="P108" s="27"/>
      <c r="Q108" s="30"/>
      <c r="R108" s="30"/>
      <c r="S108" s="30">
        <f>ABS(Q108)/'İtme Analizi'!$G$17</f>
        <v>0</v>
      </c>
      <c r="T108" s="30">
        <f>ABS(R108)/'İtme Analizi'!$G$14</f>
        <v>0</v>
      </c>
      <c r="U108" s="30">
        <f t="shared" si="3"/>
        <v>1.285679841787693E-4</v>
      </c>
    </row>
    <row r="109" spans="2:21" ht="13.9" customHeight="1" x14ac:dyDescent="0.2">
      <c r="P109" s="27"/>
      <c r="Q109" s="30"/>
      <c r="R109" s="30"/>
      <c r="S109" s="30">
        <f>ABS(Q109)/'İtme Analizi'!$G$17</f>
        <v>0</v>
      </c>
      <c r="T109" s="30">
        <f>ABS(R109)/'İtme Analizi'!$G$14</f>
        <v>0</v>
      </c>
      <c r="U109" s="30">
        <f t="shared" si="3"/>
        <v>1.285679841787693E-4</v>
      </c>
    </row>
    <row r="110" spans="2:21" ht="13.9" customHeight="1" x14ac:dyDescent="0.2">
      <c r="P110" s="27"/>
      <c r="Q110" s="30"/>
      <c r="R110" s="30"/>
      <c r="S110" s="30">
        <f>ABS(Q110)/'İtme Analizi'!$G$17</f>
        <v>0</v>
      </c>
      <c r="T110" s="30">
        <f>ABS(R110)/'İtme Analizi'!$G$14</f>
        <v>0</v>
      </c>
      <c r="U110" s="30">
        <f t="shared" si="3"/>
        <v>1.285679841787693E-4</v>
      </c>
    </row>
    <row r="111" spans="2:21" ht="13.9" customHeight="1" x14ac:dyDescent="0.2">
      <c r="P111" s="27"/>
      <c r="Q111" s="30"/>
      <c r="R111" s="30"/>
      <c r="S111" s="30">
        <f>ABS(Q111)/'İtme Analizi'!$G$17</f>
        <v>0</v>
      </c>
      <c r="T111" s="30">
        <f>ABS(R111)/'İtme Analizi'!$G$14</f>
        <v>0</v>
      </c>
      <c r="U111" s="30">
        <f t="shared" si="3"/>
        <v>1.285679841787693E-4</v>
      </c>
    </row>
    <row r="112" spans="2:21" ht="13.9" customHeight="1" x14ac:dyDescent="0.2">
      <c r="P112" s="27"/>
      <c r="Q112" s="30"/>
      <c r="R112" s="30"/>
      <c r="S112" s="30">
        <f>ABS(Q112)/'İtme Analizi'!$G$17</f>
        <v>0</v>
      </c>
      <c r="T112" s="30">
        <f>ABS(R112)/'İtme Analizi'!$G$14</f>
        <v>0</v>
      </c>
      <c r="U112" s="30">
        <f t="shared" si="3"/>
        <v>1.285679841787693E-4</v>
      </c>
    </row>
    <row r="113" spans="16:21" ht="13.9" customHeight="1" x14ac:dyDescent="0.2">
      <c r="P113" s="27"/>
      <c r="Q113" s="30"/>
      <c r="R113" s="30"/>
      <c r="S113" s="30">
        <f>ABS(Q113)/'İtme Analizi'!$G$17</f>
        <v>0</v>
      </c>
      <c r="T113" s="30">
        <f>ABS(R113)/'İtme Analizi'!$G$14</f>
        <v>0</v>
      </c>
      <c r="U113" s="30">
        <f t="shared" si="3"/>
        <v>1.285679841787693E-4</v>
      </c>
    </row>
    <row r="114" spans="16:21" ht="13.9" customHeight="1" x14ac:dyDescent="0.2">
      <c r="P114" s="27"/>
      <c r="Q114" s="30"/>
      <c r="R114" s="30"/>
      <c r="S114" s="30">
        <f>ABS(Q114)/'İtme Analizi'!$G$17</f>
        <v>0</v>
      </c>
      <c r="T114" s="30">
        <f>ABS(R114)/'İtme Analizi'!$G$14</f>
        <v>0</v>
      </c>
      <c r="U114" s="30">
        <f t="shared" si="3"/>
        <v>1.285679841787693E-4</v>
      </c>
    </row>
    <row r="115" spans="16:21" ht="13.9" customHeight="1" x14ac:dyDescent="0.2">
      <c r="P115" s="27"/>
      <c r="Q115" s="30"/>
      <c r="R115" s="30"/>
      <c r="S115" s="30">
        <f>ABS(Q115)/'İtme Analizi'!$G$17</f>
        <v>0</v>
      </c>
      <c r="T115" s="30">
        <f>ABS(R115)/'İtme Analizi'!$G$14</f>
        <v>0</v>
      </c>
      <c r="U115" s="30">
        <f t="shared" si="3"/>
        <v>1.285679841787693E-4</v>
      </c>
    </row>
    <row r="116" spans="16:21" ht="13.9" customHeight="1" x14ac:dyDescent="0.2">
      <c r="P116" s="27"/>
      <c r="Q116" s="30"/>
      <c r="R116" s="30"/>
      <c r="S116" s="30">
        <f>ABS(Q116)/'İtme Analizi'!$G$17</f>
        <v>0</v>
      </c>
      <c r="T116" s="30">
        <f>ABS(R116)/'İtme Analizi'!$G$14</f>
        <v>0</v>
      </c>
      <c r="U116" s="30">
        <f t="shared" si="3"/>
        <v>1.285679841787693E-4</v>
      </c>
    </row>
    <row r="117" spans="16:21" ht="13.9" customHeight="1" x14ac:dyDescent="0.2">
      <c r="P117" s="27"/>
      <c r="Q117" s="30"/>
      <c r="R117" s="30"/>
      <c r="S117" s="30">
        <f>ABS(Q117)/'İtme Analizi'!$G$17</f>
        <v>0</v>
      </c>
      <c r="T117" s="30">
        <f>ABS(R117)/'İtme Analizi'!$G$14</f>
        <v>0</v>
      </c>
      <c r="U117" s="30">
        <f t="shared" si="3"/>
        <v>1.285679841787693E-4</v>
      </c>
    </row>
    <row r="118" spans="16:21" ht="13.9" customHeight="1" x14ac:dyDescent="0.2">
      <c r="P118" s="27"/>
      <c r="Q118" s="30"/>
      <c r="R118" s="30"/>
      <c r="S118" s="30">
        <f>ABS(Q118)/'İtme Analizi'!$G$17</f>
        <v>0</v>
      </c>
      <c r="T118" s="30">
        <f>ABS(R118)/'İtme Analizi'!$G$14</f>
        <v>0</v>
      </c>
      <c r="U118" s="30">
        <f t="shared" si="3"/>
        <v>1.285679841787693E-4</v>
      </c>
    </row>
    <row r="119" spans="16:21" ht="13.9" customHeight="1" x14ac:dyDescent="0.2">
      <c r="P119" s="27"/>
      <c r="Q119" s="30"/>
      <c r="R119" s="30"/>
      <c r="S119" s="30">
        <f>ABS(Q119)/'İtme Analizi'!$G$17</f>
        <v>0</v>
      </c>
      <c r="T119" s="30">
        <f>ABS(R119)/'İtme Analizi'!$G$14</f>
        <v>0</v>
      </c>
      <c r="U119" s="30">
        <f t="shared" si="3"/>
        <v>1.285679841787693E-4</v>
      </c>
    </row>
    <row r="120" spans="16:21" ht="13.9" customHeight="1" x14ac:dyDescent="0.2">
      <c r="P120" s="27"/>
      <c r="Q120" s="30"/>
      <c r="R120" s="30"/>
      <c r="S120" s="30">
        <f>ABS(Q120)/'İtme Analizi'!$G$17</f>
        <v>0</v>
      </c>
      <c r="T120" s="30">
        <f>ABS(R120)/'İtme Analizi'!$G$14</f>
        <v>0</v>
      </c>
      <c r="U120" s="30">
        <f t="shared" si="3"/>
        <v>1.285679841787693E-4</v>
      </c>
    </row>
    <row r="121" spans="16:21" ht="13.9" customHeight="1" x14ac:dyDescent="0.2">
      <c r="P121" s="27"/>
      <c r="Q121" s="30"/>
      <c r="R121" s="30"/>
      <c r="S121" s="30">
        <f>ABS(Q121)/'İtme Analizi'!$G$17</f>
        <v>0</v>
      </c>
      <c r="T121" s="30">
        <f>ABS(R121)/'İtme Analizi'!$G$14</f>
        <v>0</v>
      </c>
      <c r="U121" s="30">
        <f t="shared" si="3"/>
        <v>1.285679841787693E-4</v>
      </c>
    </row>
    <row r="122" spans="16:21" ht="13.9" customHeight="1" x14ac:dyDescent="0.2">
      <c r="P122" s="27"/>
      <c r="Q122" s="30"/>
      <c r="R122" s="30"/>
      <c r="S122" s="30">
        <f>ABS(Q122)/'İtme Analizi'!$G$17</f>
        <v>0</v>
      </c>
      <c r="T122" s="30">
        <f>ABS(R122)/'İtme Analizi'!$G$14</f>
        <v>0</v>
      </c>
      <c r="U122" s="30">
        <f t="shared" si="3"/>
        <v>1.285679841787693E-4</v>
      </c>
    </row>
    <row r="123" spans="16:21" ht="13.9" customHeight="1" x14ac:dyDescent="0.2">
      <c r="P123" s="27"/>
      <c r="Q123" s="30"/>
      <c r="R123" s="30"/>
      <c r="S123" s="30">
        <f>ABS(Q123)/'İtme Analizi'!$G$17</f>
        <v>0</v>
      </c>
      <c r="T123" s="30">
        <f>ABS(R123)/'İtme Analizi'!$G$14</f>
        <v>0</v>
      </c>
      <c r="U123" s="30">
        <f t="shared" si="3"/>
        <v>1.285679841787693E-4</v>
      </c>
    </row>
    <row r="124" spans="16:21" ht="13.9" customHeight="1" x14ac:dyDescent="0.2">
      <c r="P124" s="27"/>
      <c r="Q124" s="30"/>
      <c r="R124" s="30"/>
      <c r="S124" s="30">
        <f>ABS(Q124)/'İtme Analizi'!$G$17</f>
        <v>0</v>
      </c>
      <c r="T124" s="30">
        <f>ABS(R124)/'İtme Analizi'!$G$14</f>
        <v>0</v>
      </c>
      <c r="U124" s="30">
        <f t="shared" si="3"/>
        <v>1.285679841787693E-4</v>
      </c>
    </row>
    <row r="125" spans="16:21" ht="13.9" customHeight="1" x14ac:dyDescent="0.2">
      <c r="P125" s="27"/>
      <c r="Q125" s="30"/>
      <c r="R125" s="30"/>
      <c r="S125" s="30">
        <f>ABS(Q125)/'İtme Analizi'!$G$17</f>
        <v>0</v>
      </c>
      <c r="T125" s="30">
        <f>ABS(R125)/'İtme Analizi'!$G$14</f>
        <v>0</v>
      </c>
      <c r="U125" s="30">
        <f t="shared" si="3"/>
        <v>1.285679841787693E-4</v>
      </c>
    </row>
    <row r="126" spans="16:21" ht="13.9" customHeight="1" x14ac:dyDescent="0.2">
      <c r="P126" s="27"/>
      <c r="Q126" s="30"/>
      <c r="R126" s="30"/>
      <c r="S126" s="30">
        <f>ABS(Q126)/'İtme Analizi'!$G$17</f>
        <v>0</v>
      </c>
      <c r="T126" s="30">
        <f>ABS(R126)/'İtme Analizi'!$G$14</f>
        <v>0</v>
      </c>
      <c r="U126" s="30">
        <f t="shared" si="3"/>
        <v>1.285679841787693E-4</v>
      </c>
    </row>
    <row r="127" spans="16:21" ht="13.9" customHeight="1" x14ac:dyDescent="0.2">
      <c r="P127" s="27"/>
      <c r="Q127" s="30"/>
      <c r="R127" s="30"/>
      <c r="S127" s="30">
        <f>ABS(Q127)/'İtme Analizi'!$G$17</f>
        <v>0</v>
      </c>
      <c r="T127" s="30">
        <f>ABS(R127)/'İtme Analizi'!$G$14</f>
        <v>0</v>
      </c>
      <c r="U127" s="30">
        <f t="shared" si="3"/>
        <v>1.285679841787693E-4</v>
      </c>
    </row>
    <row r="128" spans="16:21" ht="13.9" customHeight="1" x14ac:dyDescent="0.2">
      <c r="P128" s="27"/>
      <c r="Q128" s="30"/>
      <c r="R128" s="30"/>
      <c r="S128" s="30">
        <f>ABS(Q128)/'İtme Analizi'!$G$17</f>
        <v>0</v>
      </c>
      <c r="T128" s="30">
        <f>ABS(R128)/'İtme Analizi'!$G$14</f>
        <v>0</v>
      </c>
      <c r="U128" s="30">
        <f t="shared" si="3"/>
        <v>1.285679841787693E-4</v>
      </c>
    </row>
    <row r="129" spans="16:21" ht="13.9" customHeight="1" x14ac:dyDescent="0.2">
      <c r="P129" s="27"/>
      <c r="Q129" s="30"/>
      <c r="R129" s="30"/>
      <c r="S129" s="30">
        <f>ABS(Q129)/'İtme Analizi'!$G$17</f>
        <v>0</v>
      </c>
      <c r="T129" s="30">
        <f>ABS(R129)/'İtme Analizi'!$G$14</f>
        <v>0</v>
      </c>
      <c r="U129" s="30">
        <f t="shared" si="3"/>
        <v>1.285679841787693E-4</v>
      </c>
    </row>
    <row r="130" spans="16:21" ht="13.9" customHeight="1" x14ac:dyDescent="0.2">
      <c r="P130" s="27"/>
      <c r="Q130" s="30"/>
      <c r="R130" s="30"/>
      <c r="S130" s="30">
        <f>ABS(Q130)/'İtme Analizi'!$G$17</f>
        <v>0</v>
      </c>
      <c r="T130" s="30">
        <f>ABS(R130)/'İtme Analizi'!$G$14</f>
        <v>0</v>
      </c>
      <c r="U130" s="30">
        <f t="shared" si="3"/>
        <v>1.285679841787693E-4</v>
      </c>
    </row>
    <row r="131" spans="16:21" ht="13.9" customHeight="1" x14ac:dyDescent="0.2">
      <c r="P131" s="27"/>
      <c r="Q131" s="30"/>
      <c r="R131" s="30"/>
      <c r="S131" s="30">
        <f>ABS(Q131)/'İtme Analizi'!$G$17</f>
        <v>0</v>
      </c>
      <c r="T131" s="30">
        <f>ABS(R131)/'İtme Analizi'!$G$14</f>
        <v>0</v>
      </c>
      <c r="U131" s="30">
        <f t="shared" si="3"/>
        <v>1.285679841787693E-4</v>
      </c>
    </row>
    <row r="132" spans="16:21" ht="13.9" customHeight="1" x14ac:dyDescent="0.2">
      <c r="P132" s="27"/>
      <c r="Q132" s="30"/>
      <c r="R132" s="30"/>
      <c r="S132" s="30">
        <f>ABS(Q132)/'İtme Analizi'!$G$17</f>
        <v>0</v>
      </c>
      <c r="T132" s="30">
        <f>ABS(R132)/'İtme Analizi'!$G$14</f>
        <v>0</v>
      </c>
      <c r="U132" s="30">
        <f t="shared" si="3"/>
        <v>1.285679841787693E-4</v>
      </c>
    </row>
    <row r="133" spans="16:21" ht="13.9" customHeight="1" x14ac:dyDescent="0.2">
      <c r="P133" s="27"/>
      <c r="Q133" s="30"/>
      <c r="R133" s="30"/>
      <c r="S133" s="30">
        <f>ABS(Q133)/'İtme Analizi'!$G$17</f>
        <v>0</v>
      </c>
      <c r="T133" s="30">
        <f>ABS(R133)/'İtme Analizi'!$G$14</f>
        <v>0</v>
      </c>
      <c r="U133" s="30">
        <f t="shared" si="3"/>
        <v>1.285679841787693E-4</v>
      </c>
    </row>
    <row r="134" spans="16:21" ht="13.9" customHeight="1" x14ac:dyDescent="0.2">
      <c r="P134" s="27"/>
      <c r="Q134" s="30"/>
      <c r="R134" s="30"/>
      <c r="S134" s="30">
        <f>ABS(Q134)/'İtme Analizi'!$G$17</f>
        <v>0</v>
      </c>
      <c r="T134" s="30">
        <f>ABS(R134)/'İtme Analizi'!$G$14</f>
        <v>0</v>
      </c>
      <c r="U134" s="30">
        <f t="shared" si="3"/>
        <v>1.285679841787693E-4</v>
      </c>
    </row>
    <row r="135" spans="16:21" ht="13.9" customHeight="1" x14ac:dyDescent="0.2">
      <c r="P135" s="27"/>
      <c r="Q135" s="30"/>
      <c r="R135" s="30"/>
      <c r="S135" s="30">
        <f>ABS(Q135)/'İtme Analizi'!$G$17</f>
        <v>0</v>
      </c>
      <c r="T135" s="30">
        <f>ABS(R135)/'İtme Analizi'!$G$14</f>
        <v>0</v>
      </c>
      <c r="U135" s="30">
        <f t="shared" si="3"/>
        <v>1.285679841787693E-4</v>
      </c>
    </row>
    <row r="136" spans="16:21" ht="13.9" customHeight="1" x14ac:dyDescent="0.2">
      <c r="P136" s="27"/>
      <c r="Q136" s="30"/>
      <c r="R136" s="30"/>
      <c r="S136" s="30">
        <f>ABS(Q136)/'İtme Analizi'!$G$17</f>
        <v>0</v>
      </c>
      <c r="T136" s="30">
        <f>ABS(R136)/'İtme Analizi'!$G$14</f>
        <v>0</v>
      </c>
      <c r="U136" s="30">
        <f t="shared" si="3"/>
        <v>1.285679841787693E-4</v>
      </c>
    </row>
    <row r="137" spans="16:21" ht="13.9" customHeight="1" x14ac:dyDescent="0.2">
      <c r="P137" s="27"/>
      <c r="Q137" s="30"/>
      <c r="R137" s="30"/>
      <c r="S137" s="30">
        <f>ABS(Q137)/'İtme Analizi'!$G$17</f>
        <v>0</v>
      </c>
      <c r="T137" s="30">
        <f>ABS(R137)/'İtme Analizi'!$G$14</f>
        <v>0</v>
      </c>
      <c r="U137" s="30">
        <f t="shared" ref="U137:U200" si="4">U136+(S137-S136)*((T137+T136)/2)</f>
        <v>1.285679841787693E-4</v>
      </c>
    </row>
    <row r="138" spans="16:21" ht="13.9" customHeight="1" x14ac:dyDescent="0.2">
      <c r="P138" s="27"/>
      <c r="Q138" s="30"/>
      <c r="R138" s="30"/>
      <c r="S138" s="30">
        <f>ABS(Q138)/'İtme Analizi'!$G$17</f>
        <v>0</v>
      </c>
      <c r="T138" s="30">
        <f>ABS(R138)/'İtme Analizi'!$G$14</f>
        <v>0</v>
      </c>
      <c r="U138" s="30">
        <f t="shared" si="4"/>
        <v>1.285679841787693E-4</v>
      </c>
    </row>
    <row r="139" spans="16:21" ht="13.9" customHeight="1" x14ac:dyDescent="0.2">
      <c r="P139" s="27"/>
      <c r="Q139" s="30"/>
      <c r="R139" s="30"/>
      <c r="S139" s="30">
        <f>ABS(Q139)/'İtme Analizi'!$G$17</f>
        <v>0</v>
      </c>
      <c r="T139" s="30">
        <f>ABS(R139)/'İtme Analizi'!$G$14</f>
        <v>0</v>
      </c>
      <c r="U139" s="30">
        <f t="shared" si="4"/>
        <v>1.285679841787693E-4</v>
      </c>
    </row>
    <row r="140" spans="16:21" ht="13.9" customHeight="1" x14ac:dyDescent="0.2">
      <c r="P140" s="27"/>
      <c r="Q140" s="30"/>
      <c r="R140" s="30"/>
      <c r="S140" s="30">
        <f>ABS(Q140)/'İtme Analizi'!$G$17</f>
        <v>0</v>
      </c>
      <c r="T140" s="30">
        <f>ABS(R140)/'İtme Analizi'!$G$14</f>
        <v>0</v>
      </c>
      <c r="U140" s="30">
        <f t="shared" si="4"/>
        <v>1.285679841787693E-4</v>
      </c>
    </row>
    <row r="141" spans="16:21" ht="13.9" customHeight="1" x14ac:dyDescent="0.2">
      <c r="P141" s="27"/>
      <c r="Q141" s="30"/>
      <c r="R141" s="30"/>
      <c r="S141" s="30">
        <f>ABS(Q141)/'İtme Analizi'!$G$17</f>
        <v>0</v>
      </c>
      <c r="T141" s="30">
        <f>ABS(R141)/'İtme Analizi'!$G$14</f>
        <v>0</v>
      </c>
      <c r="U141" s="30">
        <f t="shared" si="4"/>
        <v>1.285679841787693E-4</v>
      </c>
    </row>
    <row r="142" spans="16:21" ht="13.9" customHeight="1" x14ac:dyDescent="0.2">
      <c r="P142" s="27"/>
      <c r="Q142" s="30"/>
      <c r="R142" s="30"/>
      <c r="S142" s="30">
        <f>ABS(Q142)/'İtme Analizi'!$G$17</f>
        <v>0</v>
      </c>
      <c r="T142" s="30">
        <f>ABS(R142)/'İtme Analizi'!$G$14</f>
        <v>0</v>
      </c>
      <c r="U142" s="30">
        <f t="shared" si="4"/>
        <v>1.285679841787693E-4</v>
      </c>
    </row>
    <row r="143" spans="16:21" ht="13.9" customHeight="1" x14ac:dyDescent="0.2">
      <c r="P143" s="27"/>
      <c r="Q143" s="30"/>
      <c r="R143" s="30"/>
      <c r="S143" s="30">
        <f>ABS(Q143)/'İtme Analizi'!$G$17</f>
        <v>0</v>
      </c>
      <c r="T143" s="30">
        <f>ABS(R143)/'İtme Analizi'!$G$14</f>
        <v>0</v>
      </c>
      <c r="U143" s="30">
        <f t="shared" si="4"/>
        <v>1.285679841787693E-4</v>
      </c>
    </row>
    <row r="144" spans="16:21" ht="13.9" customHeight="1" x14ac:dyDescent="0.2">
      <c r="P144" s="27"/>
      <c r="Q144" s="30"/>
      <c r="R144" s="30"/>
      <c r="S144" s="30">
        <f>ABS(Q144)/'İtme Analizi'!$G$17</f>
        <v>0</v>
      </c>
      <c r="T144" s="30">
        <f>ABS(R144)/'İtme Analizi'!$G$14</f>
        <v>0</v>
      </c>
      <c r="U144" s="30">
        <f t="shared" si="4"/>
        <v>1.285679841787693E-4</v>
      </c>
    </row>
    <row r="145" spans="16:21" ht="13.9" customHeight="1" x14ac:dyDescent="0.2">
      <c r="P145" s="27"/>
      <c r="Q145" s="30"/>
      <c r="R145" s="30"/>
      <c r="S145" s="30">
        <f>ABS(Q145)/'İtme Analizi'!$G$17</f>
        <v>0</v>
      </c>
      <c r="T145" s="30">
        <f>ABS(R145)/'İtme Analizi'!$G$14</f>
        <v>0</v>
      </c>
      <c r="U145" s="30">
        <f t="shared" si="4"/>
        <v>1.285679841787693E-4</v>
      </c>
    </row>
    <row r="146" spans="16:21" ht="13.9" customHeight="1" x14ac:dyDescent="0.2">
      <c r="P146" s="27"/>
      <c r="Q146" s="30"/>
      <c r="R146" s="30"/>
      <c r="S146" s="30">
        <f>ABS(Q146)/'İtme Analizi'!$G$17</f>
        <v>0</v>
      </c>
      <c r="T146" s="30">
        <f>ABS(R146)/'İtme Analizi'!$G$14</f>
        <v>0</v>
      </c>
      <c r="U146" s="30">
        <f t="shared" si="4"/>
        <v>1.285679841787693E-4</v>
      </c>
    </row>
    <row r="147" spans="16:21" ht="13.9" customHeight="1" x14ac:dyDescent="0.2">
      <c r="P147" s="27"/>
      <c r="Q147" s="30"/>
      <c r="R147" s="30"/>
      <c r="S147" s="30">
        <f>ABS(Q147)/'İtme Analizi'!$G$17</f>
        <v>0</v>
      </c>
      <c r="T147" s="30">
        <f>ABS(R147)/'İtme Analizi'!$G$14</f>
        <v>0</v>
      </c>
      <c r="U147" s="30">
        <f t="shared" si="4"/>
        <v>1.285679841787693E-4</v>
      </c>
    </row>
    <row r="148" spans="16:21" ht="13.9" customHeight="1" x14ac:dyDescent="0.2">
      <c r="P148" s="27"/>
      <c r="Q148" s="30"/>
      <c r="R148" s="30"/>
      <c r="S148" s="30">
        <f>ABS(Q148)/'İtme Analizi'!$G$17</f>
        <v>0</v>
      </c>
      <c r="T148" s="30">
        <f>ABS(R148)/'İtme Analizi'!$G$14</f>
        <v>0</v>
      </c>
      <c r="U148" s="30">
        <f t="shared" si="4"/>
        <v>1.285679841787693E-4</v>
      </c>
    </row>
    <row r="149" spans="16:21" ht="13.9" customHeight="1" x14ac:dyDescent="0.2">
      <c r="P149" s="27"/>
      <c r="Q149" s="30"/>
      <c r="R149" s="30"/>
      <c r="S149" s="30">
        <f>ABS(Q149)/'İtme Analizi'!$G$17</f>
        <v>0</v>
      </c>
      <c r="T149" s="30">
        <f>ABS(R149)/'İtme Analizi'!$G$14</f>
        <v>0</v>
      </c>
      <c r="U149" s="30">
        <f t="shared" si="4"/>
        <v>1.285679841787693E-4</v>
      </c>
    </row>
    <row r="150" spans="16:21" ht="13.9" customHeight="1" x14ac:dyDescent="0.2">
      <c r="P150" s="27"/>
      <c r="Q150" s="30"/>
      <c r="R150" s="30"/>
      <c r="S150" s="30">
        <f>ABS(Q150)/'İtme Analizi'!$G$17</f>
        <v>0</v>
      </c>
      <c r="T150" s="30">
        <f>ABS(R150)/'İtme Analizi'!$G$14</f>
        <v>0</v>
      </c>
      <c r="U150" s="30">
        <f t="shared" si="4"/>
        <v>1.285679841787693E-4</v>
      </c>
    </row>
    <row r="151" spans="16:21" ht="13.9" customHeight="1" x14ac:dyDescent="0.2">
      <c r="P151" s="27"/>
      <c r="Q151" s="30"/>
      <c r="R151" s="30"/>
      <c r="S151" s="30">
        <f>ABS(Q151)/'İtme Analizi'!$G$17</f>
        <v>0</v>
      </c>
      <c r="T151" s="30">
        <f>ABS(R151)/'İtme Analizi'!$G$14</f>
        <v>0</v>
      </c>
      <c r="U151" s="30">
        <f t="shared" si="4"/>
        <v>1.285679841787693E-4</v>
      </c>
    </row>
    <row r="152" spans="16:21" ht="13.9" customHeight="1" x14ac:dyDescent="0.2">
      <c r="P152" s="27"/>
      <c r="Q152" s="30"/>
      <c r="R152" s="30"/>
      <c r="S152" s="30">
        <f>ABS(Q152)/'İtme Analizi'!$G$17</f>
        <v>0</v>
      </c>
      <c r="T152" s="30">
        <f>ABS(R152)/'İtme Analizi'!$G$14</f>
        <v>0</v>
      </c>
      <c r="U152" s="30">
        <f t="shared" si="4"/>
        <v>1.285679841787693E-4</v>
      </c>
    </row>
    <row r="153" spans="16:21" ht="13.9" customHeight="1" x14ac:dyDescent="0.2">
      <c r="P153" s="27"/>
      <c r="Q153" s="30"/>
      <c r="R153" s="30"/>
      <c r="S153" s="30">
        <f>ABS(Q153)/'İtme Analizi'!$G$17</f>
        <v>0</v>
      </c>
      <c r="T153" s="30">
        <f>ABS(R153)/'İtme Analizi'!$G$14</f>
        <v>0</v>
      </c>
      <c r="U153" s="30">
        <f t="shared" si="4"/>
        <v>1.285679841787693E-4</v>
      </c>
    </row>
    <row r="154" spans="16:21" ht="13.9" customHeight="1" x14ac:dyDescent="0.2">
      <c r="P154" s="27"/>
      <c r="Q154" s="30"/>
      <c r="R154" s="30"/>
      <c r="S154" s="30">
        <f>ABS(Q154)/'İtme Analizi'!$G$17</f>
        <v>0</v>
      </c>
      <c r="T154" s="30">
        <f>ABS(R154)/'İtme Analizi'!$G$14</f>
        <v>0</v>
      </c>
      <c r="U154" s="30">
        <f t="shared" si="4"/>
        <v>1.285679841787693E-4</v>
      </c>
    </row>
    <row r="155" spans="16:21" ht="13.9" customHeight="1" x14ac:dyDescent="0.2">
      <c r="P155" s="27"/>
      <c r="Q155" s="30"/>
      <c r="R155" s="30"/>
      <c r="S155" s="30">
        <f>ABS(Q155)/'İtme Analizi'!$G$17</f>
        <v>0</v>
      </c>
      <c r="T155" s="30">
        <f>ABS(R155)/'İtme Analizi'!$G$14</f>
        <v>0</v>
      </c>
      <c r="U155" s="30">
        <f t="shared" si="4"/>
        <v>1.285679841787693E-4</v>
      </c>
    </row>
    <row r="156" spans="16:21" ht="13.9" customHeight="1" x14ac:dyDescent="0.2">
      <c r="P156" s="27"/>
      <c r="Q156" s="30"/>
      <c r="R156" s="30"/>
      <c r="S156" s="30">
        <f>ABS(Q156)/'İtme Analizi'!$G$17</f>
        <v>0</v>
      </c>
      <c r="T156" s="30">
        <f>ABS(R156)/'İtme Analizi'!$G$14</f>
        <v>0</v>
      </c>
      <c r="U156" s="30">
        <f t="shared" si="4"/>
        <v>1.285679841787693E-4</v>
      </c>
    </row>
    <row r="157" spans="16:21" ht="13.9" customHeight="1" x14ac:dyDescent="0.2">
      <c r="P157" s="27"/>
      <c r="Q157" s="30"/>
      <c r="R157" s="30"/>
      <c r="S157" s="30">
        <f>ABS(Q157)/'İtme Analizi'!$G$17</f>
        <v>0</v>
      </c>
      <c r="T157" s="30">
        <f>ABS(R157)/'İtme Analizi'!$G$14</f>
        <v>0</v>
      </c>
      <c r="U157" s="30">
        <f t="shared" si="4"/>
        <v>1.285679841787693E-4</v>
      </c>
    </row>
    <row r="158" spans="16:21" ht="13.9" customHeight="1" x14ac:dyDescent="0.2">
      <c r="P158" s="27"/>
      <c r="Q158" s="30"/>
      <c r="R158" s="30"/>
      <c r="S158" s="30">
        <f>ABS(Q158)/'İtme Analizi'!$G$17</f>
        <v>0</v>
      </c>
      <c r="T158" s="30">
        <f>ABS(R158)/'İtme Analizi'!$G$14</f>
        <v>0</v>
      </c>
      <c r="U158" s="30">
        <f t="shared" si="4"/>
        <v>1.285679841787693E-4</v>
      </c>
    </row>
    <row r="159" spans="16:21" ht="13.9" customHeight="1" x14ac:dyDescent="0.2">
      <c r="P159" s="27"/>
      <c r="Q159" s="30"/>
      <c r="R159" s="30"/>
      <c r="S159" s="30">
        <f>ABS(Q159)/'İtme Analizi'!$G$17</f>
        <v>0</v>
      </c>
      <c r="T159" s="30">
        <f>ABS(R159)/'İtme Analizi'!$G$14</f>
        <v>0</v>
      </c>
      <c r="U159" s="30">
        <f t="shared" si="4"/>
        <v>1.285679841787693E-4</v>
      </c>
    </row>
    <row r="160" spans="16:21" ht="13.9" customHeight="1" x14ac:dyDescent="0.2">
      <c r="P160" s="27"/>
      <c r="Q160" s="30"/>
      <c r="R160" s="30"/>
      <c r="S160" s="30">
        <f>ABS(Q160)/'İtme Analizi'!$G$17</f>
        <v>0</v>
      </c>
      <c r="T160" s="30">
        <f>ABS(R160)/'İtme Analizi'!$G$14</f>
        <v>0</v>
      </c>
      <c r="U160" s="30">
        <f t="shared" si="4"/>
        <v>1.285679841787693E-4</v>
      </c>
    </row>
    <row r="161" spans="16:21" ht="13.9" customHeight="1" x14ac:dyDescent="0.2">
      <c r="P161" s="27"/>
      <c r="Q161" s="30"/>
      <c r="R161" s="30"/>
      <c r="S161" s="30">
        <f>ABS(Q161)/'İtme Analizi'!$G$17</f>
        <v>0</v>
      </c>
      <c r="T161" s="30">
        <f>ABS(R161)/'İtme Analizi'!$G$14</f>
        <v>0</v>
      </c>
      <c r="U161" s="30">
        <f t="shared" si="4"/>
        <v>1.285679841787693E-4</v>
      </c>
    </row>
    <row r="162" spans="16:21" ht="13.9" customHeight="1" x14ac:dyDescent="0.2">
      <c r="P162" s="27"/>
      <c r="Q162" s="30"/>
      <c r="R162" s="30"/>
      <c r="S162" s="30">
        <f>ABS(Q162)/'İtme Analizi'!$G$17</f>
        <v>0</v>
      </c>
      <c r="T162" s="30">
        <f>ABS(R162)/'İtme Analizi'!$G$14</f>
        <v>0</v>
      </c>
      <c r="U162" s="30">
        <f t="shared" si="4"/>
        <v>1.285679841787693E-4</v>
      </c>
    </row>
    <row r="163" spans="16:21" ht="13.9" customHeight="1" x14ac:dyDescent="0.2">
      <c r="P163" s="27"/>
      <c r="Q163" s="30"/>
      <c r="R163" s="30"/>
      <c r="S163" s="30">
        <f>ABS(Q163)/'İtme Analizi'!$G$17</f>
        <v>0</v>
      </c>
      <c r="T163" s="30">
        <f>ABS(R163)/'İtme Analizi'!$G$14</f>
        <v>0</v>
      </c>
      <c r="U163" s="30">
        <f t="shared" si="4"/>
        <v>1.285679841787693E-4</v>
      </c>
    </row>
    <row r="164" spans="16:21" ht="13.9" customHeight="1" x14ac:dyDescent="0.2">
      <c r="P164" s="27"/>
      <c r="Q164" s="30"/>
      <c r="R164" s="30"/>
      <c r="S164" s="30">
        <f>ABS(Q164)/'İtme Analizi'!$G$17</f>
        <v>0</v>
      </c>
      <c r="T164" s="30">
        <f>ABS(R164)/'İtme Analizi'!$G$14</f>
        <v>0</v>
      </c>
      <c r="U164" s="30">
        <f t="shared" si="4"/>
        <v>1.285679841787693E-4</v>
      </c>
    </row>
    <row r="165" spans="16:21" ht="13.9" customHeight="1" x14ac:dyDescent="0.2">
      <c r="P165" s="27"/>
      <c r="Q165" s="30"/>
      <c r="R165" s="30"/>
      <c r="S165" s="30">
        <f>ABS(Q165)/'İtme Analizi'!$G$17</f>
        <v>0</v>
      </c>
      <c r="T165" s="30">
        <f>ABS(R165)/'İtme Analizi'!$G$14</f>
        <v>0</v>
      </c>
      <c r="U165" s="30">
        <f t="shared" si="4"/>
        <v>1.285679841787693E-4</v>
      </c>
    </row>
    <row r="166" spans="16:21" ht="13.9" customHeight="1" x14ac:dyDescent="0.2">
      <c r="P166" s="27"/>
      <c r="Q166" s="30"/>
      <c r="R166" s="30"/>
      <c r="S166" s="30">
        <f>ABS(Q166)/'İtme Analizi'!$G$17</f>
        <v>0</v>
      </c>
      <c r="T166" s="30">
        <f>ABS(R166)/'İtme Analizi'!$G$14</f>
        <v>0</v>
      </c>
      <c r="U166" s="30">
        <f t="shared" si="4"/>
        <v>1.285679841787693E-4</v>
      </c>
    </row>
    <row r="167" spans="16:21" ht="13.9" customHeight="1" x14ac:dyDescent="0.2">
      <c r="P167" s="27"/>
      <c r="Q167" s="30"/>
      <c r="R167" s="30"/>
      <c r="S167" s="30">
        <f>ABS(Q167)/'İtme Analizi'!$G$17</f>
        <v>0</v>
      </c>
      <c r="T167" s="30">
        <f>ABS(R167)/'İtme Analizi'!$G$14</f>
        <v>0</v>
      </c>
      <c r="U167" s="30">
        <f t="shared" si="4"/>
        <v>1.285679841787693E-4</v>
      </c>
    </row>
    <row r="168" spans="16:21" ht="13.9" customHeight="1" x14ac:dyDescent="0.2">
      <c r="P168" s="27"/>
      <c r="Q168" s="30"/>
      <c r="R168" s="30"/>
      <c r="S168" s="30">
        <f>ABS(Q168)/'İtme Analizi'!$G$17</f>
        <v>0</v>
      </c>
      <c r="T168" s="30">
        <f>ABS(R168)/'İtme Analizi'!$G$14</f>
        <v>0</v>
      </c>
      <c r="U168" s="30">
        <f t="shared" si="4"/>
        <v>1.285679841787693E-4</v>
      </c>
    </row>
    <row r="169" spans="16:21" ht="13.9" customHeight="1" x14ac:dyDescent="0.2">
      <c r="P169" s="27"/>
      <c r="Q169" s="30"/>
      <c r="R169" s="30"/>
      <c r="S169" s="30">
        <f>ABS(Q169)/'İtme Analizi'!$G$17</f>
        <v>0</v>
      </c>
      <c r="T169" s="30">
        <f>ABS(R169)/'İtme Analizi'!$G$14</f>
        <v>0</v>
      </c>
      <c r="U169" s="30">
        <f t="shared" si="4"/>
        <v>1.285679841787693E-4</v>
      </c>
    </row>
    <row r="170" spans="16:21" ht="13.9" customHeight="1" x14ac:dyDescent="0.2">
      <c r="P170" s="27"/>
      <c r="Q170" s="30"/>
      <c r="R170" s="30"/>
      <c r="S170" s="30">
        <f>ABS(Q170)/'İtme Analizi'!$G$17</f>
        <v>0</v>
      </c>
      <c r="T170" s="30">
        <f>ABS(R170)/'İtme Analizi'!$G$14</f>
        <v>0</v>
      </c>
      <c r="U170" s="30">
        <f t="shared" si="4"/>
        <v>1.285679841787693E-4</v>
      </c>
    </row>
    <row r="171" spans="16:21" ht="13.9" customHeight="1" x14ac:dyDescent="0.2">
      <c r="P171" s="27"/>
      <c r="Q171" s="30"/>
      <c r="R171" s="30"/>
      <c r="S171" s="30">
        <f>ABS(Q171)/'İtme Analizi'!$G$17</f>
        <v>0</v>
      </c>
      <c r="T171" s="30">
        <f>ABS(R171)/'İtme Analizi'!$G$14</f>
        <v>0</v>
      </c>
      <c r="U171" s="30">
        <f t="shared" si="4"/>
        <v>1.285679841787693E-4</v>
      </c>
    </row>
    <row r="172" spans="16:21" ht="13.9" customHeight="1" x14ac:dyDescent="0.2">
      <c r="P172" s="27"/>
      <c r="Q172" s="30"/>
      <c r="R172" s="30"/>
      <c r="S172" s="30">
        <f>ABS(Q172)/'İtme Analizi'!$G$17</f>
        <v>0</v>
      </c>
      <c r="T172" s="30">
        <f>ABS(R172)/'İtme Analizi'!$G$14</f>
        <v>0</v>
      </c>
      <c r="U172" s="30">
        <f t="shared" si="4"/>
        <v>1.285679841787693E-4</v>
      </c>
    </row>
    <row r="173" spans="16:21" ht="13.9" customHeight="1" x14ac:dyDescent="0.2">
      <c r="P173" s="27"/>
      <c r="Q173" s="30"/>
      <c r="R173" s="30"/>
      <c r="S173" s="30">
        <f>ABS(Q173)/'İtme Analizi'!$G$17</f>
        <v>0</v>
      </c>
      <c r="T173" s="30">
        <f>ABS(R173)/'İtme Analizi'!$G$14</f>
        <v>0</v>
      </c>
      <c r="U173" s="30">
        <f t="shared" si="4"/>
        <v>1.285679841787693E-4</v>
      </c>
    </row>
    <row r="174" spans="16:21" ht="13.9" customHeight="1" x14ac:dyDescent="0.2">
      <c r="P174" s="27"/>
      <c r="Q174" s="30"/>
      <c r="R174" s="30"/>
      <c r="S174" s="30">
        <f>ABS(Q174)/'İtme Analizi'!$G$17</f>
        <v>0</v>
      </c>
      <c r="T174" s="30">
        <f>ABS(R174)/'İtme Analizi'!$G$14</f>
        <v>0</v>
      </c>
      <c r="U174" s="30">
        <f t="shared" si="4"/>
        <v>1.285679841787693E-4</v>
      </c>
    </row>
    <row r="175" spans="16:21" ht="13.9" customHeight="1" x14ac:dyDescent="0.2">
      <c r="P175" s="27"/>
      <c r="Q175" s="30"/>
      <c r="R175" s="30"/>
      <c r="S175" s="30">
        <f>ABS(Q175)/'İtme Analizi'!$G$17</f>
        <v>0</v>
      </c>
      <c r="T175" s="30">
        <f>ABS(R175)/'İtme Analizi'!$G$14</f>
        <v>0</v>
      </c>
      <c r="U175" s="30">
        <f t="shared" si="4"/>
        <v>1.285679841787693E-4</v>
      </c>
    </row>
    <row r="176" spans="16:21" ht="13.9" customHeight="1" x14ac:dyDescent="0.2">
      <c r="P176" s="27"/>
      <c r="Q176" s="30"/>
      <c r="R176" s="30"/>
      <c r="S176" s="30">
        <f>ABS(Q176)/'İtme Analizi'!$G$17</f>
        <v>0</v>
      </c>
      <c r="T176" s="30">
        <f>ABS(R176)/'İtme Analizi'!$G$14</f>
        <v>0</v>
      </c>
      <c r="U176" s="30">
        <f t="shared" si="4"/>
        <v>1.285679841787693E-4</v>
      </c>
    </row>
    <row r="177" spans="16:21" ht="13.9" customHeight="1" x14ac:dyDescent="0.2">
      <c r="P177" s="27"/>
      <c r="Q177" s="30"/>
      <c r="R177" s="30"/>
      <c r="S177" s="30">
        <f>ABS(Q177)/'İtme Analizi'!$G$17</f>
        <v>0</v>
      </c>
      <c r="T177" s="30">
        <f>ABS(R177)/'İtme Analizi'!$G$14</f>
        <v>0</v>
      </c>
      <c r="U177" s="30">
        <f t="shared" si="4"/>
        <v>1.285679841787693E-4</v>
      </c>
    </row>
    <row r="178" spans="16:21" ht="13.9" customHeight="1" x14ac:dyDescent="0.2">
      <c r="P178" s="27"/>
      <c r="Q178" s="30"/>
      <c r="R178" s="30"/>
      <c r="S178" s="30">
        <f>ABS(Q178)/'İtme Analizi'!$G$17</f>
        <v>0</v>
      </c>
      <c r="T178" s="30">
        <f>ABS(R178)/'İtme Analizi'!$G$14</f>
        <v>0</v>
      </c>
      <c r="U178" s="30">
        <f t="shared" si="4"/>
        <v>1.285679841787693E-4</v>
      </c>
    </row>
    <row r="179" spans="16:21" ht="13.9" customHeight="1" x14ac:dyDescent="0.2">
      <c r="P179" s="27"/>
      <c r="Q179" s="30"/>
      <c r="R179" s="30"/>
      <c r="S179" s="30">
        <f>ABS(Q179)/'İtme Analizi'!$G$17</f>
        <v>0</v>
      </c>
      <c r="T179" s="30">
        <f>ABS(R179)/'İtme Analizi'!$G$14</f>
        <v>0</v>
      </c>
      <c r="U179" s="30">
        <f t="shared" si="4"/>
        <v>1.285679841787693E-4</v>
      </c>
    </row>
    <row r="180" spans="16:21" ht="13.9" customHeight="1" x14ac:dyDescent="0.2">
      <c r="P180" s="27"/>
      <c r="Q180" s="30"/>
      <c r="R180" s="30"/>
      <c r="S180" s="30">
        <f>ABS(Q180)/'İtme Analizi'!$G$17</f>
        <v>0</v>
      </c>
      <c r="T180" s="30">
        <f>ABS(R180)/'İtme Analizi'!$G$14</f>
        <v>0</v>
      </c>
      <c r="U180" s="30">
        <f t="shared" si="4"/>
        <v>1.285679841787693E-4</v>
      </c>
    </row>
    <row r="181" spans="16:21" ht="13.9" customHeight="1" x14ac:dyDescent="0.2">
      <c r="P181" s="27"/>
      <c r="Q181" s="30"/>
      <c r="R181" s="30"/>
      <c r="S181" s="30">
        <f>ABS(Q181)/'İtme Analizi'!$G$17</f>
        <v>0</v>
      </c>
      <c r="T181" s="30">
        <f>ABS(R181)/'İtme Analizi'!$G$14</f>
        <v>0</v>
      </c>
      <c r="U181" s="30">
        <f t="shared" si="4"/>
        <v>1.285679841787693E-4</v>
      </c>
    </row>
    <row r="182" spans="16:21" ht="13.9" customHeight="1" x14ac:dyDescent="0.2">
      <c r="P182" s="27"/>
      <c r="Q182" s="30"/>
      <c r="R182" s="30"/>
      <c r="S182" s="30">
        <f>ABS(Q182)/'İtme Analizi'!$G$17</f>
        <v>0</v>
      </c>
      <c r="T182" s="30">
        <f>ABS(R182)/'İtme Analizi'!$G$14</f>
        <v>0</v>
      </c>
      <c r="U182" s="30">
        <f t="shared" si="4"/>
        <v>1.285679841787693E-4</v>
      </c>
    </row>
    <row r="183" spans="16:21" ht="13.9" customHeight="1" x14ac:dyDescent="0.2">
      <c r="P183" s="27"/>
      <c r="Q183" s="30"/>
      <c r="R183" s="30"/>
      <c r="S183" s="30">
        <f>ABS(Q183)/'İtme Analizi'!$G$17</f>
        <v>0</v>
      </c>
      <c r="T183" s="30">
        <f>ABS(R183)/'İtme Analizi'!$G$14</f>
        <v>0</v>
      </c>
      <c r="U183" s="30">
        <f t="shared" si="4"/>
        <v>1.285679841787693E-4</v>
      </c>
    </row>
    <row r="184" spans="16:21" ht="13.9" customHeight="1" x14ac:dyDescent="0.2">
      <c r="P184" s="27"/>
      <c r="Q184" s="30"/>
      <c r="R184" s="30"/>
      <c r="S184" s="30">
        <f>ABS(Q184)/'İtme Analizi'!$G$17</f>
        <v>0</v>
      </c>
      <c r="T184" s="30">
        <f>ABS(R184)/'İtme Analizi'!$G$14</f>
        <v>0</v>
      </c>
      <c r="U184" s="30">
        <f t="shared" si="4"/>
        <v>1.285679841787693E-4</v>
      </c>
    </row>
    <row r="185" spans="16:21" ht="13.9" customHeight="1" x14ac:dyDescent="0.2">
      <c r="P185" s="27"/>
      <c r="Q185" s="30"/>
      <c r="R185" s="30"/>
      <c r="S185" s="30">
        <f>ABS(Q185)/'İtme Analizi'!$G$17</f>
        <v>0</v>
      </c>
      <c r="T185" s="30">
        <f>ABS(R185)/'İtme Analizi'!$G$14</f>
        <v>0</v>
      </c>
      <c r="U185" s="30">
        <f t="shared" si="4"/>
        <v>1.285679841787693E-4</v>
      </c>
    </row>
    <row r="186" spans="16:21" ht="13.9" customHeight="1" x14ac:dyDescent="0.2">
      <c r="P186" s="27"/>
      <c r="Q186" s="30"/>
      <c r="R186" s="30"/>
      <c r="S186" s="30">
        <f>ABS(Q186)/'İtme Analizi'!$G$17</f>
        <v>0</v>
      </c>
      <c r="T186" s="30">
        <f>ABS(R186)/'İtme Analizi'!$G$14</f>
        <v>0</v>
      </c>
      <c r="U186" s="30">
        <f t="shared" si="4"/>
        <v>1.285679841787693E-4</v>
      </c>
    </row>
    <row r="187" spans="16:21" ht="13.9" customHeight="1" x14ac:dyDescent="0.2">
      <c r="P187" s="27"/>
      <c r="Q187" s="30"/>
      <c r="R187" s="30"/>
      <c r="S187" s="30">
        <f>ABS(Q187)/'İtme Analizi'!$G$17</f>
        <v>0</v>
      </c>
      <c r="T187" s="30">
        <f>ABS(R187)/'İtme Analizi'!$G$14</f>
        <v>0</v>
      </c>
      <c r="U187" s="30">
        <f t="shared" si="4"/>
        <v>1.285679841787693E-4</v>
      </c>
    </row>
    <row r="188" spans="16:21" ht="13.9" customHeight="1" x14ac:dyDescent="0.2">
      <c r="P188" s="27"/>
      <c r="Q188" s="30"/>
      <c r="R188" s="30"/>
      <c r="S188" s="30">
        <f>ABS(Q188)/'İtme Analizi'!$G$17</f>
        <v>0</v>
      </c>
      <c r="T188" s="30">
        <f>ABS(R188)/'İtme Analizi'!$G$14</f>
        <v>0</v>
      </c>
      <c r="U188" s="30">
        <f t="shared" si="4"/>
        <v>1.285679841787693E-4</v>
      </c>
    </row>
    <row r="189" spans="16:21" ht="13.9" customHeight="1" x14ac:dyDescent="0.2">
      <c r="P189" s="27"/>
      <c r="Q189" s="30"/>
      <c r="R189" s="30"/>
      <c r="S189" s="30">
        <f>ABS(Q189)/'İtme Analizi'!$G$17</f>
        <v>0</v>
      </c>
      <c r="T189" s="30">
        <f>ABS(R189)/'İtme Analizi'!$G$14</f>
        <v>0</v>
      </c>
      <c r="U189" s="30">
        <f t="shared" si="4"/>
        <v>1.285679841787693E-4</v>
      </c>
    </row>
    <row r="190" spans="16:21" ht="13.9" customHeight="1" x14ac:dyDescent="0.2">
      <c r="P190" s="27"/>
      <c r="Q190" s="30"/>
      <c r="R190" s="30"/>
      <c r="S190" s="30">
        <f>ABS(Q190)/'İtme Analizi'!$G$17</f>
        <v>0</v>
      </c>
      <c r="T190" s="30">
        <f>ABS(R190)/'İtme Analizi'!$G$14</f>
        <v>0</v>
      </c>
      <c r="U190" s="30">
        <f t="shared" si="4"/>
        <v>1.285679841787693E-4</v>
      </c>
    </row>
    <row r="191" spans="16:21" ht="13.9" customHeight="1" x14ac:dyDescent="0.2">
      <c r="P191" s="27"/>
      <c r="Q191" s="30"/>
      <c r="R191" s="30"/>
      <c r="S191" s="30">
        <f>ABS(Q191)/'İtme Analizi'!$G$17</f>
        <v>0</v>
      </c>
      <c r="T191" s="30">
        <f>ABS(R191)/'İtme Analizi'!$G$14</f>
        <v>0</v>
      </c>
      <c r="U191" s="30">
        <f t="shared" si="4"/>
        <v>1.285679841787693E-4</v>
      </c>
    </row>
    <row r="192" spans="16:21" ht="13.9" customHeight="1" x14ac:dyDescent="0.2">
      <c r="P192" s="27"/>
      <c r="Q192" s="30"/>
      <c r="R192" s="30"/>
      <c r="S192" s="30">
        <f>ABS(Q192)/'İtme Analizi'!$G$17</f>
        <v>0</v>
      </c>
      <c r="T192" s="30">
        <f>ABS(R192)/'İtme Analizi'!$G$14</f>
        <v>0</v>
      </c>
      <c r="U192" s="30">
        <f t="shared" si="4"/>
        <v>1.285679841787693E-4</v>
      </c>
    </row>
    <row r="193" spans="16:21" ht="13.9" customHeight="1" x14ac:dyDescent="0.2">
      <c r="P193" s="27"/>
      <c r="Q193" s="30"/>
      <c r="R193" s="30"/>
      <c r="S193" s="30">
        <f>ABS(Q193)/'İtme Analizi'!$G$17</f>
        <v>0</v>
      </c>
      <c r="T193" s="30">
        <f>ABS(R193)/'İtme Analizi'!$G$14</f>
        <v>0</v>
      </c>
      <c r="U193" s="30">
        <f t="shared" si="4"/>
        <v>1.285679841787693E-4</v>
      </c>
    </row>
    <row r="194" spans="16:21" ht="13.9" customHeight="1" x14ac:dyDescent="0.2">
      <c r="P194" s="27"/>
      <c r="Q194" s="30"/>
      <c r="R194" s="30"/>
      <c r="S194" s="30">
        <f>ABS(Q194)/'İtme Analizi'!$G$17</f>
        <v>0</v>
      </c>
      <c r="T194" s="30">
        <f>ABS(R194)/'İtme Analizi'!$G$14</f>
        <v>0</v>
      </c>
      <c r="U194" s="30">
        <f t="shared" si="4"/>
        <v>1.285679841787693E-4</v>
      </c>
    </row>
    <row r="195" spans="16:21" ht="13.9" customHeight="1" x14ac:dyDescent="0.2">
      <c r="P195" s="27"/>
      <c r="Q195" s="30"/>
      <c r="R195" s="30"/>
      <c r="S195" s="30">
        <f>ABS(Q195)/'İtme Analizi'!$G$17</f>
        <v>0</v>
      </c>
      <c r="T195" s="30">
        <f>ABS(R195)/'İtme Analizi'!$G$14</f>
        <v>0</v>
      </c>
      <c r="U195" s="30">
        <f t="shared" si="4"/>
        <v>1.285679841787693E-4</v>
      </c>
    </row>
    <row r="196" spans="16:21" ht="13.9" customHeight="1" x14ac:dyDescent="0.2">
      <c r="P196" s="27"/>
      <c r="Q196" s="30"/>
      <c r="R196" s="30"/>
      <c r="S196" s="30">
        <f>ABS(Q196)/'İtme Analizi'!$G$17</f>
        <v>0</v>
      </c>
      <c r="T196" s="30">
        <f>ABS(R196)/'İtme Analizi'!$G$14</f>
        <v>0</v>
      </c>
      <c r="U196" s="30">
        <f t="shared" si="4"/>
        <v>1.285679841787693E-4</v>
      </c>
    </row>
    <row r="197" spans="16:21" ht="13.9" customHeight="1" x14ac:dyDescent="0.2">
      <c r="P197" s="27"/>
      <c r="Q197" s="30"/>
      <c r="R197" s="30"/>
      <c r="S197" s="30">
        <f>ABS(Q197)/'İtme Analizi'!$G$17</f>
        <v>0</v>
      </c>
      <c r="T197" s="30">
        <f>ABS(R197)/'İtme Analizi'!$G$14</f>
        <v>0</v>
      </c>
      <c r="U197" s="30">
        <f t="shared" si="4"/>
        <v>1.285679841787693E-4</v>
      </c>
    </row>
    <row r="198" spans="16:21" ht="13.9" customHeight="1" x14ac:dyDescent="0.2">
      <c r="P198" s="27"/>
      <c r="Q198" s="30"/>
      <c r="R198" s="30"/>
      <c r="S198" s="30">
        <f>ABS(Q198)/'İtme Analizi'!$G$17</f>
        <v>0</v>
      </c>
      <c r="T198" s="30">
        <f>ABS(R198)/'İtme Analizi'!$G$14</f>
        <v>0</v>
      </c>
      <c r="U198" s="30">
        <f t="shared" si="4"/>
        <v>1.285679841787693E-4</v>
      </c>
    </row>
    <row r="199" spans="16:21" ht="13.9" customHeight="1" x14ac:dyDescent="0.2">
      <c r="P199" s="27"/>
      <c r="Q199" s="30"/>
      <c r="R199" s="30"/>
      <c r="S199" s="30">
        <f>ABS(Q199)/'İtme Analizi'!$G$17</f>
        <v>0</v>
      </c>
      <c r="T199" s="30">
        <f>ABS(R199)/'İtme Analizi'!$G$14</f>
        <v>0</v>
      </c>
      <c r="U199" s="30">
        <f t="shared" si="4"/>
        <v>1.285679841787693E-4</v>
      </c>
    </row>
    <row r="200" spans="16:21" ht="13.9" customHeight="1" x14ac:dyDescent="0.2">
      <c r="P200" s="27"/>
      <c r="Q200" s="30"/>
      <c r="R200" s="30"/>
      <c r="S200" s="30">
        <f>ABS(Q200)/'İtme Analizi'!$G$17</f>
        <v>0</v>
      </c>
      <c r="T200" s="30">
        <f>ABS(R200)/'İtme Analizi'!$G$14</f>
        <v>0</v>
      </c>
      <c r="U200" s="30">
        <f t="shared" si="4"/>
        <v>1.285679841787693E-4</v>
      </c>
    </row>
    <row r="201" spans="16:21" ht="13.9" customHeight="1" x14ac:dyDescent="0.2">
      <c r="P201" s="27"/>
      <c r="Q201" s="30"/>
      <c r="R201" s="30"/>
      <c r="S201" s="30">
        <f>ABS(Q201)/'İtme Analizi'!$G$17</f>
        <v>0</v>
      </c>
      <c r="T201" s="30">
        <f>ABS(R201)/'İtme Analizi'!$G$14</f>
        <v>0</v>
      </c>
      <c r="U201" s="30">
        <f t="shared" ref="U201:U264" si="5">U200+(S201-S200)*((T201+T200)/2)</f>
        <v>1.285679841787693E-4</v>
      </c>
    </row>
    <row r="202" spans="16:21" ht="13.9" customHeight="1" x14ac:dyDescent="0.2">
      <c r="P202" s="27"/>
      <c r="Q202" s="30"/>
      <c r="R202" s="30"/>
      <c r="S202" s="30">
        <f>ABS(Q202)/'İtme Analizi'!$G$17</f>
        <v>0</v>
      </c>
      <c r="T202" s="30">
        <f>ABS(R202)/'İtme Analizi'!$G$14</f>
        <v>0</v>
      </c>
      <c r="U202" s="30">
        <f t="shared" si="5"/>
        <v>1.285679841787693E-4</v>
      </c>
    </row>
    <row r="203" spans="16:21" ht="13.9" customHeight="1" x14ac:dyDescent="0.2">
      <c r="P203" s="27"/>
      <c r="Q203" s="30"/>
      <c r="R203" s="30"/>
      <c r="S203" s="30">
        <f>ABS(Q203)/'İtme Analizi'!$G$17</f>
        <v>0</v>
      </c>
      <c r="T203" s="30">
        <f>ABS(R203)/'İtme Analizi'!$G$14</f>
        <v>0</v>
      </c>
      <c r="U203" s="30">
        <f t="shared" si="5"/>
        <v>1.285679841787693E-4</v>
      </c>
    </row>
    <row r="204" spans="16:21" ht="13.9" customHeight="1" x14ac:dyDescent="0.2">
      <c r="P204" s="27"/>
      <c r="Q204" s="30"/>
      <c r="R204" s="30"/>
      <c r="S204" s="30">
        <f>ABS(Q204)/'İtme Analizi'!$G$17</f>
        <v>0</v>
      </c>
      <c r="T204" s="30">
        <f>ABS(R204)/'İtme Analizi'!$G$14</f>
        <v>0</v>
      </c>
      <c r="U204" s="30">
        <f t="shared" si="5"/>
        <v>1.285679841787693E-4</v>
      </c>
    </row>
    <row r="205" spans="16:21" ht="13.9" customHeight="1" x14ac:dyDescent="0.2">
      <c r="P205" s="27"/>
      <c r="Q205" s="30"/>
      <c r="R205" s="30"/>
      <c r="S205" s="30">
        <f>ABS(Q205)/'İtme Analizi'!$G$17</f>
        <v>0</v>
      </c>
      <c r="T205" s="30">
        <f>ABS(R205)/'İtme Analizi'!$G$14</f>
        <v>0</v>
      </c>
      <c r="U205" s="30">
        <f t="shared" si="5"/>
        <v>1.285679841787693E-4</v>
      </c>
    </row>
    <row r="206" spans="16:21" ht="13.9" customHeight="1" x14ac:dyDescent="0.2">
      <c r="P206" s="27"/>
      <c r="Q206" s="30"/>
      <c r="R206" s="30"/>
      <c r="S206" s="30">
        <f>ABS(Q206)/'İtme Analizi'!$G$17</f>
        <v>0</v>
      </c>
      <c r="T206" s="30">
        <f>ABS(R206)/'İtme Analizi'!$G$14</f>
        <v>0</v>
      </c>
      <c r="U206" s="30">
        <f t="shared" si="5"/>
        <v>1.285679841787693E-4</v>
      </c>
    </row>
    <row r="207" spans="16:21" ht="13.9" customHeight="1" x14ac:dyDescent="0.2">
      <c r="P207" s="27"/>
      <c r="Q207" s="30"/>
      <c r="R207" s="30"/>
      <c r="S207" s="30">
        <f>ABS(Q207)/'İtme Analizi'!$G$17</f>
        <v>0</v>
      </c>
      <c r="T207" s="30">
        <f>ABS(R207)/'İtme Analizi'!$G$14</f>
        <v>0</v>
      </c>
      <c r="U207" s="30">
        <f t="shared" si="5"/>
        <v>1.285679841787693E-4</v>
      </c>
    </row>
    <row r="208" spans="16:21" ht="13.9" customHeight="1" x14ac:dyDescent="0.2">
      <c r="P208" s="27"/>
      <c r="Q208" s="30"/>
      <c r="R208" s="30"/>
      <c r="S208" s="30">
        <f>ABS(Q208)/'İtme Analizi'!$G$17</f>
        <v>0</v>
      </c>
      <c r="T208" s="30">
        <f>ABS(R208)/'İtme Analizi'!$G$14</f>
        <v>0</v>
      </c>
      <c r="U208" s="30">
        <f t="shared" si="5"/>
        <v>1.285679841787693E-4</v>
      </c>
    </row>
    <row r="209" spans="16:21" ht="13.9" customHeight="1" x14ac:dyDescent="0.2">
      <c r="P209" s="27"/>
      <c r="Q209" s="30"/>
      <c r="R209" s="30"/>
      <c r="S209" s="30">
        <f>ABS(Q209)/'İtme Analizi'!$G$17</f>
        <v>0</v>
      </c>
      <c r="T209" s="30">
        <f>ABS(R209)/'İtme Analizi'!$G$14</f>
        <v>0</v>
      </c>
      <c r="U209" s="30">
        <f t="shared" si="5"/>
        <v>1.285679841787693E-4</v>
      </c>
    </row>
    <row r="210" spans="16:21" ht="13.9" customHeight="1" x14ac:dyDescent="0.2">
      <c r="P210" s="27"/>
      <c r="Q210" s="30"/>
      <c r="R210" s="30"/>
      <c r="S210" s="30">
        <f>ABS(Q210)/'İtme Analizi'!$G$17</f>
        <v>0</v>
      </c>
      <c r="T210" s="30">
        <f>ABS(R210)/'İtme Analizi'!$G$14</f>
        <v>0</v>
      </c>
      <c r="U210" s="30">
        <f t="shared" si="5"/>
        <v>1.285679841787693E-4</v>
      </c>
    </row>
    <row r="211" spans="16:21" ht="13.9" customHeight="1" x14ac:dyDescent="0.2">
      <c r="P211" s="27"/>
      <c r="Q211" s="30"/>
      <c r="R211" s="30"/>
      <c r="S211" s="30">
        <f>ABS(Q211)/'İtme Analizi'!$G$17</f>
        <v>0</v>
      </c>
      <c r="T211" s="30">
        <f>ABS(R211)/'İtme Analizi'!$G$14</f>
        <v>0</v>
      </c>
      <c r="U211" s="30">
        <f t="shared" si="5"/>
        <v>1.285679841787693E-4</v>
      </c>
    </row>
    <row r="212" spans="16:21" ht="13.9" customHeight="1" x14ac:dyDescent="0.2">
      <c r="P212" s="27"/>
      <c r="Q212" s="30"/>
      <c r="R212" s="30"/>
      <c r="S212" s="30">
        <f>ABS(Q212)/'İtme Analizi'!$G$17</f>
        <v>0</v>
      </c>
      <c r="T212" s="30">
        <f>ABS(R212)/'İtme Analizi'!$G$14</f>
        <v>0</v>
      </c>
      <c r="U212" s="30">
        <f t="shared" si="5"/>
        <v>1.285679841787693E-4</v>
      </c>
    </row>
    <row r="213" spans="16:21" ht="13.9" customHeight="1" x14ac:dyDescent="0.2">
      <c r="P213" s="27"/>
      <c r="Q213" s="30"/>
      <c r="R213" s="30"/>
      <c r="S213" s="30">
        <f>ABS(Q213)/'İtme Analizi'!$G$17</f>
        <v>0</v>
      </c>
      <c r="T213" s="30">
        <f>ABS(R213)/'İtme Analizi'!$G$14</f>
        <v>0</v>
      </c>
      <c r="U213" s="30">
        <f t="shared" si="5"/>
        <v>1.285679841787693E-4</v>
      </c>
    </row>
    <row r="214" spans="16:21" ht="13.9" customHeight="1" x14ac:dyDescent="0.2">
      <c r="P214" s="27"/>
      <c r="Q214" s="30"/>
      <c r="R214" s="30"/>
      <c r="S214" s="30">
        <f>ABS(Q214)/'İtme Analizi'!$G$17</f>
        <v>0</v>
      </c>
      <c r="T214" s="30">
        <f>ABS(R214)/'İtme Analizi'!$G$14</f>
        <v>0</v>
      </c>
      <c r="U214" s="30">
        <f t="shared" si="5"/>
        <v>1.285679841787693E-4</v>
      </c>
    </row>
    <row r="215" spans="16:21" ht="13.9" customHeight="1" x14ac:dyDescent="0.2">
      <c r="P215" s="27"/>
      <c r="Q215" s="30"/>
      <c r="R215" s="30"/>
      <c r="S215" s="30">
        <f>ABS(Q215)/'İtme Analizi'!$G$17</f>
        <v>0</v>
      </c>
      <c r="T215" s="30">
        <f>ABS(R215)/'İtme Analizi'!$G$14</f>
        <v>0</v>
      </c>
      <c r="U215" s="30">
        <f t="shared" si="5"/>
        <v>1.285679841787693E-4</v>
      </c>
    </row>
    <row r="216" spans="16:21" ht="13.9" customHeight="1" x14ac:dyDescent="0.2">
      <c r="P216" s="27"/>
      <c r="Q216" s="30"/>
      <c r="R216" s="30"/>
      <c r="S216" s="30">
        <f>ABS(Q216)/'İtme Analizi'!$G$17</f>
        <v>0</v>
      </c>
      <c r="T216" s="30">
        <f>ABS(R216)/'İtme Analizi'!$G$14</f>
        <v>0</v>
      </c>
      <c r="U216" s="30">
        <f t="shared" si="5"/>
        <v>1.285679841787693E-4</v>
      </c>
    </row>
    <row r="217" spans="16:21" ht="13.9" customHeight="1" x14ac:dyDescent="0.2">
      <c r="P217" s="27"/>
      <c r="Q217" s="30"/>
      <c r="R217" s="30"/>
      <c r="S217" s="30">
        <f>ABS(Q217)/'İtme Analizi'!$G$17</f>
        <v>0</v>
      </c>
      <c r="T217" s="30">
        <f>ABS(R217)/'İtme Analizi'!$G$14</f>
        <v>0</v>
      </c>
      <c r="U217" s="30">
        <f t="shared" si="5"/>
        <v>1.285679841787693E-4</v>
      </c>
    </row>
    <row r="218" spans="16:21" ht="13.9" customHeight="1" x14ac:dyDescent="0.2">
      <c r="P218" s="27"/>
      <c r="Q218" s="30"/>
      <c r="R218" s="30"/>
      <c r="S218" s="30">
        <f>ABS(Q218)/'İtme Analizi'!$G$17</f>
        <v>0</v>
      </c>
      <c r="T218" s="30">
        <f>ABS(R218)/'İtme Analizi'!$G$14</f>
        <v>0</v>
      </c>
      <c r="U218" s="30">
        <f t="shared" si="5"/>
        <v>1.285679841787693E-4</v>
      </c>
    </row>
    <row r="219" spans="16:21" ht="13.9" customHeight="1" x14ac:dyDescent="0.2">
      <c r="P219" s="27"/>
      <c r="Q219" s="30"/>
      <c r="R219" s="30"/>
      <c r="S219" s="30">
        <f>ABS(Q219)/'İtme Analizi'!$G$17</f>
        <v>0</v>
      </c>
      <c r="T219" s="30">
        <f>ABS(R219)/'İtme Analizi'!$G$14</f>
        <v>0</v>
      </c>
      <c r="U219" s="30">
        <f t="shared" si="5"/>
        <v>1.285679841787693E-4</v>
      </c>
    </row>
    <row r="220" spans="16:21" ht="13.9" customHeight="1" x14ac:dyDescent="0.2">
      <c r="P220" s="27"/>
      <c r="Q220" s="30"/>
      <c r="R220" s="30"/>
      <c r="S220" s="30">
        <f>ABS(Q220)/'İtme Analizi'!$G$17</f>
        <v>0</v>
      </c>
      <c r="T220" s="30">
        <f>ABS(R220)/'İtme Analizi'!$G$14</f>
        <v>0</v>
      </c>
      <c r="U220" s="30">
        <f t="shared" si="5"/>
        <v>1.285679841787693E-4</v>
      </c>
    </row>
    <row r="221" spans="16:21" ht="13.9" customHeight="1" x14ac:dyDescent="0.2">
      <c r="P221" s="27"/>
      <c r="Q221" s="30"/>
      <c r="R221" s="30"/>
      <c r="S221" s="30">
        <f>ABS(Q221)/'İtme Analizi'!$G$17</f>
        <v>0</v>
      </c>
      <c r="T221" s="30">
        <f>ABS(R221)/'İtme Analizi'!$G$14</f>
        <v>0</v>
      </c>
      <c r="U221" s="30">
        <f t="shared" si="5"/>
        <v>1.285679841787693E-4</v>
      </c>
    </row>
    <row r="222" spans="16:21" ht="13.9" customHeight="1" x14ac:dyDescent="0.2">
      <c r="P222" s="27"/>
      <c r="Q222" s="30"/>
      <c r="R222" s="30"/>
      <c r="S222" s="30">
        <f>ABS(Q222)/'İtme Analizi'!$G$17</f>
        <v>0</v>
      </c>
      <c r="T222" s="30">
        <f>ABS(R222)/'İtme Analizi'!$G$14</f>
        <v>0</v>
      </c>
      <c r="U222" s="30">
        <f t="shared" si="5"/>
        <v>1.285679841787693E-4</v>
      </c>
    </row>
    <row r="223" spans="16:21" ht="13.9" customHeight="1" x14ac:dyDescent="0.2">
      <c r="P223" s="27"/>
      <c r="Q223" s="30"/>
      <c r="R223" s="30"/>
      <c r="S223" s="30">
        <f>ABS(Q223)/'İtme Analizi'!$G$17</f>
        <v>0</v>
      </c>
      <c r="T223" s="30">
        <f>ABS(R223)/'İtme Analizi'!$G$14</f>
        <v>0</v>
      </c>
      <c r="U223" s="30">
        <f t="shared" si="5"/>
        <v>1.285679841787693E-4</v>
      </c>
    </row>
    <row r="224" spans="16:21" ht="13.9" customHeight="1" x14ac:dyDescent="0.2">
      <c r="P224" s="27"/>
      <c r="Q224" s="30"/>
      <c r="R224" s="30"/>
      <c r="S224" s="30">
        <f>ABS(Q224)/'İtme Analizi'!$G$17</f>
        <v>0</v>
      </c>
      <c r="T224" s="30">
        <f>ABS(R224)/'İtme Analizi'!$G$14</f>
        <v>0</v>
      </c>
      <c r="U224" s="30">
        <f t="shared" si="5"/>
        <v>1.285679841787693E-4</v>
      </c>
    </row>
    <row r="225" spans="16:21" ht="13.9" customHeight="1" x14ac:dyDescent="0.2">
      <c r="P225" s="27"/>
      <c r="Q225" s="30"/>
      <c r="R225" s="30"/>
      <c r="S225" s="30">
        <f>ABS(Q225)/'İtme Analizi'!$G$17</f>
        <v>0</v>
      </c>
      <c r="T225" s="30">
        <f>ABS(R225)/'İtme Analizi'!$G$14</f>
        <v>0</v>
      </c>
      <c r="U225" s="30">
        <f t="shared" si="5"/>
        <v>1.285679841787693E-4</v>
      </c>
    </row>
    <row r="226" spans="16:21" ht="13.9" customHeight="1" x14ac:dyDescent="0.2">
      <c r="P226" s="27"/>
      <c r="Q226" s="30"/>
      <c r="R226" s="30"/>
      <c r="S226" s="30">
        <f>ABS(Q226)/'İtme Analizi'!$G$17</f>
        <v>0</v>
      </c>
      <c r="T226" s="30">
        <f>ABS(R226)/'İtme Analizi'!$G$14</f>
        <v>0</v>
      </c>
      <c r="U226" s="30">
        <f t="shared" si="5"/>
        <v>1.285679841787693E-4</v>
      </c>
    </row>
    <row r="227" spans="16:21" ht="13.9" customHeight="1" x14ac:dyDescent="0.2">
      <c r="P227" s="27"/>
      <c r="Q227" s="30"/>
      <c r="R227" s="30"/>
      <c r="S227" s="30">
        <f>ABS(Q227)/'İtme Analizi'!$G$17</f>
        <v>0</v>
      </c>
      <c r="T227" s="30">
        <f>ABS(R227)/'İtme Analizi'!$G$14</f>
        <v>0</v>
      </c>
      <c r="U227" s="30">
        <f t="shared" si="5"/>
        <v>1.285679841787693E-4</v>
      </c>
    </row>
    <row r="228" spans="16:21" ht="13.9" customHeight="1" x14ac:dyDescent="0.2">
      <c r="P228" s="27"/>
      <c r="Q228" s="30"/>
      <c r="R228" s="30"/>
      <c r="S228" s="30">
        <f>ABS(Q228)/'İtme Analizi'!$G$17</f>
        <v>0</v>
      </c>
      <c r="T228" s="30">
        <f>ABS(R228)/'İtme Analizi'!$G$14</f>
        <v>0</v>
      </c>
      <c r="U228" s="30">
        <f t="shared" si="5"/>
        <v>1.285679841787693E-4</v>
      </c>
    </row>
    <row r="229" spans="16:21" ht="13.9" customHeight="1" x14ac:dyDescent="0.2">
      <c r="P229" s="27"/>
      <c r="Q229" s="30"/>
      <c r="R229" s="30"/>
      <c r="S229" s="30">
        <f>ABS(Q229)/'İtme Analizi'!$G$17</f>
        <v>0</v>
      </c>
      <c r="T229" s="30">
        <f>ABS(R229)/'İtme Analizi'!$G$14</f>
        <v>0</v>
      </c>
      <c r="U229" s="30">
        <f t="shared" si="5"/>
        <v>1.285679841787693E-4</v>
      </c>
    </row>
    <row r="230" spans="16:21" ht="13.9" customHeight="1" x14ac:dyDescent="0.2">
      <c r="P230" s="27"/>
      <c r="Q230" s="30"/>
      <c r="R230" s="30"/>
      <c r="S230" s="30">
        <f>ABS(Q230)/'İtme Analizi'!$G$17</f>
        <v>0</v>
      </c>
      <c r="T230" s="30">
        <f>ABS(R230)/'İtme Analizi'!$G$14</f>
        <v>0</v>
      </c>
      <c r="U230" s="30">
        <f t="shared" si="5"/>
        <v>1.285679841787693E-4</v>
      </c>
    </row>
    <row r="231" spans="16:21" ht="13.9" customHeight="1" x14ac:dyDescent="0.2">
      <c r="P231" s="27"/>
      <c r="Q231" s="30"/>
      <c r="R231" s="30"/>
      <c r="S231" s="30">
        <f>ABS(Q231)/'İtme Analizi'!$G$17</f>
        <v>0</v>
      </c>
      <c r="T231" s="30">
        <f>ABS(R231)/'İtme Analizi'!$G$14</f>
        <v>0</v>
      </c>
      <c r="U231" s="30">
        <f t="shared" si="5"/>
        <v>1.285679841787693E-4</v>
      </c>
    </row>
    <row r="232" spans="16:21" ht="13.9" customHeight="1" x14ac:dyDescent="0.2">
      <c r="P232" s="27"/>
      <c r="Q232" s="30"/>
      <c r="R232" s="30"/>
      <c r="S232" s="30">
        <f>ABS(Q232)/'İtme Analizi'!$G$17</f>
        <v>0</v>
      </c>
      <c r="T232" s="30">
        <f>ABS(R232)/'İtme Analizi'!$G$14</f>
        <v>0</v>
      </c>
      <c r="U232" s="30">
        <f t="shared" si="5"/>
        <v>1.285679841787693E-4</v>
      </c>
    </row>
    <row r="233" spans="16:21" ht="13.9" customHeight="1" x14ac:dyDescent="0.2">
      <c r="P233" s="27"/>
      <c r="Q233" s="30"/>
      <c r="R233" s="30"/>
      <c r="S233" s="30">
        <f>ABS(Q233)/'İtme Analizi'!$G$17</f>
        <v>0</v>
      </c>
      <c r="T233" s="30">
        <f>ABS(R233)/'İtme Analizi'!$G$14</f>
        <v>0</v>
      </c>
      <c r="U233" s="30">
        <f t="shared" si="5"/>
        <v>1.285679841787693E-4</v>
      </c>
    </row>
    <row r="234" spans="16:21" ht="13.9" customHeight="1" x14ac:dyDescent="0.2">
      <c r="P234" s="27"/>
      <c r="Q234" s="30"/>
      <c r="R234" s="30"/>
      <c r="S234" s="30">
        <f>ABS(Q234)/'İtme Analizi'!$G$17</f>
        <v>0</v>
      </c>
      <c r="T234" s="30">
        <f>ABS(R234)/'İtme Analizi'!$G$14</f>
        <v>0</v>
      </c>
      <c r="U234" s="30">
        <f t="shared" si="5"/>
        <v>1.285679841787693E-4</v>
      </c>
    </row>
    <row r="235" spans="16:21" ht="13.9" customHeight="1" x14ac:dyDescent="0.2">
      <c r="P235" s="27"/>
      <c r="Q235" s="30"/>
      <c r="R235" s="30"/>
      <c r="S235" s="30">
        <f>ABS(Q235)/'İtme Analizi'!$G$17</f>
        <v>0</v>
      </c>
      <c r="T235" s="30">
        <f>ABS(R235)/'İtme Analizi'!$G$14</f>
        <v>0</v>
      </c>
      <c r="U235" s="30">
        <f t="shared" si="5"/>
        <v>1.285679841787693E-4</v>
      </c>
    </row>
    <row r="236" spans="16:21" ht="13.9" customHeight="1" x14ac:dyDescent="0.2">
      <c r="P236" s="27"/>
      <c r="Q236" s="30"/>
      <c r="R236" s="30"/>
      <c r="S236" s="30">
        <f>ABS(Q236)/'İtme Analizi'!$G$17</f>
        <v>0</v>
      </c>
      <c r="T236" s="30">
        <f>ABS(R236)/'İtme Analizi'!$G$14</f>
        <v>0</v>
      </c>
      <c r="U236" s="30">
        <f t="shared" si="5"/>
        <v>1.285679841787693E-4</v>
      </c>
    </row>
    <row r="237" spans="16:21" ht="13.9" customHeight="1" x14ac:dyDescent="0.2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1.285679841787693E-4</v>
      </c>
    </row>
    <row r="238" spans="16:21" ht="13.9" customHeight="1" x14ac:dyDescent="0.2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1.285679841787693E-4</v>
      </c>
    </row>
    <row r="239" spans="16:21" ht="13.9" customHeight="1" x14ac:dyDescent="0.2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1.285679841787693E-4</v>
      </c>
    </row>
    <row r="240" spans="16:21" ht="13.9" customHeight="1" x14ac:dyDescent="0.2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1.285679841787693E-4</v>
      </c>
    </row>
    <row r="241" spans="16:21" ht="13.9" customHeight="1" x14ac:dyDescent="0.2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1.285679841787693E-4</v>
      </c>
    </row>
    <row r="242" spans="16:21" ht="13.9" customHeight="1" x14ac:dyDescent="0.2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1.285679841787693E-4</v>
      </c>
    </row>
    <row r="243" spans="16:21" ht="13.9" customHeight="1" x14ac:dyDescent="0.2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1.285679841787693E-4</v>
      </c>
    </row>
    <row r="244" spans="16:21" ht="13.9" customHeight="1" x14ac:dyDescent="0.2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1.285679841787693E-4</v>
      </c>
    </row>
    <row r="245" spans="16:21" ht="13.9" customHeight="1" x14ac:dyDescent="0.2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1.285679841787693E-4</v>
      </c>
    </row>
    <row r="246" spans="16:21" ht="13.9" customHeight="1" x14ac:dyDescent="0.2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1.285679841787693E-4</v>
      </c>
    </row>
    <row r="247" spans="16:21" ht="13.9" customHeight="1" x14ac:dyDescent="0.2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1.285679841787693E-4</v>
      </c>
    </row>
    <row r="248" spans="16:21" ht="13.9" customHeight="1" x14ac:dyDescent="0.2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1.285679841787693E-4</v>
      </c>
    </row>
    <row r="249" spans="16:21" ht="13.9" customHeight="1" x14ac:dyDescent="0.2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1.285679841787693E-4</v>
      </c>
    </row>
    <row r="250" spans="16:21" ht="13.9" customHeight="1" x14ac:dyDescent="0.2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1.285679841787693E-4</v>
      </c>
    </row>
    <row r="251" spans="16:21" ht="13.9" customHeight="1" x14ac:dyDescent="0.2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1.285679841787693E-4</v>
      </c>
    </row>
    <row r="252" spans="16:21" ht="13.9" customHeight="1" x14ac:dyDescent="0.2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1.285679841787693E-4</v>
      </c>
    </row>
    <row r="253" spans="16:21" ht="13.9" customHeight="1" x14ac:dyDescent="0.2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1.285679841787693E-4</v>
      </c>
    </row>
    <row r="254" spans="16:21" ht="13.9" customHeight="1" x14ac:dyDescent="0.2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1.285679841787693E-4</v>
      </c>
    </row>
    <row r="255" spans="16:21" ht="13.9" customHeight="1" x14ac:dyDescent="0.2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1.285679841787693E-4</v>
      </c>
    </row>
    <row r="256" spans="16:21" ht="13.9" customHeight="1" x14ac:dyDescent="0.2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1.285679841787693E-4</v>
      </c>
    </row>
    <row r="257" spans="16:21" ht="13.9" customHeight="1" x14ac:dyDescent="0.2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1.285679841787693E-4</v>
      </c>
    </row>
    <row r="258" spans="16:21" ht="13.9" customHeight="1" x14ac:dyDescent="0.2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1.285679841787693E-4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1.285679841787693E-4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1.285679841787693E-4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1.285679841787693E-4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1.285679841787693E-4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1.285679841787693E-4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1.285679841787693E-4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1.285679841787693E-4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1.285679841787693E-4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1.285679841787693E-4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1.285679841787693E-4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1.285679841787693E-4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1.285679841787693E-4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1.285679841787693E-4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1.285679841787693E-4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1.285679841787693E-4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1.285679841787693E-4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1.285679841787693E-4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1.285679841787693E-4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1.285679841787693E-4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1.285679841787693E-4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1.285679841787693E-4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1.285679841787693E-4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1.285679841787693E-4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1.285679841787693E-4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1.285679841787693E-4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1.285679841787693E-4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1.285679841787693E-4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1.285679841787693E-4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1.285679841787693E-4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1.285679841787693E-4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1.285679841787693E-4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1.285679841787693E-4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1.285679841787693E-4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1.285679841787693E-4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1.285679841787693E-4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1.285679841787693E-4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1.285679841787693E-4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1.285679841787693E-4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1.285679841787693E-4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1.285679841787693E-4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1.285679841787693E-4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1.285679841787693E-4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1.285679841787693E-4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1.285679841787693E-4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1.285679841787693E-4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1.285679841787693E-4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1.285679841787693E-4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1.285679841787693E-4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1.285679841787693E-4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1.285679841787693E-4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1.285679841787693E-4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1.285679841787693E-4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1.285679841787693E-4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1.285679841787693E-4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1.285679841787693E-4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1.285679841787693E-4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1.285679841787693E-4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1.285679841787693E-4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1.285679841787693E-4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1.285679841787693E-4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1.285679841787693E-4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1.285679841787693E-4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1.285679841787693E-4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1.285679841787693E-4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1.285679841787693E-4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1.285679841787693E-4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1.285679841787693E-4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1.285679841787693E-4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1.285679841787693E-4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1.285679841787693E-4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1.285679841787693E-4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1.285679841787693E-4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1.285679841787693E-4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1.285679841787693E-4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1.285679841787693E-4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1.285679841787693E-4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1.285679841787693E-4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1.285679841787693E-4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1.285679841787693E-4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1.285679841787693E-4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1.285679841787693E-4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1.285679841787693E-4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1.285679841787693E-4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1.285679841787693E-4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1.285679841787693E-4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1.285679841787693E-4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1.285679841787693E-4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1.285679841787693E-4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1.285679841787693E-4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1.285679841787693E-4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1.285679841787693E-4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1.285679841787693E-4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1.285679841787693E-4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1.285679841787693E-4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1.285679841787693E-4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1.285679841787693E-4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1.285679841787693E-4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1.285679841787693E-4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1.285679841787693E-4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1.285679841787693E-4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1.285679841787693E-4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1.285679841787693E-4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1.285679841787693E-4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1.285679841787693E-4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1.285679841787693E-4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1.285679841787693E-4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1.285679841787693E-4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1.285679841787693E-4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1.285679841787693E-4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1.285679841787693E-4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1.285679841787693E-4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1.285679841787693E-4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1.285679841787693E-4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1.285679841787693E-4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1.285679841787693E-4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1.285679841787693E-4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1.285679841787693E-4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1.285679841787693E-4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1.285679841787693E-4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1.285679841787693E-4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1.285679841787693E-4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1.285679841787693E-4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1.285679841787693E-4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1.285679841787693E-4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1.285679841787693E-4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1.285679841787693E-4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1.285679841787693E-4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1.285679841787693E-4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1.285679841787693E-4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1.285679841787693E-4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1.285679841787693E-4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1.285679841787693E-4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1.285679841787693E-4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1.285679841787693E-4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1.285679841787693E-4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1.285679841787693E-4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1.285679841787693E-4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1.285679841787693E-4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1.285679841787693E-4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1.285679841787693E-4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1.285679841787693E-4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1.285679841787693E-4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1.285679841787693E-4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1.285679841787693E-4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1.285679841787693E-4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1.285679841787693E-4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1.285679841787693E-4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1.285679841787693E-4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1.285679841787693E-4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1.285679841787693E-4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1.285679841787693E-4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1.285679841787693E-4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1.285679841787693E-4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1.285679841787693E-4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1.285679841787693E-4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1.285679841787693E-4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1.285679841787693E-4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1.285679841787693E-4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1.285679841787693E-4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1.285679841787693E-4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1.285679841787693E-4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1.285679841787693E-4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1.285679841787693E-4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1.285679841787693E-4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1.285679841787693E-4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1.285679841787693E-4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1.285679841787693E-4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1.285679841787693E-4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1.285679841787693E-4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1.285679841787693E-4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1.285679841787693E-4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1.285679841787693E-4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1.285679841787693E-4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1.285679841787693E-4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1.285679841787693E-4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1.285679841787693E-4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1.285679841787693E-4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1.285679841787693E-4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1.285679841787693E-4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1.285679841787693E-4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1.285679841787693E-4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1.285679841787693E-4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1.285679841787693E-4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1.285679841787693E-4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1.285679841787693E-4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1.285679841787693E-4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1.285679841787693E-4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1.285679841787693E-4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1.285679841787693E-4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1.285679841787693E-4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1.285679841787693E-4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1.285679841787693E-4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1.285679841787693E-4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1.285679841787693E-4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1.285679841787693E-4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1.285679841787693E-4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1.285679841787693E-4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1.285679841787693E-4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1.285679841787693E-4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1.285679841787693E-4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1.285679841787693E-4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1.285679841787693E-4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1.285679841787693E-4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1.285679841787693E-4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1.285679841787693E-4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1.285679841787693E-4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1.285679841787693E-4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1.285679841787693E-4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1.285679841787693E-4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1.285679841787693E-4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1.285679841787693E-4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1.285679841787693E-4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1.285679841787693E-4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1.285679841787693E-4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1.285679841787693E-4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1.285679841787693E-4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1.285679841787693E-4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1.285679841787693E-4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1.285679841787693E-4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1.285679841787693E-4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1.285679841787693E-4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1.285679841787693E-4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1.285679841787693E-4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1.285679841787693E-4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1.285679841787693E-4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1.285679841787693E-4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1.285679841787693E-4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1.285679841787693E-4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1.285679841787693E-4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1.285679841787693E-4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1.285679841787693E-4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1.285679841787693E-4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1.285679841787693E-4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1.285679841787693E-4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1.285679841787693E-4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1.285679841787693E-4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1.285679841787693E-4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1.285679841787693E-4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1.285679841787693E-4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1.285679841787693E-4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1.285679841787693E-4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1.285679841787693E-4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1.285679841787693E-4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1.285679841787693E-4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1.285679841787693E-4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1.285679841787693E-4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1.285679841787693E-4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1.285679841787693E-4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1.285679841787693E-4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1.285679841787693E-4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1.285679841787693E-4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1.285679841787693E-4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1.285679841787693E-4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1.285679841787693E-4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1.285679841787693E-4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1.285679841787693E-4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1.285679841787693E-4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1.285679841787693E-4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1.285679841787693E-4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1.285679841787693E-4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1.285679841787693E-4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1.285679841787693E-4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1.285679841787693E-4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1.285679841787693E-4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1.285679841787693E-4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1.285679841787693E-4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1.285679841787693E-4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1.285679841787693E-4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1.285679841787693E-4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1.285679841787693E-4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1.285679841787693E-4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1.285679841787693E-4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1.285679841787693E-4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1.285679841787693E-4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1.285679841787693E-4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1.285679841787693E-4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1.285679841787693E-4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1.285679841787693E-4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1.285679841787693E-4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1.285679841787693E-4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1.285679841787693E-4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1.285679841787693E-4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1.285679841787693E-4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1.285679841787693E-4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1.285679841787693E-4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1.285679841787693E-4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1.285679841787693E-4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1.285679841787693E-4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1.285679841787693E-4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1.285679841787693E-4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1.285679841787693E-4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1.285679841787693E-4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1.285679841787693E-4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1.285679841787693E-4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1.285679841787693E-4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1.285679841787693E-4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1.285679841787693E-4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1.285679841787693E-4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1.285679841787693E-4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1.285679841787693E-4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1.285679841787693E-4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1.285679841787693E-4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1.285679841787693E-4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1.285679841787693E-4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1.285679841787693E-4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1.285679841787693E-4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1.285679841787693E-4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1.285679841787693E-4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1.285679841787693E-4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1.285679841787693E-4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1.285679841787693E-4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1.285679841787693E-4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1.285679841787693E-4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1.285679841787693E-4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1.285679841787693E-4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1.285679841787693E-4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1.285679841787693E-4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1.285679841787693E-4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1.285679841787693E-4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1.285679841787693E-4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1.285679841787693E-4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1.285679841787693E-4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1.285679841787693E-4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1.285679841787693E-4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1.285679841787693E-4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1.285679841787693E-4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1.285679841787693E-4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1.285679841787693E-4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1.285679841787693E-4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1.285679841787693E-4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1.285679841787693E-4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1.285679841787693E-4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1.285679841787693E-4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1.285679841787693E-4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1.285679841787693E-4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1.285679841787693E-4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1.285679841787693E-4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1.285679841787693E-4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1.285679841787693E-4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1.285679841787693E-4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1.285679841787693E-4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1.285679841787693E-4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1.285679841787693E-4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1.285679841787693E-4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1.285679841787693E-4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1.285679841787693E-4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1.285679841787693E-4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1.285679841787693E-4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1.285679841787693E-4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1.285679841787693E-4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1.285679841787693E-4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1.285679841787693E-4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1.285679841787693E-4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1.285679841787693E-4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1.285679841787693E-4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1.285679841787693E-4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1.285679841787693E-4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1.285679841787693E-4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1.285679841787693E-4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1.285679841787693E-4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1.285679841787693E-4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1.285679841787693E-4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1.285679841787693E-4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1.285679841787693E-4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1.285679841787693E-4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1.285679841787693E-4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1.285679841787693E-4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1.285679841787693E-4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1.285679841787693E-4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1.285679841787693E-4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1.285679841787693E-4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1.285679841787693E-4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1.285679841787693E-4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1.285679841787693E-4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1.285679841787693E-4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1.285679841787693E-4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1.285679841787693E-4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1.285679841787693E-4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1.285679841787693E-4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1.285679841787693E-4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1.285679841787693E-4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1.285679841787693E-4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1.285679841787693E-4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1.285679841787693E-4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1.285679841787693E-4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1.285679841787693E-4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1.285679841787693E-4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1.285679841787693E-4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1.285679841787693E-4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1.285679841787693E-4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1.285679841787693E-4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1.285679841787693E-4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1.285679841787693E-4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1.285679841787693E-4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1.285679841787693E-4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1.285679841787693E-4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1.285679841787693E-4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1.285679841787693E-4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1.285679841787693E-4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1.285679841787693E-4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1.285679841787693E-4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1.285679841787693E-4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1.285679841787693E-4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1.285679841787693E-4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1.285679841787693E-4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1.285679841787693E-4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1.285679841787693E-4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1.285679841787693E-4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1.285679841787693E-4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1.285679841787693E-4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1.285679841787693E-4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1.285679841787693E-4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1.285679841787693E-4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1.285679841787693E-4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1.285679841787693E-4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1.285679841787693E-4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1.285679841787693E-4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1.285679841787693E-4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1.285679841787693E-4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1.285679841787693E-4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1.285679841787693E-4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1.285679841787693E-4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1.285679841787693E-4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1.285679841787693E-4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1.285679841787693E-4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1.285679841787693E-4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1.285679841787693E-4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1.285679841787693E-4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1.285679841787693E-4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1.285679841787693E-4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1.285679841787693E-4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1.285679841787693E-4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1.285679841787693E-4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1.285679841787693E-4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1.285679841787693E-4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1.285679841787693E-4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1.285679841787693E-4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1.285679841787693E-4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1.285679841787693E-4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1.285679841787693E-4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1.285679841787693E-4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1.285679841787693E-4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1.285679841787693E-4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1.285679841787693E-4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1.285679841787693E-4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1.285679841787693E-4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1.285679841787693E-4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1.285679841787693E-4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1.285679841787693E-4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1.285679841787693E-4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1.285679841787693E-4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1.285679841787693E-4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1.285679841787693E-4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1.285679841787693E-4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1.285679841787693E-4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1.285679841787693E-4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1.285679841787693E-4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1.285679841787693E-4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1.285679841787693E-4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1.285679841787693E-4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1.285679841787693E-4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1.285679841787693E-4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1.285679841787693E-4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1.285679841787693E-4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1.285679841787693E-4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1.285679841787693E-4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1.285679841787693E-4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1.285679841787693E-4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1.285679841787693E-4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1.285679841787693E-4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1.285679841787693E-4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1.285679841787693E-4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1.285679841787693E-4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1.285679841787693E-4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1.285679841787693E-4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1.285679841787693E-4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1.285679841787693E-4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1.285679841787693E-4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1.285679841787693E-4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1.285679841787693E-4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1.285679841787693E-4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1.285679841787693E-4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1.285679841787693E-4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1.285679841787693E-4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1.285679841787693E-4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1.285679841787693E-4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1.285679841787693E-4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1.285679841787693E-4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1.285679841787693E-4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1.285679841787693E-4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1.285679841787693E-4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1.285679841787693E-4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1.285679841787693E-4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1.285679841787693E-4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1.285679841787693E-4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1.285679841787693E-4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1.285679841787693E-4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1.285679841787693E-4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1.285679841787693E-4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1.285679841787693E-4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1.285679841787693E-4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1.285679841787693E-4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1.285679841787693E-4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1.285679841787693E-4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1.285679841787693E-4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1.285679841787693E-4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1.285679841787693E-4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1.285679841787693E-4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1.285679841787693E-4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1.285679841787693E-4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1.285679841787693E-4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1.285679841787693E-4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1.285679841787693E-4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1.285679841787693E-4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1.285679841787693E-4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1.285679841787693E-4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1.285679841787693E-4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1.285679841787693E-4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1.285679841787693E-4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1.285679841787693E-4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1.285679841787693E-4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1.285679841787693E-4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1.285679841787693E-4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1.285679841787693E-4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1.285679841787693E-4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1.285679841787693E-4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1.285679841787693E-4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1.285679841787693E-4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1.285679841787693E-4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1.285679841787693E-4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1.285679841787693E-4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1.285679841787693E-4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1.285679841787693E-4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1.285679841787693E-4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1.285679841787693E-4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1.285679841787693E-4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1.285679841787693E-4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1.285679841787693E-4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1.285679841787693E-4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1.285679841787693E-4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1.285679841787693E-4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1.285679841787693E-4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1.285679841787693E-4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1.285679841787693E-4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1.285679841787693E-4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1.285679841787693E-4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1.285679841787693E-4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1.285679841787693E-4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1.285679841787693E-4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1.285679841787693E-4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1.285679841787693E-4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1.285679841787693E-4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1.285679841787693E-4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1.285679841787693E-4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1.285679841787693E-4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1.285679841787693E-4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1.285679841787693E-4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1.285679841787693E-4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1.285679841787693E-4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1.285679841787693E-4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1.285679841787693E-4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1.285679841787693E-4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1.285679841787693E-4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1.285679841787693E-4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1.285679841787693E-4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1.285679841787693E-4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1.285679841787693E-4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1.285679841787693E-4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1.285679841787693E-4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1.285679841787693E-4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1.285679841787693E-4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1.285679841787693E-4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1.285679841787693E-4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1.285679841787693E-4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1.285679841787693E-4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1.285679841787693E-4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1.285679841787693E-4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1.285679841787693E-4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1.285679841787693E-4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1.285679841787693E-4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1.285679841787693E-4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1.285679841787693E-4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1.285679841787693E-4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1.285679841787693E-4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1.285679841787693E-4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1.285679841787693E-4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1.285679841787693E-4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1.285679841787693E-4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1.285679841787693E-4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1.285679841787693E-4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1.285679841787693E-4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1.285679841787693E-4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1.285679841787693E-4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1.285679841787693E-4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1.285679841787693E-4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1.285679841787693E-4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1.285679841787693E-4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1.285679841787693E-4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1.285679841787693E-4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1.285679841787693E-4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1.285679841787693E-4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1.285679841787693E-4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1.285679841787693E-4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1.285679841787693E-4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1.285679841787693E-4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1.285679841787693E-4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1.285679841787693E-4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1.285679841787693E-4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1.285679841787693E-4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1.285679841787693E-4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1.285679841787693E-4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1.285679841787693E-4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1.285679841787693E-4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1.285679841787693E-4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1.285679841787693E-4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1.285679841787693E-4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1.285679841787693E-4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1.285679841787693E-4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1.285679841787693E-4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1.285679841787693E-4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1.285679841787693E-4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1.285679841787693E-4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1.285679841787693E-4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1.285679841787693E-4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1.285679841787693E-4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1.285679841787693E-4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1.285679841787693E-4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1.285679841787693E-4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1.285679841787693E-4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1.285679841787693E-4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1.285679841787693E-4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1.285679841787693E-4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1.285679841787693E-4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1.285679841787693E-4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1.285679841787693E-4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1.285679841787693E-4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1.285679841787693E-4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1.285679841787693E-4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1.285679841787693E-4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1.285679841787693E-4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1.285679841787693E-4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1.285679841787693E-4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1.285679841787693E-4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1.285679841787693E-4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1.285679841787693E-4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1.285679841787693E-4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1.285679841787693E-4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1.285679841787693E-4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1.285679841787693E-4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1.285679841787693E-4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1.285679841787693E-4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1.285679841787693E-4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1.285679841787693E-4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1.285679841787693E-4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1.285679841787693E-4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1.285679841787693E-4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1.285679841787693E-4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1.285679841787693E-4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1.285679841787693E-4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1.285679841787693E-4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1.285679841787693E-4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1.285679841787693E-4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1.285679841787693E-4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1.285679841787693E-4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1.285679841787693E-4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1.285679841787693E-4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1.285679841787693E-4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1.285679841787693E-4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1.285679841787693E-4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1.285679841787693E-4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1.285679841787693E-4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1.285679841787693E-4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1.285679841787693E-4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1.285679841787693E-4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1.285679841787693E-4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1.285679841787693E-4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1.285679841787693E-4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1.285679841787693E-4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1.285679841787693E-4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1.285679841787693E-4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1.285679841787693E-4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1.285679841787693E-4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1.285679841787693E-4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1.285679841787693E-4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1.285679841787693E-4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1.285679841787693E-4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1.285679841787693E-4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1.285679841787693E-4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1.285679841787693E-4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1.285679841787693E-4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1.285679841787693E-4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1.285679841787693E-4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1.285679841787693E-4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1.285679841787693E-4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1.285679841787693E-4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1.285679841787693E-4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1.285679841787693E-4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1.285679841787693E-4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1.285679841787693E-4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1.285679841787693E-4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1.285679841787693E-4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1.285679841787693E-4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1.285679841787693E-4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1.285679841787693E-4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1.285679841787693E-4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1.285679841787693E-4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1.285679841787693E-4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1.285679841787693E-4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1.285679841787693E-4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1.285679841787693E-4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1.285679841787693E-4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1.285679841787693E-4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1.285679841787693E-4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1.285679841787693E-4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1.285679841787693E-4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1.285679841787693E-4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1.285679841787693E-4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1.285679841787693E-4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1.285679841787693E-4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1.285679841787693E-4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1.285679841787693E-4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1.285679841787693E-4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1.285679841787693E-4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1.285679841787693E-4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1.285679841787693E-4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1.285679841787693E-4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1.285679841787693E-4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1.285679841787693E-4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1.285679841787693E-4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1.285679841787693E-4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1.285679841787693E-4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1.285679841787693E-4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1.285679841787693E-4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1.285679841787693E-4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1.285679841787693E-4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1.285679841787693E-4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1.285679841787693E-4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1.285679841787693E-4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1.285679841787693E-4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1.285679841787693E-4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1.285679841787693E-4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1.285679841787693E-4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2023-07-10T20:06:00Z</dcterms:modified>
</cp:coreProperties>
</file>